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P Training Calls" sheetId="1" r:id="rId4"/>
    <sheet state="visible" name="SLP Field Data" sheetId="2" r:id="rId5"/>
    <sheet state="visible" name="LAKHISARAI AC" sheetId="3" r:id="rId6"/>
    <sheet state="visible" name="HARLAKHI AC" sheetId="4" r:id="rId7"/>
    <sheet state="visible" name="WAZIRGANJ AC" sheetId="5" r:id="rId8"/>
    <sheet state="visible" name="HARNAUT AC" sheetId="6" r:id="rId9"/>
    <sheet state="visible" name="SLP Calling Update" sheetId="7" r:id="rId10"/>
    <sheet state="visible" name="ARWAL AC" sheetId="8" r:id="rId11"/>
    <sheet state="visible" name="TIKARI AC" sheetId="9" r:id="rId12"/>
    <sheet state="visible" name="PRANPUR AC" sheetId="10" r:id="rId13"/>
    <sheet state="visible" name="KISHANGANJ AC" sheetId="11" r:id="rId14"/>
    <sheet state="visible" name="AURANGABAD" sheetId="12" r:id="rId15"/>
    <sheet state="visible" name="CHIRAYA AC" sheetId="13" r:id="rId16"/>
    <sheet state="visible" name="KAHALGAON AC" sheetId="14" r:id="rId17"/>
    <sheet state="visible" name="PARO AC" sheetId="15" r:id="rId18"/>
    <sheet state="visible" name="JALE AC" sheetId="16" r:id="rId19"/>
    <sheet state="visible" name="GOPALGANJ AC" sheetId="17" r:id="rId20"/>
    <sheet state="visible" name="ROSERA AC" sheetId="18" r:id="rId21"/>
    <sheet state="visible" name="RAJGIR AC" sheetId="19" r:id="rId22"/>
  </sheets>
  <definedNames>
    <definedName hidden="1" localSheetId="13" name="_xlnm._FilterDatabase">'KAHALGAON AC'!$A$68:$AE$126</definedName>
  </definedNames>
  <calcPr/>
</workbook>
</file>

<file path=xl/sharedStrings.xml><?xml version="1.0" encoding="utf-8"?>
<sst xmlns="http://schemas.openxmlformats.org/spreadsheetml/2006/main" count="18439" uniqueCount="1896">
  <si>
    <t>SLP List
Assembly: Govindganj
Training Date &amp; Time: 17th June 2025, 10:30 AM
Location: Cold Store Balaha chowk,  Areraj
Field Coordinator: Jamshed Alam</t>
  </si>
  <si>
    <t>Calling Status</t>
  </si>
  <si>
    <t>Confirmation Status</t>
  </si>
  <si>
    <t>Remarks</t>
  </si>
  <si>
    <t>Yes</t>
  </si>
  <si>
    <t>Sr. No.</t>
  </si>
  <si>
    <t>Name</t>
  </si>
  <si>
    <t>Mobile Number</t>
  </si>
  <si>
    <t>Khursheed Alam</t>
  </si>
  <si>
    <t>Connected</t>
  </si>
  <si>
    <t xml:space="preserve">Assembly </t>
  </si>
  <si>
    <t xml:space="preserve"> No. of SLP said YES on calll</t>
  </si>
  <si>
    <t>Prakash Ram</t>
  </si>
  <si>
    <t>Busy</t>
  </si>
  <si>
    <t>Govindganj</t>
  </si>
  <si>
    <t>out of 24</t>
  </si>
  <si>
    <t>Jubair Alam</t>
  </si>
  <si>
    <t>Kusheshwar Asthan</t>
  </si>
  <si>
    <t>out of 20</t>
  </si>
  <si>
    <t>Shabana Khatoon</t>
  </si>
  <si>
    <t>Bachhwara</t>
  </si>
  <si>
    <t>out of 29</t>
  </si>
  <si>
    <t>Saheb Alam</t>
  </si>
  <si>
    <t>Not Received</t>
  </si>
  <si>
    <t>Sunil Ram</t>
  </si>
  <si>
    <t>Munna Giri</t>
  </si>
  <si>
    <t>Rajnish Kr Thakur</t>
  </si>
  <si>
    <t>Switch off</t>
  </si>
  <si>
    <t>Md Neyaz</t>
  </si>
  <si>
    <t>Suraj Ram</t>
  </si>
  <si>
    <t>Wrong No.</t>
  </si>
  <si>
    <t>Pankaj Sah</t>
  </si>
  <si>
    <t>MunniLal Ram</t>
  </si>
  <si>
    <t>Aftab Alam</t>
  </si>
  <si>
    <t>Jamadaar Patel</t>
  </si>
  <si>
    <t>Md Eqbal</t>
  </si>
  <si>
    <t>Md Moin</t>
  </si>
  <si>
    <t>No</t>
  </si>
  <si>
    <t>note come</t>
  </si>
  <si>
    <t>Jairam Yadav</t>
  </si>
  <si>
    <t>Md Samiullah</t>
  </si>
  <si>
    <t>Rajesh Kr Gupta</t>
  </si>
  <si>
    <t>Mukesh Kumar</t>
  </si>
  <si>
    <t>Pintu Thakur</t>
  </si>
  <si>
    <t>Rambabu Kumar</t>
  </si>
  <si>
    <t>Shobha Devi</t>
  </si>
  <si>
    <t>Zahir Hussain</t>
  </si>
  <si>
    <t>SLP List
Assembly: Bachhwara
Training Date &amp; Time: 18th June 2025, 
Location: 
Field Coordinator: Niraj Kumar</t>
  </si>
  <si>
    <t>Sintu Kumar</t>
  </si>
  <si>
    <t>Arvind Kumar</t>
  </si>
  <si>
    <t>Rohit Kumar</t>
  </si>
  <si>
    <t>Om Prakash</t>
  </si>
  <si>
    <t>Nandlal Chaurasia</t>
  </si>
  <si>
    <t>Nitish Kumar</t>
  </si>
  <si>
    <t>Call Back Later</t>
  </si>
  <si>
    <t>Awadhesh Kumar</t>
  </si>
  <si>
    <t>Ajay Kumar</t>
  </si>
  <si>
    <t>Ranjit Yadav</t>
  </si>
  <si>
    <t>Vikas Kumar</t>
  </si>
  <si>
    <t>Raju Kumar</t>
  </si>
  <si>
    <t>Nilesh Kumar</t>
  </si>
  <si>
    <t>Amaresh Kumar</t>
  </si>
  <si>
    <t>Gandhi Sah</t>
  </si>
  <si>
    <t>Rajesh Kumar Thakur</t>
  </si>
  <si>
    <t>Mohammad Isha</t>
  </si>
  <si>
    <t>not available</t>
  </si>
  <si>
    <t>Mohammad Bholi</t>
  </si>
  <si>
    <t>Chandramani Yadav</t>
  </si>
  <si>
    <t>Ashok Kumar</t>
  </si>
  <si>
    <t>Ashutosh Kumar</t>
  </si>
  <si>
    <t>Dhirendra Kumar</t>
  </si>
  <si>
    <t>Rajeev Kumar</t>
  </si>
  <si>
    <t>Vijay Mohan Thakur</t>
  </si>
  <si>
    <t>Adarsh Kumar</t>
  </si>
  <si>
    <t>Sonu Kumar Chaudhary</t>
  </si>
  <si>
    <t>Bablu Kumar</t>
  </si>
  <si>
    <t>Sachin Kumar</t>
  </si>
  <si>
    <t>Abhishek Kumar</t>
  </si>
  <si>
    <t>Rambabu Tanti</t>
  </si>
  <si>
    <t>SLP List
Assembly: Kusheshwar Asthan
Training Date &amp; Time: 17th June 2025, 
Location: Shankara Modern Public School Shukumarpur
Field Coordinator: Veer Bhadra</t>
  </si>
  <si>
    <t>Rahul Singh</t>
  </si>
  <si>
    <t>Prince Kumar</t>
  </si>
  <si>
    <t>Naresh Kumar</t>
  </si>
  <si>
    <t>Vijay Kumar Yadav</t>
  </si>
  <si>
    <t>Balkrishna Pandit</t>
  </si>
  <si>
    <t>Pappu Kumar Das</t>
  </si>
  <si>
    <t>Ramjapo Paswan</t>
  </si>
  <si>
    <t>Kewalkant Mukhiya</t>
  </si>
  <si>
    <t>Kamal Narayan Mukhiya</t>
  </si>
  <si>
    <t>Pankaj Kumar</t>
  </si>
  <si>
    <t>Guddu Kumar</t>
  </si>
  <si>
    <t>Rishikant Mishra</t>
  </si>
  <si>
    <t>Sanjit Pandit</t>
  </si>
  <si>
    <t>Kanchan Kumari</t>
  </si>
  <si>
    <t>Ramesh Kumar Sahu</t>
  </si>
  <si>
    <t xml:space="preserve">Soch kr bta denge </t>
  </si>
  <si>
    <t>Md Ansar</t>
  </si>
  <si>
    <t>Md Rizwan Alam</t>
  </si>
  <si>
    <t>Deepak Kumar</t>
  </si>
  <si>
    <t>Randheer Kumar</t>
  </si>
  <si>
    <t>Dhananjay Choudhary</t>
  </si>
  <si>
    <t>SLP and Volunteer LList
Assembly: Begusarai
Training Date &amp; Time: 21st June 2025, 10:30 AM
Location: Congress Bhawan, Near Ayurveda College and Hospital, Begusarai
Field Coordinator: Manish Abhinandan</t>
  </si>
  <si>
    <t>Santosh Kr. Sharma</t>
  </si>
  <si>
    <t>Manjeet Kumar</t>
  </si>
  <si>
    <t>Tejo Paswan</t>
  </si>
  <si>
    <t>Gautam Paswan</t>
  </si>
  <si>
    <t>Rupesh Kr. Rupak</t>
  </si>
  <si>
    <t>Md. Iqabal</t>
  </si>
  <si>
    <t>Devendra Yadav</t>
  </si>
  <si>
    <t>Pankaj Saw</t>
  </si>
  <si>
    <t>Santu Kumar</t>
  </si>
  <si>
    <t>Santosh Kumar</t>
  </si>
  <si>
    <t>Ganesh Kumar</t>
  </si>
  <si>
    <t>Lalbabu Kumar</t>
  </si>
  <si>
    <t>Shyam Kumar</t>
  </si>
  <si>
    <t>Rambharosh Kumar</t>
  </si>
  <si>
    <t>Gobind Kumar</t>
  </si>
  <si>
    <t>Ambedkar Kumar</t>
  </si>
  <si>
    <t>Krishna Kr. Kanahiya</t>
  </si>
  <si>
    <t>Rishav Kumar</t>
  </si>
  <si>
    <t>Dr. Vikesh Kumar</t>
  </si>
  <si>
    <t>Saeem Jee</t>
  </si>
  <si>
    <t>Sanjeet Sah</t>
  </si>
  <si>
    <t>Bhushan Sahni</t>
  </si>
  <si>
    <t>Sarvan Sada</t>
  </si>
  <si>
    <t>Anand Prem</t>
  </si>
  <si>
    <t>Rajdeep Thakur</t>
  </si>
  <si>
    <t>Shambhu Saw</t>
  </si>
  <si>
    <t>Madan Mahto</t>
  </si>
  <si>
    <t>Ramvilash Mahto</t>
  </si>
  <si>
    <t>Surendra Mahto</t>
  </si>
  <si>
    <t>Sunil Chaudhary</t>
  </si>
  <si>
    <t>Niraj Sharma</t>
  </si>
  <si>
    <t>MD. Warkul</t>
  </si>
  <si>
    <t>Papu Jee</t>
  </si>
  <si>
    <t>Anil Paswan</t>
  </si>
  <si>
    <t>Devedu Kumar</t>
  </si>
  <si>
    <t>Ranveer Kumar</t>
  </si>
  <si>
    <t>Galib Mirza</t>
  </si>
  <si>
    <t>MD. Rashid</t>
  </si>
  <si>
    <t>Mojommil</t>
  </si>
  <si>
    <t>Vikash Razak</t>
  </si>
  <si>
    <t>Prem Choudhary</t>
  </si>
  <si>
    <t>Prabha Kumari</t>
  </si>
  <si>
    <t>Babita Devi</t>
  </si>
  <si>
    <t>Anu Kumari</t>
  </si>
  <si>
    <t>Sujit Kumar</t>
  </si>
  <si>
    <t>Rajesh Kushwaha</t>
  </si>
  <si>
    <t>Niraj Kumar</t>
  </si>
  <si>
    <t>Rajesh Kumar</t>
  </si>
  <si>
    <t>Dolly Kumari</t>
  </si>
  <si>
    <t>Anjali Kumari</t>
  </si>
  <si>
    <t>Parveen Kumar</t>
  </si>
  <si>
    <t>Rahul Raj</t>
  </si>
  <si>
    <t>Sudhir Das</t>
  </si>
  <si>
    <t>Sattanlal Das</t>
  </si>
  <si>
    <t>MD. Ansar</t>
  </si>
  <si>
    <t>Satyanarayana Sharma</t>
  </si>
  <si>
    <t>Bijay Kumar</t>
  </si>
  <si>
    <t>Deepak Kumar Rajak</t>
  </si>
  <si>
    <t>Sachin Kumar Paswan</t>
  </si>
  <si>
    <t>Rajesh Sharma</t>
  </si>
  <si>
    <t>Kundan Sharma</t>
  </si>
  <si>
    <t>Usha Kumari</t>
  </si>
  <si>
    <t>Sulekha Devi</t>
  </si>
  <si>
    <t>Amrit Raj</t>
  </si>
  <si>
    <t>Archana Kumari</t>
  </si>
  <si>
    <t>Rakesh Kumar</t>
  </si>
  <si>
    <t>Md. Rashid</t>
  </si>
  <si>
    <t>Dheeraj Kumar</t>
  </si>
  <si>
    <t>Rupak Kumar</t>
  </si>
  <si>
    <t>Hare Ram Sah</t>
  </si>
  <si>
    <t>SLP List
Assembly: Nalanda
Training Date &amp; Time: 22nd June 2025, 10:00 AM
Location: Rajednra Ashram, Bihar Sharif
Field Coordinator: Vivek Kumar</t>
  </si>
  <si>
    <t>Ujjwal Kumar</t>
  </si>
  <si>
    <t>Rahul Kumar</t>
  </si>
  <si>
    <t>Sudhir Kumar Sinha</t>
  </si>
  <si>
    <t>Chandan Kumar</t>
  </si>
  <si>
    <t>Sagar Raj</t>
  </si>
  <si>
    <t>Krishana Prasad</t>
  </si>
  <si>
    <t>Avdesh Paswan</t>
  </si>
  <si>
    <t xml:space="preserve">Not Received </t>
  </si>
  <si>
    <t>Raju Ram</t>
  </si>
  <si>
    <t>Surendra Paswan</t>
  </si>
  <si>
    <t>Manish Kumar</t>
  </si>
  <si>
    <t>Awdesh Kushwaha</t>
  </si>
  <si>
    <t>Jawhar Kumar</t>
  </si>
  <si>
    <t>Mahesh Ravidas</t>
  </si>
  <si>
    <t>Kamal Nayan</t>
  </si>
  <si>
    <t>Sonu Kumar</t>
  </si>
  <si>
    <t>Anil Pal</t>
  </si>
  <si>
    <t>Subodh Pandit</t>
  </si>
  <si>
    <t>Irfanulhuk (Munna)</t>
  </si>
  <si>
    <t>Sambhu Chaudhary</t>
  </si>
  <si>
    <t>Rampreet Chauhan</t>
  </si>
  <si>
    <t>Nandu Bind</t>
  </si>
  <si>
    <t>Akhilesh Kumar</t>
  </si>
  <si>
    <t>SLP List
Assembly: Mohania
Training Date &amp; Time: 22nd June 2025, 10:00 AM
Location: Jagjivan Samta Aashram, Mohania, Near mohania Block station road
Field Coordinator: Nitesh</t>
  </si>
  <si>
    <t>Baadhu Ram</t>
  </si>
  <si>
    <t>Noor Mohammad</t>
  </si>
  <si>
    <t>Suman Kumari</t>
  </si>
  <si>
    <t>Nandan Yadav</t>
  </si>
  <si>
    <t>Chanchal Kumari</t>
  </si>
  <si>
    <t>Mithlesh Kumar Singh</t>
  </si>
  <si>
    <t>Afzal Ansari</t>
  </si>
  <si>
    <t>Sonu Kumar (Muslim)</t>
  </si>
  <si>
    <t>Ramesh Pandey</t>
  </si>
  <si>
    <t>Javed Ahamad</t>
  </si>
  <si>
    <t>Dhruva Pandit</t>
  </si>
  <si>
    <t>Bijendra Kumar</t>
  </si>
  <si>
    <t>Kripa Shankar Ram</t>
  </si>
  <si>
    <t>Vijay Shankar Sharma (Nai)</t>
  </si>
  <si>
    <t>Munnu Yadav</t>
  </si>
  <si>
    <t>Shashi Kant Singh (Yadav)</t>
  </si>
  <si>
    <t>Sanjay Kumar Singh</t>
  </si>
  <si>
    <t>Arvind Giri</t>
  </si>
  <si>
    <t>Mustafa Ali</t>
  </si>
  <si>
    <t>Lokesh Raj Shriwastav</t>
  </si>
  <si>
    <t>Aslam Ansari</t>
  </si>
  <si>
    <t>Abhishek Patel</t>
  </si>
  <si>
    <t>Sudershan Nath</t>
  </si>
  <si>
    <t>Raj Grih Mukhiy (Kushwaha)</t>
  </si>
  <si>
    <t>Alakh Niranjan</t>
  </si>
  <si>
    <t>Surender Singh</t>
  </si>
  <si>
    <t>Sita Devi (Prabhanjn Singh)</t>
  </si>
  <si>
    <t>Md Imtiyaz Ali</t>
  </si>
  <si>
    <t>Dayashankar Ram</t>
  </si>
  <si>
    <t>Kanhaiya Ram</t>
  </si>
  <si>
    <t>8299228237, 7667579680</t>
  </si>
  <si>
    <t>Paras Ram</t>
  </si>
  <si>
    <t>Sunita Kumari</t>
  </si>
  <si>
    <t>Himanshu Gupta</t>
  </si>
  <si>
    <t>Mahesh Ram</t>
  </si>
  <si>
    <t>Kamlesh Yadav</t>
  </si>
  <si>
    <t>SLP List
Assembly: Kargahar
Training Date &amp; Time: 22nd June 2025, 10:00 AM
Location:  सत्येंद पॅलेस)S Narayan Marriage Hall, road, Nimdihra, Kargahar
Field Coordinator: Sachin</t>
  </si>
  <si>
    <t xml:space="preserve">Sr. No. </t>
  </si>
  <si>
    <t>Ajay Soni</t>
  </si>
  <si>
    <t>Ajeet Kumar</t>
  </si>
  <si>
    <t>Amarjeet Kumar</t>
  </si>
  <si>
    <t>Dhiraj Pal</t>
  </si>
  <si>
    <t>Gautam Kumar</t>
  </si>
  <si>
    <t>Jeetu Kumar Gautam</t>
  </si>
  <si>
    <t>Kavinder Pal</t>
  </si>
  <si>
    <t>Kinulah Ansari</t>
  </si>
  <si>
    <t>Shivam Kumar</t>
  </si>
  <si>
    <t>not come</t>
  </si>
  <si>
    <t>Nthuni Ram</t>
  </si>
  <si>
    <t>Ashfak Miya</t>
  </si>
  <si>
    <t>Rajnikant Ram</t>
  </si>
  <si>
    <t>Samsuddeen Alam</t>
  </si>
  <si>
    <t>Sanjeev</t>
  </si>
  <si>
    <t>Santosh Yadav</t>
  </si>
  <si>
    <t>Sanuwar Rain</t>
  </si>
  <si>
    <t>Thakur Ravindra Singh</t>
  </si>
  <si>
    <t>Vijay Prakash</t>
  </si>
  <si>
    <t>Vikas Prajapati</t>
  </si>
  <si>
    <t>Doc Manoj</t>
  </si>
  <si>
    <t>Abhay Ray</t>
  </si>
  <si>
    <t>Abhimanyu Paswan</t>
  </si>
  <si>
    <t>Afajal Miya</t>
  </si>
  <si>
    <t>Akash Kumar</t>
  </si>
  <si>
    <t>Archana Devi</t>
  </si>
  <si>
    <t>Arati Mehto</t>
  </si>
  <si>
    <t>Arun Kumar Kaushal</t>
  </si>
  <si>
    <t>BanshNarayan Paswan</t>
  </si>
  <si>
    <t>Bhola</t>
  </si>
  <si>
    <t>Chand Mukhiya</t>
  </si>
  <si>
    <t>Dharmendra Singh</t>
  </si>
  <si>
    <t>Ganga Paswan</t>
  </si>
  <si>
    <t>Jahir Ansari</t>
  </si>
  <si>
    <t>Jaygovind Ji</t>
  </si>
  <si>
    <t>Kamlesh Kumar</t>
  </si>
  <si>
    <t>Laalbabu</t>
  </si>
  <si>
    <t>Lakshman (Laxman) Ram</t>
  </si>
  <si>
    <t>Mahendra Ji</t>
  </si>
  <si>
    <t>Mahendra Kumar</t>
  </si>
  <si>
    <t>Manish Anand</t>
  </si>
  <si>
    <t>Manoj Kumar</t>
  </si>
  <si>
    <t>Manoj Singh</t>
  </si>
  <si>
    <t>Mrityunjay Alam</t>
  </si>
  <si>
    <t>Pradeep Kumar</t>
  </si>
  <si>
    <t>Rabindra Ram</t>
  </si>
  <si>
    <t>Rampravesh Kumar</t>
  </si>
  <si>
    <t>Renu Devi</t>
  </si>
  <si>
    <t>Roshan Kumar</t>
  </si>
  <si>
    <t>Sanjeet Kumar</t>
  </si>
  <si>
    <t>Chittaranjan</t>
  </si>
  <si>
    <t>Vakil Prajapati</t>
  </si>
  <si>
    <t>Vinay Kumar</t>
  </si>
  <si>
    <t>Vinod Paswan</t>
  </si>
  <si>
    <t>Abhay Yadav</t>
  </si>
  <si>
    <t>Arjun Kumar</t>
  </si>
  <si>
    <t>Arjun Ranatunga</t>
  </si>
  <si>
    <t>Dipak Kumar</t>
  </si>
  <si>
    <t>Izhaar Ansari</t>
  </si>
  <si>
    <t>Shivkailash Ji</t>
  </si>
  <si>
    <t>Ramdarsh Ram</t>
  </si>
  <si>
    <t>Lalan Ram</t>
  </si>
  <si>
    <t>Vikki Bettha</t>
  </si>
  <si>
    <t>Ratan Kumar Sharma</t>
  </si>
  <si>
    <t>Vishal Kumar</t>
  </si>
  <si>
    <t>Virendra Mathur</t>
  </si>
  <si>
    <t>Gowaskar Paswan</t>
  </si>
  <si>
    <t>Saroj Kumar</t>
  </si>
  <si>
    <t>Dular Ram</t>
  </si>
  <si>
    <t>Chandani Devi</t>
  </si>
  <si>
    <t>Kanti Devi</t>
  </si>
  <si>
    <t>Gariban Ram</t>
  </si>
  <si>
    <t>Pintu Paswan</t>
  </si>
  <si>
    <t>Jitendra Singh</t>
  </si>
  <si>
    <t>Vimla Devi</t>
  </si>
  <si>
    <t>Pushpa Devi</t>
  </si>
  <si>
    <t>Sita Devi</t>
  </si>
  <si>
    <t>Uday Singh</t>
  </si>
  <si>
    <t>Volunteer List, Kargahar AC</t>
  </si>
  <si>
    <t>Abhijeet Kumar</t>
  </si>
  <si>
    <t>Arvind Kharwar</t>
  </si>
  <si>
    <t>Balmuni Devi</t>
  </si>
  <si>
    <t>Hira Kumar</t>
  </si>
  <si>
    <t>Nitu Pam</t>
  </si>
  <si>
    <t>Papu Yadav</t>
  </si>
  <si>
    <t>Parmindar Rai</t>
  </si>
  <si>
    <t>Pramod Kumar</t>
  </si>
  <si>
    <t>Prem Singh</t>
  </si>
  <si>
    <t>Raju Pal</t>
  </si>
  <si>
    <t>Dhanajay Ram</t>
  </si>
  <si>
    <t>ghar me kaam chal rha h</t>
  </si>
  <si>
    <t>Sohrab</t>
  </si>
  <si>
    <t>Suroj</t>
  </si>
  <si>
    <t>Sunil Kumar</t>
  </si>
  <si>
    <t>jaruri kaam h</t>
  </si>
  <si>
    <t>Vinod Ram</t>
  </si>
  <si>
    <t>Rajuji</t>
  </si>
  <si>
    <t>Mahmud Ansari</t>
  </si>
  <si>
    <t>Pramod</t>
  </si>
  <si>
    <t>Hiramuni</t>
  </si>
  <si>
    <t>Kusuma Devi</t>
  </si>
  <si>
    <t>Vijay Ram</t>
  </si>
  <si>
    <t>Chandan Ram</t>
  </si>
  <si>
    <t>Duler Ram</t>
  </si>
  <si>
    <t xml:space="preserve">ASSEMBLY COORDINATOR (LEADER NAME) </t>
  </si>
  <si>
    <t>NAME</t>
  </si>
  <si>
    <t>NUMBER</t>
  </si>
  <si>
    <t>AGE</t>
  </si>
  <si>
    <t>GENDER</t>
  </si>
  <si>
    <t>PROFESSION</t>
  </si>
  <si>
    <t>RELIGION</t>
  </si>
  <si>
    <t>CATEGORY</t>
  </si>
  <si>
    <t>CASTE</t>
  </si>
  <si>
    <t>DISTRICT</t>
  </si>
  <si>
    <t>ASSEMBLY</t>
  </si>
  <si>
    <t>BLOCK</t>
  </si>
  <si>
    <t>PANCHAYAT</t>
  </si>
  <si>
    <t>1. क्या आप राजनीतिक या सामाजिक कार्य में रूचि रखते हैं? (हां/नहीं)</t>
  </si>
  <si>
    <t>2. क्या आप वर्तमान में किसी सामाजिक या राजनैतिक संगठन से जुड़े हैं? (हाँ / नहीं)</t>
  </si>
  <si>
    <t>संगठन का नाम (यदि हाँ):</t>
  </si>
  <si>
    <t>भूमिका (1-2 शब्द):</t>
  </si>
  <si>
    <t>3. आपने अब तक अपने क्षेत्र में कोई सामाजिक या जन सरोकार का कार्य किया है? (हाँ / नहीं)</t>
  </si>
  <si>
    <t xml:space="preserve">यदि हाँ, तो एक उदाहरण दें: </t>
  </si>
  <si>
    <t>4. क्या आपने कभी किसी जनप्रतिनिधि से जनता के मुद्दों को लेकर बात की है? (हाँ / नहीं)</t>
  </si>
  <si>
    <t>यदि हाँ, तो मुद्दा:</t>
  </si>
  <si>
    <t>5. सामाजिक न्याय और समानता आपके लिए कितनी महत्वपूर्ण है? (बहुत / कुछ हद तक / नहीं)</t>
  </si>
  <si>
    <t>6. क्या आप मानते हैं कि भारतीय संविधान की बातें – न्याय, स्वतंत्रता, समानता, बंधुत्व – ज़मीनी स्तर तक पहुंचें? (हाँ / नहीं)</t>
  </si>
  <si>
    <t>7. क्या आप कांग्रेस पार्टी द्वारा चलाए जा रहे संविधान लीडरशिप प्रोग्राम के बारे में जानते हैं?  (हां/नहीं)
   (यदि नहीं तो संविधान लीडरशिप प्रोग्राम के बारे में जानकारी- )</t>
  </si>
  <si>
    <t>8. क्या आप इस प्रोग्राम में नेतृत्व की भूमिका निभाने को तैयार हैं? (हाँ / नहीं / विचार कर रहा/रही हूं)</t>
  </si>
  <si>
    <t>Verification Status</t>
  </si>
  <si>
    <t>CHANDAN KUMAR</t>
  </si>
  <si>
    <t>Uma Shankar Roy</t>
  </si>
  <si>
    <t>Male</t>
  </si>
  <si>
    <t>ROSERA</t>
  </si>
  <si>
    <t>market me hain baad me call karenge khud se</t>
  </si>
  <si>
    <t>student</t>
  </si>
  <si>
    <t>hindu</t>
  </si>
  <si>
    <t>didn't agree to provide details</t>
  </si>
  <si>
    <t>Subodh Kumar</t>
  </si>
  <si>
    <t xml:space="preserve">farmer </t>
  </si>
  <si>
    <t xml:space="preserve">Hindu </t>
  </si>
  <si>
    <t xml:space="preserve">OBC </t>
  </si>
  <si>
    <t xml:space="preserve">yadav </t>
  </si>
  <si>
    <t xml:space="preserve">samastipur </t>
  </si>
  <si>
    <t xml:space="preserve">Rosera </t>
  </si>
  <si>
    <t>NO</t>
  </si>
  <si>
    <t>call disconnect kar diya gaya</t>
  </si>
  <si>
    <t xml:space="preserve">student </t>
  </si>
  <si>
    <t>obc</t>
  </si>
  <si>
    <t>yadav</t>
  </si>
  <si>
    <t>samastipur</t>
  </si>
  <si>
    <t>rosera</t>
  </si>
  <si>
    <t>taher bseriya</t>
  </si>
  <si>
    <t>congress</t>
  </si>
  <si>
    <t>social activist</t>
  </si>
  <si>
    <t>rashan card, oldage pension</t>
  </si>
  <si>
    <t>Verified</t>
  </si>
  <si>
    <t>Bipin Kumar</t>
  </si>
  <si>
    <t>bol rhe hai main sab details bata diya hai but meri baat nahi hui h inse</t>
  </si>
  <si>
    <t>Rishu Raman</t>
  </si>
  <si>
    <t>shivajinagar</t>
  </si>
  <si>
    <t>kariyan</t>
  </si>
  <si>
    <t xml:space="preserve">eligible </t>
  </si>
  <si>
    <t xml:space="preserve">bol rhe h Avi time nhi h </t>
  </si>
  <si>
    <t>connect nahi ho paya off hai ya network se bahar hai</t>
  </si>
  <si>
    <t>tehar beseriya</t>
  </si>
  <si>
    <t>kaam karwaya ja sakta hai.</t>
  </si>
  <si>
    <t>Rajan Kumar</t>
  </si>
  <si>
    <t xml:space="preserve">not incoming </t>
  </si>
  <si>
    <t>Bhukhli Devi</t>
  </si>
  <si>
    <t>Female</t>
  </si>
  <si>
    <t>labour</t>
  </si>
  <si>
    <t>sc</t>
  </si>
  <si>
    <t>paswan</t>
  </si>
  <si>
    <t xml:space="preserve">tehar beseriya </t>
  </si>
  <si>
    <t>Not Verified</t>
  </si>
  <si>
    <t>nahi ho paega inse</t>
  </si>
  <si>
    <t>Vinod Yadav</t>
  </si>
  <si>
    <t>out of Bihar (Dehli)</t>
  </si>
  <si>
    <t>baad me baat karenge job pe hain</t>
  </si>
  <si>
    <t>Kirtan Rajak</t>
  </si>
  <si>
    <t>recv nhi kr rhe</t>
  </si>
  <si>
    <t>Raj Kumar Das</t>
  </si>
  <si>
    <t>ebc</t>
  </si>
  <si>
    <t>das</t>
  </si>
  <si>
    <t xml:space="preserve">rosera </t>
  </si>
  <si>
    <t>Sarita Devi</t>
  </si>
  <si>
    <t>—</t>
  </si>
  <si>
    <t>contact not available</t>
  </si>
  <si>
    <t>recv nhi kar rhe hn</t>
  </si>
  <si>
    <t>Busy aa rha h</t>
  </si>
  <si>
    <t>Rajesh Roy</t>
  </si>
  <si>
    <t>wrong number</t>
  </si>
  <si>
    <t>Pankaj Das</t>
  </si>
  <si>
    <t>job</t>
  </si>
  <si>
    <t>obv</t>
  </si>
  <si>
    <t>hasanpur</t>
  </si>
  <si>
    <t>bjp</t>
  </si>
  <si>
    <t>bjp supporter</t>
  </si>
  <si>
    <t>Raju Rajak</t>
  </si>
  <si>
    <t>koi idea nhi h liberary me hai baad me call karenge aapko</t>
  </si>
  <si>
    <t xml:space="preserve">Raj Kumar yadav </t>
  </si>
  <si>
    <t xml:space="preserve">private work </t>
  </si>
  <si>
    <t xml:space="preserve">recv nahi kar rhe hn truecaller me karnataka ka no hai </t>
  </si>
  <si>
    <t>ye Bihar se baher rahte h</t>
  </si>
  <si>
    <t xml:space="preserve">Ram Shankar yadav </t>
  </si>
  <si>
    <t xml:space="preserve">business </t>
  </si>
  <si>
    <t xml:space="preserve">Sivaji nager </t>
  </si>
  <si>
    <t xml:space="preserve">kariyan </t>
  </si>
  <si>
    <t xml:space="preserve">congress </t>
  </si>
  <si>
    <t>no band hai..</t>
  </si>
  <si>
    <t>inse baat ho gyi h</t>
  </si>
  <si>
    <t>Tuntun Prasad</t>
  </si>
  <si>
    <t>aadmi kahi bahar hai</t>
  </si>
  <si>
    <t>bol rhi h avi nhi h</t>
  </si>
  <si>
    <t>Shil Kumar Roy</t>
  </si>
  <si>
    <t>roy</t>
  </si>
  <si>
    <t>student preparing for IS</t>
  </si>
  <si>
    <t>Vikash Kumar</t>
  </si>
  <si>
    <t>private business</t>
  </si>
  <si>
    <t>mauka diya ja sakta hai</t>
  </si>
  <si>
    <t>Anguri Praveen</t>
  </si>
  <si>
    <t>housewife</t>
  </si>
  <si>
    <t>muslim</t>
  </si>
  <si>
    <t>confused prani hain</t>
  </si>
  <si>
    <t>Supanjan Kumar</t>
  </si>
  <si>
    <t xml:space="preserve">tehar beariya </t>
  </si>
  <si>
    <t xml:space="preserve">unemployment </t>
  </si>
  <si>
    <t>ghar pe nahin hain</t>
  </si>
  <si>
    <t>inse baat ho.gyi h</t>
  </si>
  <si>
    <t>Ravish Kumar</t>
  </si>
  <si>
    <t xml:space="preserve">call receive nhi kiya gya </t>
  </si>
  <si>
    <t xml:space="preserve">not received </t>
  </si>
  <si>
    <t>no off hai</t>
  </si>
  <si>
    <t>Praveen</t>
  </si>
  <si>
    <t xml:space="preserve">shivajinagar </t>
  </si>
  <si>
    <t>Chandrasekhar</t>
  </si>
  <si>
    <t>teacher</t>
  </si>
  <si>
    <t>mauka milega to accha kaam kar sakte hai</t>
  </si>
  <si>
    <t>Ikalq</t>
  </si>
  <si>
    <t>not interested at all</t>
  </si>
  <si>
    <t>Meraj Khan</t>
  </si>
  <si>
    <t>Seraj Khan</t>
  </si>
  <si>
    <t>not reachable or switch off</t>
  </si>
  <si>
    <t>Shankar Sahni</t>
  </si>
  <si>
    <t>Ranjit Sahni</t>
  </si>
  <si>
    <t>Asha Devi</t>
  </si>
  <si>
    <t>Ram Dulari Devi</t>
  </si>
  <si>
    <t>Md Wasim</t>
  </si>
  <si>
    <t>Rama Devi</t>
  </si>
  <si>
    <t>call recv nahi hua</t>
  </si>
  <si>
    <t>Ashok Yadav</t>
  </si>
  <si>
    <t>wrong no hai koi v person nahi h iss naam ka</t>
  </si>
  <si>
    <t>not interested</t>
  </si>
  <si>
    <t>Arun Yadav</t>
  </si>
  <si>
    <t>Mukesh Punjabi</t>
  </si>
  <si>
    <t>incoming not available</t>
  </si>
  <si>
    <t>Dileep Yadav</t>
  </si>
  <si>
    <t>wrong number hai</t>
  </si>
  <si>
    <t>Sanju Kumar</t>
  </si>
  <si>
    <t>Dipesh Kumar</t>
  </si>
  <si>
    <t>AJAY KUMAR YADAV</t>
  </si>
  <si>
    <t>GOPALGANJ</t>
  </si>
  <si>
    <t>Mohammad Kalimullah (Kalim Bhai)</t>
  </si>
  <si>
    <t>ward member</t>
  </si>
  <si>
    <t xml:space="preserve">gen. </t>
  </si>
  <si>
    <t>minority</t>
  </si>
  <si>
    <t>uchka gao</t>
  </si>
  <si>
    <t>chota sake</t>
  </si>
  <si>
    <t>postive</t>
  </si>
  <si>
    <t>Anita Tiwari</t>
  </si>
  <si>
    <t xml:space="preserve">sachiv </t>
  </si>
  <si>
    <t xml:space="preserve">junral </t>
  </si>
  <si>
    <t xml:space="preserve">Gopalganj </t>
  </si>
  <si>
    <t xml:space="preserve">inse baat ho gyi h </t>
  </si>
  <si>
    <t>Pankaj Shrivastav</t>
  </si>
  <si>
    <t xml:space="preserve">block worker </t>
  </si>
  <si>
    <t xml:space="preserve">general </t>
  </si>
  <si>
    <t xml:space="preserve">personal </t>
  </si>
  <si>
    <t xml:space="preserve">positive </t>
  </si>
  <si>
    <t>Iftekhar Alam</t>
  </si>
  <si>
    <t xml:space="preserve">invalid </t>
  </si>
  <si>
    <t>Qaumudin</t>
  </si>
  <si>
    <t xml:space="preserve">muslim </t>
  </si>
  <si>
    <t xml:space="preserve">jagari tola </t>
  </si>
  <si>
    <t xml:space="preserve">Rjb </t>
  </si>
  <si>
    <t xml:space="preserve">inse baat ho gyi </t>
  </si>
  <si>
    <t>Sameer Ansari</t>
  </si>
  <si>
    <t>ansari</t>
  </si>
  <si>
    <t>gopalganj</t>
  </si>
  <si>
    <t>ekdehwa</t>
  </si>
  <si>
    <t>Irshad Ansari</t>
  </si>
  <si>
    <t xml:space="preserve">Ansari </t>
  </si>
  <si>
    <t xml:space="preserve">Babu bisunpu </t>
  </si>
  <si>
    <t>Manjeet Yadav</t>
  </si>
  <si>
    <t xml:space="preserve">Dharmendra Kumar </t>
  </si>
  <si>
    <t xml:space="preserve">Thabe </t>
  </si>
  <si>
    <t xml:space="preserve">jagamalba </t>
  </si>
  <si>
    <t>Gopalganj me hi kr skte h</t>
  </si>
  <si>
    <t>Azal Ali</t>
  </si>
  <si>
    <t>Abdul Ansari</t>
  </si>
  <si>
    <t xml:space="preserve">social worker </t>
  </si>
  <si>
    <t>thave</t>
  </si>
  <si>
    <t>videshi tola</t>
  </si>
  <si>
    <t xml:space="preserve">prakhand upadhyaksh </t>
  </si>
  <si>
    <t xml:space="preserve">public issues </t>
  </si>
  <si>
    <t>Saheb Kumar Ram</t>
  </si>
  <si>
    <t>call cut</t>
  </si>
  <si>
    <t>Jiut Kumar Ram</t>
  </si>
  <si>
    <t>ram</t>
  </si>
  <si>
    <t>thawe</t>
  </si>
  <si>
    <t>jan suraj</t>
  </si>
  <si>
    <t>Nilu Kumari Yadav</t>
  </si>
  <si>
    <t>Faim Akhtar</t>
  </si>
  <si>
    <t xml:space="preserve">islam </t>
  </si>
  <si>
    <t>gen</t>
  </si>
  <si>
    <t xml:space="preserve">Muslim </t>
  </si>
  <si>
    <t>vrindavan</t>
  </si>
  <si>
    <t>Sanjay Ram</t>
  </si>
  <si>
    <t>unemployment</t>
  </si>
  <si>
    <t>hitbharwa</t>
  </si>
  <si>
    <t>Avdesh Ram</t>
  </si>
  <si>
    <t>farmer</t>
  </si>
  <si>
    <t>yadavpur dukhharan</t>
  </si>
  <si>
    <t>Mir Hasan Ansari</t>
  </si>
  <si>
    <t>politics</t>
  </si>
  <si>
    <t>nal jal</t>
  </si>
  <si>
    <t>Ramakant Mukhiya</t>
  </si>
  <si>
    <t>bin</t>
  </si>
  <si>
    <t>Yogeshwar Prasad</t>
  </si>
  <si>
    <t>khajepur</t>
  </si>
  <si>
    <t>Anwarul Ansari</t>
  </si>
  <si>
    <t>Arman Ali</t>
  </si>
  <si>
    <t>not intrested</t>
  </si>
  <si>
    <t>Mukesh Kumar Jayswal</t>
  </si>
  <si>
    <t>cnr</t>
  </si>
  <si>
    <t>Rambabu Mahto</t>
  </si>
  <si>
    <t>chauhan</t>
  </si>
  <si>
    <t>uchka gai</t>
  </si>
  <si>
    <t>parsuni khaas</t>
  </si>
  <si>
    <t>VOLUNTEER</t>
  </si>
  <si>
    <t>Jitendra Prasad</t>
  </si>
  <si>
    <t>kisan</t>
  </si>
  <si>
    <t>kurmi</t>
  </si>
  <si>
    <t>majhagadh purvi</t>
  </si>
  <si>
    <t>inc</t>
  </si>
  <si>
    <t>prakhand mahasachiv</t>
  </si>
  <si>
    <t xml:space="preserve">public issues solved </t>
  </si>
  <si>
    <t>Shamsul Haque Azad</t>
  </si>
  <si>
    <t>Chancee Yadav</t>
  </si>
  <si>
    <t xml:space="preserve">politics </t>
  </si>
  <si>
    <t>jadupur dukharan</t>
  </si>
  <si>
    <t xml:space="preserve">panchayat adhyaksh </t>
  </si>
  <si>
    <t>Mohammad Sabre</t>
  </si>
  <si>
    <t>Harinath Manjhi</t>
  </si>
  <si>
    <t>Tarkeshwar Kumar</t>
  </si>
  <si>
    <t>Sc</t>
  </si>
  <si>
    <t>so</t>
  </si>
  <si>
    <t>Washim Akram</t>
  </si>
  <si>
    <t>semara</t>
  </si>
  <si>
    <t>palyan</t>
  </si>
  <si>
    <t>Ish Mohammad</t>
  </si>
  <si>
    <t>wrong person</t>
  </si>
  <si>
    <t>Zishan Ali</t>
  </si>
  <si>
    <t>Sunny Sayyed</t>
  </si>
  <si>
    <t>business</t>
  </si>
  <si>
    <t>islam</t>
  </si>
  <si>
    <t xml:space="preserve">not interested </t>
  </si>
  <si>
    <t>Jhingur Mushar</t>
  </si>
  <si>
    <t>Kalamudin Alam</t>
  </si>
  <si>
    <t>yadavpur sukal</t>
  </si>
  <si>
    <t>CAPTAIN DEEPU</t>
  </si>
  <si>
    <t>kushwaha</t>
  </si>
  <si>
    <t>ARWAL</t>
  </si>
  <si>
    <t>karpi</t>
  </si>
  <si>
    <t>keyal</t>
  </si>
  <si>
    <t>people help</t>
  </si>
  <si>
    <t>Kuch Had Tak</t>
  </si>
  <si>
    <t>Rajkumar</t>
  </si>
  <si>
    <t xml:space="preserve">Arwal </t>
  </si>
  <si>
    <t xml:space="preserve">saurati </t>
  </si>
  <si>
    <t>Bahut</t>
  </si>
  <si>
    <t>belkhara</t>
  </si>
  <si>
    <t>road problem</t>
  </si>
  <si>
    <t>Arjun Singh</t>
  </si>
  <si>
    <t>arval</t>
  </si>
  <si>
    <t>karki</t>
  </si>
  <si>
    <t>saharsenta</t>
  </si>
  <si>
    <t xml:space="preserve">nali </t>
  </si>
  <si>
    <t>Sikandar Kumar</t>
  </si>
  <si>
    <t xml:space="preserve">hindu </t>
  </si>
  <si>
    <t xml:space="preserve">kuswaha </t>
  </si>
  <si>
    <t>arwal</t>
  </si>
  <si>
    <t>kyal</t>
  </si>
  <si>
    <t>Pappu Kumar</t>
  </si>
  <si>
    <t>mnerega</t>
  </si>
  <si>
    <t>Sanjay Kumar</t>
  </si>
  <si>
    <t>carpenter</t>
  </si>
  <si>
    <t>water problem</t>
  </si>
  <si>
    <t>Pramila Kumari</t>
  </si>
  <si>
    <t>Indu Kumari</t>
  </si>
  <si>
    <t xml:space="preserve">jeevika </t>
  </si>
  <si>
    <t xml:space="preserve">obc </t>
  </si>
  <si>
    <t xml:space="preserve">garerai </t>
  </si>
  <si>
    <t xml:space="preserve">arwal </t>
  </si>
  <si>
    <t xml:space="preserve">andhra chak </t>
  </si>
  <si>
    <t xml:space="preserve">keyal </t>
  </si>
  <si>
    <t xml:space="preserve">water problem </t>
  </si>
  <si>
    <t>Akshay Kumar</t>
  </si>
  <si>
    <t xml:space="preserve">karpi </t>
  </si>
  <si>
    <t xml:space="preserve">kheyal </t>
  </si>
  <si>
    <t xml:space="preserve">gao ka vikash </t>
  </si>
  <si>
    <t>Hindu</t>
  </si>
  <si>
    <t>bind</t>
  </si>
  <si>
    <t>Abhimanyu Kumar (Dr)</t>
  </si>
  <si>
    <t>Amarendra Kumar</t>
  </si>
  <si>
    <t>rjp</t>
  </si>
  <si>
    <t xml:space="preserve">member </t>
  </si>
  <si>
    <t>Pintu Kumar</t>
  </si>
  <si>
    <t>Satyendra Bind</t>
  </si>
  <si>
    <t>Ajit Kumar</t>
  </si>
  <si>
    <t>Ramashankar Kumar</t>
  </si>
  <si>
    <t>Surendra Yadav</t>
  </si>
  <si>
    <t>sahar telpa</t>
  </si>
  <si>
    <t>rjd</t>
  </si>
  <si>
    <t>social work</t>
  </si>
  <si>
    <t>Ravi Shankar Kumar</t>
  </si>
  <si>
    <t>Ajay Yadav</t>
  </si>
  <si>
    <t>bc</t>
  </si>
  <si>
    <t xml:space="preserve">Sahar telpa </t>
  </si>
  <si>
    <t>Ramesh Kumar</t>
  </si>
  <si>
    <t>thakur</t>
  </si>
  <si>
    <t>Ranjit Kumar</t>
  </si>
  <si>
    <t>poltics</t>
  </si>
  <si>
    <t>chandervanshi</t>
  </si>
  <si>
    <t>Anil Kumar</t>
  </si>
  <si>
    <t>Ram Bihari Yadav</t>
  </si>
  <si>
    <t>social help</t>
  </si>
  <si>
    <t>Arvind Kumari (Shri Ram Bigha)</t>
  </si>
  <si>
    <t>Bachchan Rajvanshi</t>
  </si>
  <si>
    <t>rajvashi</t>
  </si>
  <si>
    <t>telpa</t>
  </si>
  <si>
    <t>Sanjeet Kumar (Chainpur)</t>
  </si>
  <si>
    <t>help</t>
  </si>
  <si>
    <t>Ram Ji Rajvanshi</t>
  </si>
  <si>
    <t>Ghanshyam Sah</t>
  </si>
  <si>
    <t>Rishikesh Kumar (Teacher)</t>
  </si>
  <si>
    <t>TRIBHUVAN KUMAR</t>
  </si>
  <si>
    <t>Vishal Kumar Bittu</t>
  </si>
  <si>
    <t>east chamapran</t>
  </si>
  <si>
    <t>chiraya</t>
  </si>
  <si>
    <t>rampur south</t>
  </si>
  <si>
    <t>scoail work</t>
  </si>
  <si>
    <t>Mohammad Sanaula</t>
  </si>
  <si>
    <t>mukhiya</t>
  </si>
  <si>
    <t>Abdul Sebad Ansari</t>
  </si>
  <si>
    <t xml:space="preserve">champaran </t>
  </si>
  <si>
    <t>CHIRAYA</t>
  </si>
  <si>
    <t>Subek Kumar</t>
  </si>
  <si>
    <t xml:space="preserve">rampur south </t>
  </si>
  <si>
    <t>Rupesh Kumar</t>
  </si>
  <si>
    <t>kodha</t>
  </si>
  <si>
    <t>Ravi Kumar</t>
  </si>
  <si>
    <t>Pramod Yadav</t>
  </si>
  <si>
    <t>Munna Yadav</t>
  </si>
  <si>
    <t>tipahi</t>
  </si>
  <si>
    <t>Pappu Yadav</t>
  </si>
  <si>
    <t>doctor</t>
  </si>
  <si>
    <t>Congress</t>
  </si>
  <si>
    <t>raod problem</t>
  </si>
  <si>
    <t>Mohammad Amantula</t>
  </si>
  <si>
    <t>Sajid Iqbal</t>
  </si>
  <si>
    <t>wrong no</t>
  </si>
  <si>
    <t>Arshad</t>
  </si>
  <si>
    <t xml:space="preserve">chiraya </t>
  </si>
  <si>
    <t xml:space="preserve">madhopur </t>
  </si>
  <si>
    <t>Md Kalim</t>
  </si>
  <si>
    <t>madhopur</t>
  </si>
  <si>
    <t>rampur utari</t>
  </si>
  <si>
    <t>Rameswar Yadav</t>
  </si>
  <si>
    <t>congrese</t>
  </si>
  <si>
    <t>Nilesh Yadav</t>
  </si>
  <si>
    <t>Dharmendra Kumar Singh</t>
  </si>
  <si>
    <t>sarpanch</t>
  </si>
  <si>
    <t>rajput</t>
  </si>
  <si>
    <t>chirya</t>
  </si>
  <si>
    <t>Firoz Alam</t>
  </si>
  <si>
    <t xml:space="preserve">call cute </t>
  </si>
  <si>
    <t>Zalim Akhtar</t>
  </si>
  <si>
    <t>darji</t>
  </si>
  <si>
    <t>kashari madh</t>
  </si>
  <si>
    <t>socail work</t>
  </si>
  <si>
    <t>old age pesnaion</t>
  </si>
  <si>
    <t>Asfak</t>
  </si>
  <si>
    <t>6200434413-</t>
  </si>
  <si>
    <t xml:space="preserve">mahuwa </t>
  </si>
  <si>
    <t>Aditya Kumar</t>
  </si>
  <si>
    <t>barajara</t>
  </si>
  <si>
    <t>Trisha Yadav</t>
  </si>
  <si>
    <t>Devbrat Kumar</t>
  </si>
  <si>
    <t>artari utari</t>
  </si>
  <si>
    <t>Arvind Jaiswal</t>
  </si>
  <si>
    <t xml:space="preserve">jaiswal </t>
  </si>
  <si>
    <t>artari</t>
  </si>
  <si>
    <t>Dharmendra Yadav</t>
  </si>
  <si>
    <t>pipayeh dharwa</t>
  </si>
  <si>
    <t>Abhishek Yadav</t>
  </si>
  <si>
    <t>rampur dakshni</t>
  </si>
  <si>
    <t>Ejaj Ahmed</t>
  </si>
  <si>
    <t>NAHID MUSHTAQUE</t>
  </si>
  <si>
    <t>DARBHANGA</t>
  </si>
  <si>
    <t>JALE</t>
  </si>
  <si>
    <t>koi or received ki bole nhi h avi</t>
  </si>
  <si>
    <t>RAMESH KUMAR</t>
  </si>
  <si>
    <t>RAJKUMAR PANDIT</t>
  </si>
  <si>
    <t xml:space="preserve">Agriculture </t>
  </si>
  <si>
    <t xml:space="preserve">kumhar </t>
  </si>
  <si>
    <t xml:space="preserve">singhwara </t>
  </si>
  <si>
    <t xml:space="preserve">bhawanipur </t>
  </si>
  <si>
    <t xml:space="preserve">Akhil bhartiya </t>
  </si>
  <si>
    <t xml:space="preserve">state vice president </t>
  </si>
  <si>
    <t xml:space="preserve">helping people </t>
  </si>
  <si>
    <t xml:space="preserve">devlopment </t>
  </si>
  <si>
    <t>SUJIT THAKUR</t>
  </si>
  <si>
    <t xml:space="preserve">Brahman </t>
  </si>
  <si>
    <t>jale</t>
  </si>
  <si>
    <t>Massa</t>
  </si>
  <si>
    <t>Mandi bnawa rhe</t>
  </si>
  <si>
    <t>NAGESHWAR MUKHIYA</t>
  </si>
  <si>
    <t xml:space="preserve">panchayat pratinidhi </t>
  </si>
  <si>
    <t xml:space="preserve">malah </t>
  </si>
  <si>
    <t>massa</t>
  </si>
  <si>
    <t>AQUIL SIDIQUE</t>
  </si>
  <si>
    <t xml:space="preserve">social work </t>
  </si>
  <si>
    <t xml:space="preserve">sekh </t>
  </si>
  <si>
    <t xml:space="preserve">panchayat precident </t>
  </si>
  <si>
    <t xml:space="preserve">to make people aware </t>
  </si>
  <si>
    <t>MD KHALIL AHMED</t>
  </si>
  <si>
    <t>asthuk</t>
  </si>
  <si>
    <t>LALIT YADAV</t>
  </si>
  <si>
    <t xml:space="preserve">asthua </t>
  </si>
  <si>
    <t>BUDHU MAJHI</t>
  </si>
  <si>
    <t xml:space="preserve">not incoming call </t>
  </si>
  <si>
    <t>MOHAMMAD KHURSHID</t>
  </si>
  <si>
    <t>sekh</t>
  </si>
  <si>
    <t xml:space="preserve">road problem </t>
  </si>
  <si>
    <t>GAUJAN CHOUDHARY</t>
  </si>
  <si>
    <t xml:space="preserve">bhumihar </t>
  </si>
  <si>
    <t xml:space="preserve">Rampura </t>
  </si>
  <si>
    <t>PUNIYA NAND MISHR</t>
  </si>
  <si>
    <t xml:space="preserve">former block president </t>
  </si>
  <si>
    <t>GAURI SHANKAR JHA</t>
  </si>
  <si>
    <t>tax chief</t>
  </si>
  <si>
    <t>MURARI JHA</t>
  </si>
  <si>
    <t>LOHA SINGH YADAV</t>
  </si>
  <si>
    <t xml:space="preserve">jale </t>
  </si>
  <si>
    <t xml:space="preserve">rahi dachni </t>
  </si>
  <si>
    <t xml:space="preserve">indian communist </t>
  </si>
  <si>
    <t>SAIFUR RAHMAN</t>
  </si>
  <si>
    <t xml:space="preserve">rari dachini </t>
  </si>
  <si>
    <t>RAHMAT ALI</t>
  </si>
  <si>
    <t>RAM KRISHNA RAM</t>
  </si>
  <si>
    <t xml:space="preserve">chamar </t>
  </si>
  <si>
    <t xml:space="preserve">dhariya belwar </t>
  </si>
  <si>
    <t>HARIWANSH DAS</t>
  </si>
  <si>
    <t xml:space="preserve">choupal </t>
  </si>
  <si>
    <t>dhariya belwara</t>
  </si>
  <si>
    <t xml:space="preserve">beach security </t>
  </si>
  <si>
    <t>MOHAMMAD ALAUDDIN</t>
  </si>
  <si>
    <t xml:space="preserve">ebc </t>
  </si>
  <si>
    <t xml:space="preserve">rayan </t>
  </si>
  <si>
    <t xml:space="preserve">bharam Pur purbi </t>
  </si>
  <si>
    <t xml:space="preserve">education </t>
  </si>
  <si>
    <t>ABDUL QUAIYUM</t>
  </si>
  <si>
    <t xml:space="preserve">rain </t>
  </si>
  <si>
    <t xml:space="preserve">education , hospital </t>
  </si>
  <si>
    <t>HARDIK KUMAR RAM</t>
  </si>
  <si>
    <t>SUBODH SADA MAJHI</t>
  </si>
  <si>
    <t xml:space="preserve">musher </t>
  </si>
  <si>
    <t xml:space="preserve">NGO </t>
  </si>
  <si>
    <t>JAI MAJHI</t>
  </si>
  <si>
    <t xml:space="preserve">manhji </t>
  </si>
  <si>
    <t xml:space="preserve">land Road problem </t>
  </si>
  <si>
    <t>RAMASISH SADA</t>
  </si>
  <si>
    <t>RANJIT KUMAR YADAV</t>
  </si>
  <si>
    <t xml:space="preserve">mukhiya </t>
  </si>
  <si>
    <t xml:space="preserve">karba taryani </t>
  </si>
  <si>
    <t>harijan k liy colony bnana</t>
  </si>
  <si>
    <t>JAMAL MIRZA BEG</t>
  </si>
  <si>
    <t>RAJENDRA PASWAN</t>
  </si>
  <si>
    <t xml:space="preserve">paswan </t>
  </si>
  <si>
    <t xml:space="preserve">jale East </t>
  </si>
  <si>
    <t xml:space="preserve">Road wate problem </t>
  </si>
  <si>
    <t>SUSHIL RAM</t>
  </si>
  <si>
    <t xml:space="preserve">Ram </t>
  </si>
  <si>
    <t xml:space="preserve">baat krte huya call kt kr diy </t>
  </si>
  <si>
    <t>SUNIL RAM</t>
  </si>
  <si>
    <t>jale west</t>
  </si>
  <si>
    <t>RAJKISHORE RAM</t>
  </si>
  <si>
    <t xml:space="preserve">councilor  representative </t>
  </si>
  <si>
    <t xml:space="preserve">helping </t>
  </si>
  <si>
    <t>MD QAMRE ALAM</t>
  </si>
  <si>
    <t xml:space="preserve">Job </t>
  </si>
  <si>
    <t>BHUSHAN KUMAR SINGH</t>
  </si>
  <si>
    <t>AVDESH KUMAR MANDAL</t>
  </si>
  <si>
    <t xml:space="preserve">dhanuk </t>
  </si>
  <si>
    <t xml:space="preserve">Road nali problem </t>
  </si>
  <si>
    <t>PRAVEEN KUMAR</t>
  </si>
  <si>
    <t>NIRANJAN KUMAR</t>
  </si>
  <si>
    <t xml:space="preserve">rari West </t>
  </si>
  <si>
    <t>vheem rb</t>
  </si>
  <si>
    <t>DR SHIWALAI YADAV</t>
  </si>
  <si>
    <t xml:space="preserve">rahi uttri </t>
  </si>
  <si>
    <t xml:space="preserve">RJD </t>
  </si>
  <si>
    <t xml:space="preserve">road nali problem </t>
  </si>
  <si>
    <t>NALBUNI YADAV</t>
  </si>
  <si>
    <t>RAMDAHIN RAI</t>
  </si>
  <si>
    <t xml:space="preserve">Ayari </t>
  </si>
  <si>
    <t>JHAKRA PASWAN</t>
  </si>
  <si>
    <t>CHAND ALAM</t>
  </si>
  <si>
    <t xml:space="preserve">rari purbi </t>
  </si>
  <si>
    <t>EHSANUL HAQUE</t>
  </si>
  <si>
    <t>KANHAIYA PRASAD</t>
  </si>
  <si>
    <t xml:space="preserve">Awareness of people </t>
  </si>
  <si>
    <t xml:space="preserve">water, education, unemployment </t>
  </si>
  <si>
    <t>MD.SARFARAZ</t>
  </si>
  <si>
    <t>Nijamuddin Alam</t>
  </si>
  <si>
    <t>Siddique</t>
  </si>
  <si>
    <t>Muzaffarpur</t>
  </si>
  <si>
    <t>PARO</t>
  </si>
  <si>
    <t>paro</t>
  </si>
  <si>
    <t xml:space="preserve">paro dachani </t>
  </si>
  <si>
    <t xml:space="preserve">Congress </t>
  </si>
  <si>
    <t>padhaai aur berojgari</t>
  </si>
  <si>
    <t xml:space="preserve">bhut zaroori hai </t>
  </si>
  <si>
    <t>Basiruddin Alam</t>
  </si>
  <si>
    <t xml:space="preserve">Siddique </t>
  </si>
  <si>
    <t xml:space="preserve">Muzaffarpur </t>
  </si>
  <si>
    <t xml:space="preserve">paro </t>
  </si>
  <si>
    <t>Raza Ansari</t>
  </si>
  <si>
    <t xml:space="preserve">anshari </t>
  </si>
  <si>
    <t xml:space="preserve">fatehabad </t>
  </si>
  <si>
    <t>Yuva adhyaksh</t>
  </si>
  <si>
    <t>Md Irshad</t>
  </si>
  <si>
    <t>gramin doctor</t>
  </si>
  <si>
    <t xml:space="preserve">shekh </t>
  </si>
  <si>
    <t xml:space="preserve">khuthai </t>
  </si>
  <si>
    <t>Ajay Kumar Kushwaha</t>
  </si>
  <si>
    <t xml:space="preserve">poltics </t>
  </si>
  <si>
    <t>chaintawanpur</t>
  </si>
  <si>
    <t>Md Mumtaj</t>
  </si>
  <si>
    <t xml:space="preserve">shek </t>
  </si>
  <si>
    <t>paro dachani</t>
  </si>
  <si>
    <t xml:space="preserve">Congrees </t>
  </si>
  <si>
    <t>Noor Alam</t>
  </si>
  <si>
    <t xml:space="preserve">sha </t>
  </si>
  <si>
    <t xml:space="preserve">karoli </t>
  </si>
  <si>
    <t>Md Faizuddin</t>
  </si>
  <si>
    <t xml:space="preserve">bhagwan pur </t>
  </si>
  <si>
    <t>Jahid Alam</t>
  </si>
  <si>
    <t xml:space="preserve">worker </t>
  </si>
  <si>
    <t>jaimail dumari</t>
  </si>
  <si>
    <t xml:space="preserve">jigyashpur </t>
  </si>
  <si>
    <t>Niranjan Yadav</t>
  </si>
  <si>
    <t>Rampur keso</t>
  </si>
  <si>
    <t xml:space="preserve">bahut zaruri hai </t>
  </si>
  <si>
    <t>Inderjeet Kumar</t>
  </si>
  <si>
    <t xml:space="preserve">dhobi </t>
  </si>
  <si>
    <t xml:space="preserve">koriya nijamat </t>
  </si>
  <si>
    <t>vidhansabha adhyaksh</t>
  </si>
  <si>
    <t>Vinay Yadav</t>
  </si>
  <si>
    <t xml:space="preserve">jingash </t>
  </si>
  <si>
    <t>Mandipa Yadav</t>
  </si>
  <si>
    <t xml:space="preserve">usti </t>
  </si>
  <si>
    <t>Md Majuddin</t>
  </si>
  <si>
    <t xml:space="preserve">mansuri </t>
  </si>
  <si>
    <t xml:space="preserve">chandkewari </t>
  </si>
  <si>
    <t>Saroj Kumar Kushwaha</t>
  </si>
  <si>
    <t xml:space="preserve">kushwaha </t>
  </si>
  <si>
    <t>Jagdishpur baya</t>
  </si>
  <si>
    <t>Dhiraj Kumar</t>
  </si>
  <si>
    <t xml:space="preserve">incoming band </t>
  </si>
  <si>
    <t>Ajay Thakur</t>
  </si>
  <si>
    <t xml:space="preserve">thakur </t>
  </si>
  <si>
    <t>ward sadasya</t>
  </si>
  <si>
    <t xml:space="preserve">Samaj sewak </t>
  </si>
  <si>
    <t>Ranjeet Kumar</t>
  </si>
  <si>
    <t xml:space="preserve">samaj sewak </t>
  </si>
  <si>
    <t>Ram</t>
  </si>
  <si>
    <t>Vicky Kumar</t>
  </si>
  <si>
    <t xml:space="preserve">padhai </t>
  </si>
  <si>
    <t>bc2</t>
  </si>
  <si>
    <t>Nirbhay Kumar</t>
  </si>
  <si>
    <t>MD IMBESAT AHMAD</t>
  </si>
  <si>
    <t>Md Haseeb</t>
  </si>
  <si>
    <t>Katihar</t>
  </si>
  <si>
    <t>PRANPUR</t>
  </si>
  <si>
    <t xml:space="preserve">Aajamnagar </t>
  </si>
  <si>
    <t xml:space="preserve">salmari </t>
  </si>
  <si>
    <t xml:space="preserve">vidhan sabha mahasachiv </t>
  </si>
  <si>
    <t>white tshirt ke bare me btana or mai behan maan yojna ki jankari dena</t>
  </si>
  <si>
    <t>bjp gov ka ghotala ke bare me btana ye sb ke mudhe pr baat kiye hai</t>
  </si>
  <si>
    <t>bhut</t>
  </si>
  <si>
    <t>Md Sami Akhtar</t>
  </si>
  <si>
    <t xml:space="preserve">tax sachiv hai </t>
  </si>
  <si>
    <t xml:space="preserve">mukhiya ke election me bhagidari hote h </t>
  </si>
  <si>
    <t xml:space="preserve">samaj ke vyasthao </t>
  </si>
  <si>
    <t>Md Jahangir Alam</t>
  </si>
  <si>
    <t>9006727605, 6206600906</t>
  </si>
  <si>
    <t xml:space="preserve">teacher hai </t>
  </si>
  <si>
    <t>panchayat sarpanch hai</t>
  </si>
  <si>
    <t>kuch had tak</t>
  </si>
  <si>
    <t>Md Firoj</t>
  </si>
  <si>
    <t>7260979038, 7633900190</t>
  </si>
  <si>
    <t>Md Sajid Ali</t>
  </si>
  <si>
    <t>social worker hai</t>
  </si>
  <si>
    <t>road bnvae hai</t>
  </si>
  <si>
    <t xml:space="preserve">bhumika nibhane ke liye tyar hai lekin congress ka baaner lekr nhi kaam krega khudse hi krega </t>
  </si>
  <si>
    <t>Ranjeet Ravi Das</t>
  </si>
  <si>
    <t>Govind Rai</t>
  </si>
  <si>
    <t>Md Tanveer Shah</t>
  </si>
  <si>
    <t xml:space="preserve">kirana shop h khudka </t>
  </si>
  <si>
    <t xml:space="preserve">pasin </t>
  </si>
  <si>
    <t xml:space="preserve">sahi fasid </t>
  </si>
  <si>
    <t>samaj seva</t>
  </si>
  <si>
    <t xml:space="preserve">gao ke vikash ke liye </t>
  </si>
  <si>
    <t>Zulfiqar Ansari</t>
  </si>
  <si>
    <t>Dharmanand Mistry</t>
  </si>
  <si>
    <t>9661817387, 8084037146</t>
  </si>
  <si>
    <t>Raushan Jamil</t>
  </si>
  <si>
    <t>Md Nezamuddin</t>
  </si>
  <si>
    <t>Md Hashim</t>
  </si>
  <si>
    <t xml:space="preserve">Tegra </t>
  </si>
  <si>
    <t xml:space="preserve">vard sadasya </t>
  </si>
  <si>
    <t xml:space="preserve">tegra </t>
  </si>
  <si>
    <t>vard sadasya hai</t>
  </si>
  <si>
    <t xml:space="preserve">virdhapincil ka karya krvana </t>
  </si>
  <si>
    <t xml:space="preserve">nal jal ka karyo ko lekr </t>
  </si>
  <si>
    <t>Md Firoz Alam</t>
  </si>
  <si>
    <t>condection line me karya krta h</t>
  </si>
  <si>
    <t>Md Anwar Alam</t>
  </si>
  <si>
    <t>Pawan Kumar Poddar</t>
  </si>
  <si>
    <t>Md Shabbir</t>
  </si>
  <si>
    <t>block level pr work kiye hai</t>
  </si>
  <si>
    <t>Sukhdev Rai</t>
  </si>
  <si>
    <t>rai</t>
  </si>
  <si>
    <t>Md Mamnoon Akhtar</t>
  </si>
  <si>
    <t xml:space="preserve">Maheshpur </t>
  </si>
  <si>
    <t>Akhtar</t>
  </si>
  <si>
    <t>Mir Sultan Ahmad</t>
  </si>
  <si>
    <t>member hai</t>
  </si>
  <si>
    <t>panchayat election me sahyog Krna logo ko janakri dena</t>
  </si>
  <si>
    <t xml:space="preserve">garib bacho ki pdhai ko lekr </t>
  </si>
  <si>
    <t>Md Mushfique Alam</t>
  </si>
  <si>
    <t>education ke mudhe pr</t>
  </si>
  <si>
    <t>Md Sarfaraz</t>
  </si>
  <si>
    <t>Sanjay Rai</t>
  </si>
  <si>
    <t>Md Shah Jahan</t>
  </si>
  <si>
    <t xml:space="preserve">daniya </t>
  </si>
  <si>
    <t>vard parisad hai</t>
  </si>
  <si>
    <t>Md Shamim Akhtar</t>
  </si>
  <si>
    <t>doctor hai</t>
  </si>
  <si>
    <t xml:space="preserve">chhauhal </t>
  </si>
  <si>
    <t>Md Naushad Alam</t>
  </si>
  <si>
    <t>Md Azad Alam</t>
  </si>
  <si>
    <t>patrakarita hai</t>
  </si>
  <si>
    <t>Ebc</t>
  </si>
  <si>
    <t xml:space="preserve">Malikpur </t>
  </si>
  <si>
    <t xml:space="preserve">vard sadasya hai </t>
  </si>
  <si>
    <t xml:space="preserve">block level pr work Krna </t>
  </si>
  <si>
    <t xml:space="preserve">bhrastachar ke mudhe or sikcha ke mudhe </t>
  </si>
  <si>
    <t>Nadim Akhtar</t>
  </si>
  <si>
    <t>malikpur</t>
  </si>
  <si>
    <t>Guddu</t>
  </si>
  <si>
    <t>Pradip Kumar Rai</t>
  </si>
  <si>
    <t>Musarraf Reza</t>
  </si>
  <si>
    <t xml:space="preserve">businessman </t>
  </si>
  <si>
    <t xml:space="preserve">shilmani </t>
  </si>
  <si>
    <t>Mai behan yojna ka karya kiye hai</t>
  </si>
  <si>
    <t xml:space="preserve">sarak banvane ke liye or bijli ke vyavastha ko lekr baat kiye hai </t>
  </si>
  <si>
    <t>Md Shadab Karim</t>
  </si>
  <si>
    <t>Rinku Kumari</t>
  </si>
  <si>
    <t xml:space="preserve">Harijan </t>
  </si>
  <si>
    <t xml:space="preserve">shitalmani </t>
  </si>
  <si>
    <t>Sunil Kumar Sorem</t>
  </si>
  <si>
    <t>st</t>
  </si>
  <si>
    <t>Tufail Ali Raza</t>
  </si>
  <si>
    <t xml:space="preserve">Amar shirpur </t>
  </si>
  <si>
    <t xml:space="preserve">panchayat adhyaksh hai </t>
  </si>
  <si>
    <t xml:space="preserve">samaj seva  garibo ki help karne ka karya kiye hai </t>
  </si>
  <si>
    <t xml:space="preserve">berojgari ke liye </t>
  </si>
  <si>
    <t>Md Akhtar</t>
  </si>
  <si>
    <t>Nikhil Sharma</t>
  </si>
  <si>
    <t xml:space="preserve">private job </t>
  </si>
  <si>
    <t>badhai</t>
  </si>
  <si>
    <t xml:space="preserve">agarsindhpur </t>
  </si>
  <si>
    <t>Pappu Singh</t>
  </si>
  <si>
    <t>Md Raunak</t>
  </si>
  <si>
    <t>Md Sanaullah</t>
  </si>
  <si>
    <t xml:space="preserve">jalki </t>
  </si>
  <si>
    <t xml:space="preserve">aavasiya banvane ka karya kiye hai </t>
  </si>
  <si>
    <t>Rahil Ali Shah</t>
  </si>
  <si>
    <t xml:space="preserve">harnagar </t>
  </si>
  <si>
    <t xml:space="preserve">corona time logo ko Khana dilvana or help kiye the </t>
  </si>
  <si>
    <t>bandh banvane ka or sarak banvane ke mudhe pr</t>
  </si>
  <si>
    <t xml:space="preserve">bhut </t>
  </si>
  <si>
    <t>Saiyed Imtiyaz Ali</t>
  </si>
  <si>
    <t>EWS</t>
  </si>
  <si>
    <t xml:space="preserve">Pranpur </t>
  </si>
  <si>
    <t xml:space="preserve">kevla </t>
  </si>
  <si>
    <t xml:space="preserve">kisan bill ka karya </t>
  </si>
  <si>
    <t>kisan bill ko lekr aandolan Krna or nrc ko lekr</t>
  </si>
  <si>
    <t>Ram Chandra Sharma</t>
  </si>
  <si>
    <t xml:space="preserve">badhai </t>
  </si>
  <si>
    <t xml:space="preserve">Gorakhpur </t>
  </si>
  <si>
    <t xml:space="preserve">virdhapincil dilane ka karya kiye hai </t>
  </si>
  <si>
    <t>samaj me vikash ke liye</t>
  </si>
  <si>
    <t>MD Sajid Alam</t>
  </si>
  <si>
    <t xml:space="preserve">Aaj manager </t>
  </si>
  <si>
    <t>KAHALGAON VIDHANSABHA 155  (Pranav)</t>
  </si>
  <si>
    <t>Snehlata Devi</t>
  </si>
  <si>
    <t xml:space="preserve">housewife </t>
  </si>
  <si>
    <t xml:space="preserve">Gangotri </t>
  </si>
  <si>
    <t xml:space="preserve">Bhagalpur </t>
  </si>
  <si>
    <t>Kahalgaon</t>
  </si>
  <si>
    <t xml:space="preserve">kahalgaon </t>
  </si>
  <si>
    <t xml:space="preserve">ekchari </t>
  </si>
  <si>
    <t>Tarkeshwar Prasad</t>
  </si>
  <si>
    <t xml:space="preserve">parshad </t>
  </si>
  <si>
    <t>Mamta Kumari</t>
  </si>
  <si>
    <t>Shekhar Suman</t>
  </si>
  <si>
    <t>bc1</t>
  </si>
  <si>
    <t>dhanuk</t>
  </si>
  <si>
    <t>kahalgaon</t>
  </si>
  <si>
    <t>Pappu</t>
  </si>
  <si>
    <t>Azad Rajak</t>
  </si>
  <si>
    <t>Rajiv Ranjan</t>
  </si>
  <si>
    <t xml:space="preserve">dhnaura </t>
  </si>
  <si>
    <t>Satyam Kumar</t>
  </si>
  <si>
    <t xml:space="preserve">study </t>
  </si>
  <si>
    <t>Sublesh Yadav</t>
  </si>
  <si>
    <t>Nityanand</t>
  </si>
  <si>
    <t>Shivbalak</t>
  </si>
  <si>
    <t>Vijay Kumar</t>
  </si>
  <si>
    <t>call receive karke cut Diya</t>
  </si>
  <si>
    <t>Mukesh Paswan</t>
  </si>
  <si>
    <t xml:space="preserve">advocate </t>
  </si>
  <si>
    <t>Raju Ranjana</t>
  </si>
  <si>
    <t>social worker</t>
  </si>
  <si>
    <t>Avinash Kumar</t>
  </si>
  <si>
    <t>Amnish Kumar</t>
  </si>
  <si>
    <t>Banti Kumar</t>
  </si>
  <si>
    <t xml:space="preserve">bc </t>
  </si>
  <si>
    <t xml:space="preserve">dhabuk </t>
  </si>
  <si>
    <t xml:space="preserve">maichamuda </t>
  </si>
  <si>
    <t>Kartik Kumar</t>
  </si>
  <si>
    <t>Sangita Kumari</t>
  </si>
  <si>
    <t xml:space="preserve">salimpur </t>
  </si>
  <si>
    <t>Jaya Priti</t>
  </si>
  <si>
    <t>Shaligram</t>
  </si>
  <si>
    <t>Badal Kumar</t>
  </si>
  <si>
    <t xml:space="preserve">kurmi </t>
  </si>
  <si>
    <t>Shubham Kumar</t>
  </si>
  <si>
    <t>Chhotu Kumar</t>
  </si>
  <si>
    <t>Pawan Kumar</t>
  </si>
  <si>
    <t>Sulekha Bharti</t>
  </si>
  <si>
    <t xml:space="preserve">gonshar </t>
  </si>
  <si>
    <t>Vishnu Kumar</t>
  </si>
  <si>
    <t xml:space="preserve">sonar </t>
  </si>
  <si>
    <t>shyampur</t>
  </si>
  <si>
    <t>Bhopal Yadav</t>
  </si>
  <si>
    <t>farmar</t>
  </si>
  <si>
    <t>Saurabh Kumar</t>
  </si>
  <si>
    <t xml:space="preserve">part time job </t>
  </si>
  <si>
    <t xml:space="preserve">bolshar </t>
  </si>
  <si>
    <t>Bhavesh Kumar</t>
  </si>
  <si>
    <t xml:space="preserve">kori </t>
  </si>
  <si>
    <t xml:space="preserve">sonula </t>
  </si>
  <si>
    <t>sanokha</t>
  </si>
  <si>
    <t xml:space="preserve">sholhan </t>
  </si>
  <si>
    <t>kapra ka dukan me work krta hai</t>
  </si>
  <si>
    <t xml:space="preserve">igumani </t>
  </si>
  <si>
    <t>paukhpur</t>
  </si>
  <si>
    <t xml:space="preserve">rahul naam hai </t>
  </si>
  <si>
    <t>Pritam Kumar</t>
  </si>
  <si>
    <t xml:space="preserve">snoukha </t>
  </si>
  <si>
    <t xml:space="preserve">samaj seva </t>
  </si>
  <si>
    <t xml:space="preserve">nali banvana or pani ki suvidha </t>
  </si>
  <si>
    <t>Anuj Kumar</t>
  </si>
  <si>
    <t xml:space="preserve">halwai </t>
  </si>
  <si>
    <t xml:space="preserve">sanokha </t>
  </si>
  <si>
    <t>Sanjay Kishku</t>
  </si>
  <si>
    <t>Adarsh Ankur</t>
  </si>
  <si>
    <t>Adarsh Raunak</t>
  </si>
  <si>
    <t>Rajesh Ranjan</t>
  </si>
  <si>
    <t xml:space="preserve">sc </t>
  </si>
  <si>
    <t xml:space="preserve">chmar </t>
  </si>
  <si>
    <t>ekchari</t>
  </si>
  <si>
    <t>Rajendra Prasad Yadav</t>
  </si>
  <si>
    <t>Gurudev K. Mandal</t>
  </si>
  <si>
    <t xml:space="preserve">sikchha ke mudhe pr </t>
  </si>
  <si>
    <t xml:space="preserve">gangotri </t>
  </si>
  <si>
    <t xml:space="preserve">ghoghabajar </t>
  </si>
  <si>
    <t>Dulari Devi</t>
  </si>
  <si>
    <t>Md. Rahtaz</t>
  </si>
  <si>
    <t>momin (muslim )</t>
  </si>
  <si>
    <t xml:space="preserve">vard member </t>
  </si>
  <si>
    <t xml:space="preserve">virdhapincil ka Karya </t>
  </si>
  <si>
    <t xml:space="preserve">indra aavas ke liye </t>
  </si>
  <si>
    <t>Kanhaiya Kumar</t>
  </si>
  <si>
    <t xml:space="preserve">not interested   </t>
  </si>
  <si>
    <t>Rishi Kumar</t>
  </si>
  <si>
    <t>Jairam Shah</t>
  </si>
  <si>
    <t>Lalan Kumar</t>
  </si>
  <si>
    <t>Aadarsh Ankur</t>
  </si>
  <si>
    <t>Shahdev Mandal</t>
  </si>
  <si>
    <t>Sagar Kumar</t>
  </si>
  <si>
    <t>ye apna details nhi diya but meeting mein ayega</t>
  </si>
  <si>
    <t>Ayush Kumar</t>
  </si>
  <si>
    <t>Yudhishthir Kumar</t>
  </si>
  <si>
    <t xml:space="preserve">ravidash </t>
  </si>
  <si>
    <t>Pawan Kishku</t>
  </si>
  <si>
    <t>kishku</t>
  </si>
  <si>
    <t>Mandhat</t>
  </si>
  <si>
    <t>Ranjit Das</t>
  </si>
  <si>
    <t>Susil Kumar</t>
  </si>
  <si>
    <t xml:space="preserve">(AURANGABAD) ABDULLAH AMIN </t>
  </si>
  <si>
    <t>Ziauddin</t>
  </si>
  <si>
    <t xml:space="preserve">social media </t>
  </si>
  <si>
    <t>pathan</t>
  </si>
  <si>
    <t xml:space="preserve">Aurangabad </t>
  </si>
  <si>
    <t>Aurangabad</t>
  </si>
  <si>
    <t xml:space="preserve">bahut </t>
  </si>
  <si>
    <t>Jaylaxman</t>
  </si>
  <si>
    <t>Manoj</t>
  </si>
  <si>
    <t xml:space="preserve">water electricity </t>
  </si>
  <si>
    <t xml:space="preserve">berojgaari padhai </t>
  </si>
  <si>
    <t>Aslam</t>
  </si>
  <si>
    <t xml:space="preserve">water </t>
  </si>
  <si>
    <t xml:space="preserve">berojgaari </t>
  </si>
  <si>
    <t>Muneer Khan</t>
  </si>
  <si>
    <t xml:space="preserve">Pathan </t>
  </si>
  <si>
    <t>Deo</t>
  </si>
  <si>
    <t xml:space="preserve">municipal corporation </t>
  </si>
  <si>
    <t xml:space="preserve">Yes </t>
  </si>
  <si>
    <t>Nandu Yadav</t>
  </si>
  <si>
    <t>Imteyaz</t>
  </si>
  <si>
    <t>Shahnawaz</t>
  </si>
  <si>
    <t>Muneer Ahmed</t>
  </si>
  <si>
    <t xml:space="preserve">ward members </t>
  </si>
  <si>
    <t xml:space="preserve">EBC </t>
  </si>
  <si>
    <t>kaam nhi Krna h</t>
  </si>
  <si>
    <t>Afzal Khan</t>
  </si>
  <si>
    <t xml:space="preserve">pathan </t>
  </si>
  <si>
    <t>Sushil Kumar Yadav</t>
  </si>
  <si>
    <t xml:space="preserve">road water </t>
  </si>
  <si>
    <t>padhai berojgari</t>
  </si>
  <si>
    <t>bhut .</t>
  </si>
  <si>
    <t>Nitin Kumar Yadav</t>
  </si>
  <si>
    <t>pokhrahan</t>
  </si>
  <si>
    <t xml:space="preserve">Awareness people </t>
  </si>
  <si>
    <t>Suman Yadav</t>
  </si>
  <si>
    <t>Sudhir Kumar</t>
  </si>
  <si>
    <t xml:space="preserve">chandrbansi </t>
  </si>
  <si>
    <t xml:space="preserve">pardih </t>
  </si>
  <si>
    <t>rjb</t>
  </si>
  <si>
    <t xml:space="preserve">education devlopment </t>
  </si>
  <si>
    <t>Manish Kumar Yadav</t>
  </si>
  <si>
    <t xml:space="preserve">berojgaari padhai dawai </t>
  </si>
  <si>
    <t>Rodal Yadav</t>
  </si>
  <si>
    <t xml:space="preserve">teaching </t>
  </si>
  <si>
    <t xml:space="preserve">tokhraha </t>
  </si>
  <si>
    <t>Chandrashekhar Kumar</t>
  </si>
  <si>
    <t>Deepak Kumar Kushwaha</t>
  </si>
  <si>
    <t>Deepak Kumar Thakur</t>
  </si>
  <si>
    <t>Kripa Shankar</t>
  </si>
  <si>
    <t xml:space="preserve">hasouli </t>
  </si>
  <si>
    <t>Aman Kumar</t>
  </si>
  <si>
    <t xml:space="preserve">khushwaha </t>
  </si>
  <si>
    <t xml:space="preserve">Hasouli </t>
  </si>
  <si>
    <t xml:space="preserve">Deo </t>
  </si>
  <si>
    <t>Abhay Kumar Yadav</t>
  </si>
  <si>
    <t xml:space="preserve">pokhraha </t>
  </si>
  <si>
    <t>Bitu Kumar</t>
  </si>
  <si>
    <t>Golu Kumar</t>
  </si>
  <si>
    <t>teli</t>
  </si>
  <si>
    <t>Mahfooz Alam</t>
  </si>
  <si>
    <t>Md. Taha</t>
  </si>
  <si>
    <t>Md. Asgar</t>
  </si>
  <si>
    <t xml:space="preserve">karma bhagwan </t>
  </si>
  <si>
    <t>Bhola Kumar</t>
  </si>
  <si>
    <t>Hari Paswan</t>
  </si>
  <si>
    <t>Surender Kumar</t>
  </si>
  <si>
    <t>Sunil Kumar Yadav</t>
  </si>
  <si>
    <t>Surender Ram</t>
  </si>
  <si>
    <t>Surender Yadav</t>
  </si>
  <si>
    <t>Jitendra Kumar</t>
  </si>
  <si>
    <t xml:space="preserve">Unemployed </t>
  </si>
  <si>
    <t>OBC</t>
  </si>
  <si>
    <t xml:space="preserve">Kushwaha </t>
  </si>
  <si>
    <t>Bela</t>
  </si>
  <si>
    <t>RJD</t>
  </si>
  <si>
    <t>Member</t>
  </si>
  <si>
    <t xml:space="preserve">bridge building </t>
  </si>
  <si>
    <t xml:space="preserve">development </t>
  </si>
  <si>
    <t>Shah Faisal</t>
  </si>
  <si>
    <t xml:space="preserve">Business </t>
  </si>
  <si>
    <t xml:space="preserve">Islam </t>
  </si>
  <si>
    <t xml:space="preserve">General </t>
  </si>
  <si>
    <t>Khan</t>
  </si>
  <si>
    <t xml:space="preserve">Nagar Parishad </t>
  </si>
  <si>
    <t>updating voter list</t>
  </si>
  <si>
    <t xml:space="preserve">water problem, road </t>
  </si>
  <si>
    <t>Faiyaz Khan</t>
  </si>
  <si>
    <t xml:space="preserve">Electric Shop </t>
  </si>
  <si>
    <t>water supply, road</t>
  </si>
  <si>
    <t>Road</t>
  </si>
  <si>
    <t xml:space="preserve">Bahut </t>
  </si>
  <si>
    <t>Aarzoo Alam</t>
  </si>
  <si>
    <t>Jitendra Yadav</t>
  </si>
  <si>
    <t>Sarmad Khan</t>
  </si>
  <si>
    <t>RAMAN</t>
  </si>
  <si>
    <t>Umesh Kumar</t>
  </si>
  <si>
    <t>Kushwaha</t>
  </si>
  <si>
    <t xml:space="preserve">Nalanda </t>
  </si>
  <si>
    <t>RAJGIR</t>
  </si>
  <si>
    <t>Giriyak</t>
  </si>
  <si>
    <t>Chorsau</t>
  </si>
  <si>
    <t>ppid</t>
  </si>
  <si>
    <t xml:space="preserve">District kosa precident </t>
  </si>
  <si>
    <t xml:space="preserve">have contested elections </t>
  </si>
  <si>
    <t>SC</t>
  </si>
  <si>
    <t>Paswan</t>
  </si>
  <si>
    <t>Silao</t>
  </si>
  <si>
    <t>Mahuri</t>
  </si>
  <si>
    <t>Prem Raj</t>
  </si>
  <si>
    <t>Manjhi</t>
  </si>
  <si>
    <t xml:space="preserve">nalanda </t>
  </si>
  <si>
    <t xml:space="preserve">change of government </t>
  </si>
  <si>
    <t>Mohit Kumar</t>
  </si>
  <si>
    <t>Rajwanshi</t>
  </si>
  <si>
    <t>Rajgir</t>
  </si>
  <si>
    <t>Municipal Committee</t>
  </si>
  <si>
    <t xml:space="preserve">doctor </t>
  </si>
  <si>
    <t>Mohan Kumar Yadav</t>
  </si>
  <si>
    <t>Yadav</t>
  </si>
  <si>
    <t xml:space="preserve">education, unemployment </t>
  </si>
  <si>
    <t>Raja Babu</t>
  </si>
  <si>
    <t>Chandrawanshi</t>
  </si>
  <si>
    <t>Subhash Kumar</t>
  </si>
  <si>
    <t>Kurmi</t>
  </si>
  <si>
    <t>Nagar Panchayat</t>
  </si>
  <si>
    <t>Parmod Kumar</t>
  </si>
  <si>
    <t>Nunia/Chauhan</t>
  </si>
  <si>
    <t>Gorawan</t>
  </si>
  <si>
    <t xml:space="preserve">Anil Sharma </t>
  </si>
  <si>
    <t>Ravidas</t>
  </si>
  <si>
    <t xml:space="preserve">sos children's Village of India </t>
  </si>
  <si>
    <t>Bihari Manjhi</t>
  </si>
  <si>
    <t>Sabbait</t>
  </si>
  <si>
    <t>Lalan Paswan</t>
  </si>
  <si>
    <t xml:space="preserve">coincidence </t>
  </si>
  <si>
    <t>Bijendar Yadav</t>
  </si>
  <si>
    <t xml:space="preserve">Mgnrega </t>
  </si>
  <si>
    <t>Md Sufan Ansari</t>
  </si>
  <si>
    <t xml:space="preserve">raj mistri </t>
  </si>
  <si>
    <t>Ansari</t>
  </si>
  <si>
    <t xml:space="preserve">Youth precident </t>
  </si>
  <si>
    <t>Shahnawaz Alam</t>
  </si>
  <si>
    <t>Muslim</t>
  </si>
  <si>
    <t>Sheikh</t>
  </si>
  <si>
    <t>Satyendar Prasad</t>
  </si>
  <si>
    <t>Pyarepur</t>
  </si>
  <si>
    <t xml:space="preserve">cleanliness </t>
  </si>
  <si>
    <t xml:space="preserve">rights to policy </t>
  </si>
  <si>
    <t>General</t>
  </si>
  <si>
    <t>Bhumihar</t>
  </si>
  <si>
    <t xml:space="preserve">puja events </t>
  </si>
  <si>
    <t>Prahlad Kumar</t>
  </si>
  <si>
    <t xml:space="preserve">nali problem </t>
  </si>
  <si>
    <t>business , ward sachiv</t>
  </si>
  <si>
    <t>Biharsharif</t>
  </si>
  <si>
    <t>Hargawan</t>
  </si>
  <si>
    <t>Vikas Kumar Chaudhary</t>
  </si>
  <si>
    <t xml:space="preserve">job </t>
  </si>
  <si>
    <t>Pasi</t>
  </si>
  <si>
    <t>Abhayjeet Kumar</t>
  </si>
  <si>
    <t>Rajput</t>
  </si>
  <si>
    <t>Tungi</t>
  </si>
  <si>
    <t>Amit Kumar</t>
  </si>
  <si>
    <t>EBC</t>
  </si>
  <si>
    <t>Gajipur</t>
  </si>
  <si>
    <t xml:space="preserve">ward commissioner </t>
  </si>
  <si>
    <t>Sandeep Kumar</t>
  </si>
  <si>
    <t xml:space="preserve">medical </t>
  </si>
  <si>
    <t>Sao</t>
  </si>
  <si>
    <t>Raitar</t>
  </si>
  <si>
    <t xml:space="preserve">free treatment of people </t>
  </si>
  <si>
    <t>Ghosrawan</t>
  </si>
  <si>
    <t xml:space="preserve">water education problem </t>
  </si>
  <si>
    <t>Prahlad Yadav</t>
  </si>
  <si>
    <t>Veer Bahadur Manjhi</t>
  </si>
  <si>
    <t xml:space="preserve">bhim army's </t>
  </si>
  <si>
    <t>Nai</t>
  </si>
  <si>
    <t>Pappu Kumar Yadav</t>
  </si>
  <si>
    <t>Sanjay Prasad</t>
  </si>
  <si>
    <t>Bablu Kumar Sharma</t>
  </si>
  <si>
    <t>Puraini</t>
  </si>
  <si>
    <t xml:space="preserve">politics work </t>
  </si>
  <si>
    <t>Faizan Khan</t>
  </si>
  <si>
    <t>Sataua</t>
  </si>
  <si>
    <t xml:space="preserve">Play ground problem </t>
  </si>
  <si>
    <t>Saoji</t>
  </si>
  <si>
    <t>Danish Khan</t>
  </si>
  <si>
    <t>Minority</t>
  </si>
  <si>
    <t>Pathan</t>
  </si>
  <si>
    <t>baat krte huye call cut kr diy</t>
  </si>
  <si>
    <t>Barti Devi</t>
  </si>
  <si>
    <t>Badahi</t>
  </si>
  <si>
    <t>Farhan Khan</t>
  </si>
  <si>
    <t>study</t>
  </si>
  <si>
    <t>nalanda</t>
  </si>
  <si>
    <t>Gulshan Kumar</t>
  </si>
  <si>
    <t>Gorama</t>
  </si>
  <si>
    <t xml:space="preserve">wrong number </t>
  </si>
  <si>
    <t>Hari Om</t>
  </si>
  <si>
    <t>kam nhi Krna chahega</t>
  </si>
  <si>
    <t>SHUMS UDDIN ANSARI</t>
  </si>
  <si>
    <t>Amjad Alam</t>
  </si>
  <si>
    <t xml:space="preserve">Sekh </t>
  </si>
  <si>
    <t xml:space="preserve">kishanganj </t>
  </si>
  <si>
    <t>KISHANGANJ</t>
  </si>
  <si>
    <t xml:space="preserve">Municipal corporation </t>
  </si>
  <si>
    <t xml:space="preserve">nager yoba </t>
  </si>
  <si>
    <t>ramjan nadi</t>
  </si>
  <si>
    <t>Anchan Devi</t>
  </si>
  <si>
    <t xml:space="preserve">house wife </t>
  </si>
  <si>
    <t xml:space="preserve">Mahto </t>
  </si>
  <si>
    <t>Ashfaq Alam</t>
  </si>
  <si>
    <t xml:space="preserve">pothia </t>
  </si>
  <si>
    <t xml:space="preserve">duban ucchi </t>
  </si>
  <si>
    <t>Badrul Alam</t>
  </si>
  <si>
    <t xml:space="preserve">gourukhal </t>
  </si>
  <si>
    <t>Budhan Singh</t>
  </si>
  <si>
    <t xml:space="preserve">ranbabsi </t>
  </si>
  <si>
    <t xml:space="preserve">mirjapur </t>
  </si>
  <si>
    <t xml:space="preserve">kisan ykta </t>
  </si>
  <si>
    <t>a/c</t>
  </si>
  <si>
    <t>Farhat</t>
  </si>
  <si>
    <t xml:space="preserve">sital Pur </t>
  </si>
  <si>
    <t xml:space="preserve">panchayat </t>
  </si>
  <si>
    <t>Faryaz Alam</t>
  </si>
  <si>
    <t xml:space="preserve">dubba nochi </t>
  </si>
  <si>
    <t>Gultaz</t>
  </si>
  <si>
    <t xml:space="preserve">block president </t>
  </si>
  <si>
    <t>chalka</t>
  </si>
  <si>
    <t xml:space="preserve">doula </t>
  </si>
  <si>
    <t>Jabbar</t>
  </si>
  <si>
    <t xml:space="preserve">gorukhal </t>
  </si>
  <si>
    <t xml:space="preserve">farmer problem </t>
  </si>
  <si>
    <t>Jahangir Alam</t>
  </si>
  <si>
    <t xml:space="preserve">gorokhal </t>
  </si>
  <si>
    <t>Kausher Alam</t>
  </si>
  <si>
    <t>Kishor Kumar</t>
  </si>
  <si>
    <t>Md Ahsan</t>
  </si>
  <si>
    <t>Md Kabir</t>
  </si>
  <si>
    <t>Md Rehan</t>
  </si>
  <si>
    <t xml:space="preserve"> OBC </t>
  </si>
  <si>
    <t xml:space="preserve">bota thana </t>
  </si>
  <si>
    <t>Meraj Alam</t>
  </si>
  <si>
    <t xml:space="preserve">kusayari </t>
  </si>
  <si>
    <t>Mohd Resu</t>
  </si>
  <si>
    <t>Mohd Shadab</t>
  </si>
  <si>
    <t>Muftadi</t>
  </si>
  <si>
    <t xml:space="preserve">chakla </t>
  </si>
  <si>
    <t xml:space="preserve">youth precident </t>
  </si>
  <si>
    <t>Radha Kumari</t>
  </si>
  <si>
    <t xml:space="preserve">mhengam </t>
  </si>
  <si>
    <t>Rakesh Das</t>
  </si>
  <si>
    <t xml:space="preserve">tedha gach </t>
  </si>
  <si>
    <t>kalpeer</t>
  </si>
  <si>
    <t>Sanjay</t>
  </si>
  <si>
    <t xml:space="preserve">diggal Bank </t>
  </si>
  <si>
    <t xml:space="preserve">tulsiya </t>
  </si>
  <si>
    <t xml:space="preserve">blood donation </t>
  </si>
  <si>
    <t>Sanjay Saini</t>
  </si>
  <si>
    <t xml:space="preserve">kalpir </t>
  </si>
  <si>
    <t xml:space="preserve">sahkarita </t>
  </si>
  <si>
    <t xml:space="preserve">chif security </t>
  </si>
  <si>
    <t>Shadab Alam</t>
  </si>
  <si>
    <t>Thabasum</t>
  </si>
  <si>
    <t xml:space="preserve">awareness people </t>
  </si>
  <si>
    <t>Amanullah</t>
  </si>
  <si>
    <t xml:space="preserve">phar katta </t>
  </si>
  <si>
    <t>Shabir Alam</t>
  </si>
  <si>
    <t>Nayeem Aktar</t>
  </si>
  <si>
    <t xml:space="preserve">district Presidents </t>
  </si>
  <si>
    <t>ASHISH KUMAR (TIKARI)</t>
  </si>
  <si>
    <t>socal worker</t>
  </si>
  <si>
    <t>shekh</t>
  </si>
  <si>
    <t>Gaya</t>
  </si>
  <si>
    <t>TIKARI</t>
  </si>
  <si>
    <t>kishanganj</t>
  </si>
  <si>
    <t xml:space="preserve">town President </t>
  </si>
  <si>
    <t xml:space="preserve">Road light </t>
  </si>
  <si>
    <t>ramjan river</t>
  </si>
  <si>
    <t>Ritish Kumar</t>
  </si>
  <si>
    <t>Barjesh Kumar</t>
  </si>
  <si>
    <t>company</t>
  </si>
  <si>
    <t xml:space="preserve">chandrawansi </t>
  </si>
  <si>
    <t xml:space="preserve">Tikari </t>
  </si>
  <si>
    <t>mussi</t>
  </si>
  <si>
    <t xml:space="preserve">Development </t>
  </si>
  <si>
    <t>Student</t>
  </si>
  <si>
    <t>Tikari</t>
  </si>
  <si>
    <t>Palwar</t>
  </si>
  <si>
    <t>Omprey Yadav</t>
  </si>
  <si>
    <t>Rubi Devi</t>
  </si>
  <si>
    <t>Shudesh Kumar</t>
  </si>
  <si>
    <t>Md. Tahuid</t>
  </si>
  <si>
    <t>Ranjan Yadav</t>
  </si>
  <si>
    <t>Dablu Kumar</t>
  </si>
  <si>
    <t xml:space="preserve">Student </t>
  </si>
  <si>
    <t>Diwra</t>
  </si>
  <si>
    <t>Aman Gupta</t>
  </si>
  <si>
    <t>gupta</t>
  </si>
  <si>
    <t xml:space="preserve">tikari </t>
  </si>
  <si>
    <t>mahamnna</t>
  </si>
  <si>
    <t>Aman Rathor</t>
  </si>
  <si>
    <t xml:space="preserve">rajput </t>
  </si>
  <si>
    <t xml:space="preserve">mahamnna </t>
  </si>
  <si>
    <t>Rajnish Kumar</t>
  </si>
  <si>
    <t>Chitranjan Kumar</t>
  </si>
  <si>
    <t>Sourav Kumar</t>
  </si>
  <si>
    <t>Randhir Kumar</t>
  </si>
  <si>
    <t>dash</t>
  </si>
  <si>
    <t>tikar</t>
  </si>
  <si>
    <t>Kush Ranjan</t>
  </si>
  <si>
    <t>Gunjan Kumar</t>
  </si>
  <si>
    <t>mali</t>
  </si>
  <si>
    <t>Ranjan Kumar</t>
  </si>
  <si>
    <t xml:space="preserve">Brahaman </t>
  </si>
  <si>
    <t>Halwai</t>
  </si>
  <si>
    <t>Coach</t>
  </si>
  <si>
    <t xml:space="preserve">Coach </t>
  </si>
  <si>
    <t>Rajveer Singh</t>
  </si>
  <si>
    <t>Rajut</t>
  </si>
  <si>
    <t>coach</t>
  </si>
  <si>
    <t>Uttrain</t>
  </si>
  <si>
    <t>Md. Abdul Hamir</t>
  </si>
  <si>
    <t>sadiki</t>
  </si>
  <si>
    <t>Robin Sharma</t>
  </si>
  <si>
    <t>Upendra Kumar</t>
  </si>
  <si>
    <t>NGO</t>
  </si>
  <si>
    <t>chamaar</t>
  </si>
  <si>
    <t>Noni</t>
  </si>
  <si>
    <t xml:space="preserve">Road </t>
  </si>
  <si>
    <t>Gunjan Devi</t>
  </si>
  <si>
    <t>Akshay Choudhary</t>
  </si>
  <si>
    <t>ward Parsd</t>
  </si>
  <si>
    <t>pasi</t>
  </si>
  <si>
    <t xml:space="preserve">Connected </t>
  </si>
  <si>
    <t>yes</t>
  </si>
  <si>
    <t>Light</t>
  </si>
  <si>
    <t xml:space="preserve">verified </t>
  </si>
  <si>
    <t>SARFARAZ</t>
  </si>
  <si>
    <t>Afroj Alam</t>
  </si>
  <si>
    <t>Panchayat me Hai</t>
  </si>
  <si>
    <t>Kulhaiya</t>
  </si>
  <si>
    <t>Araria</t>
  </si>
  <si>
    <t>Dhiyari</t>
  </si>
  <si>
    <t>Worker</t>
  </si>
  <si>
    <t>MD.Shahid</t>
  </si>
  <si>
    <t xml:space="preserve">ward </t>
  </si>
  <si>
    <t>kulhaiya</t>
  </si>
  <si>
    <t xml:space="preserve">araria </t>
  </si>
  <si>
    <t>dhiyari</t>
  </si>
  <si>
    <t>warker</t>
  </si>
  <si>
    <t>Irsad Alam</t>
  </si>
  <si>
    <t>Sarfaraz</t>
  </si>
  <si>
    <t>Ramzan</t>
  </si>
  <si>
    <t>soch kar bataenge</t>
  </si>
  <si>
    <t>Abdul Mateen</t>
  </si>
  <si>
    <t>call uthane ke bad call Kat Diya uske bad call nahin utha raha hai</t>
  </si>
  <si>
    <t>Abdul Quddus</t>
  </si>
  <si>
    <t>purv mukhiya</t>
  </si>
  <si>
    <t>araria</t>
  </si>
  <si>
    <t>Raj pokhariya</t>
  </si>
  <si>
    <t>worker</t>
  </si>
  <si>
    <t>Dilshan Ahsan</t>
  </si>
  <si>
    <t>MD.Eshan</t>
  </si>
  <si>
    <t>mukhiya candidate</t>
  </si>
  <si>
    <t xml:space="preserve">Gaura </t>
  </si>
  <si>
    <t>Yasin Ansari</t>
  </si>
  <si>
    <t>arhan ji se nahin mile hai milane ke bad main aapse baat karunga  ya Monday ko Patna a rahe hain vahin per milenge aur vahan per baat hogi</t>
  </si>
  <si>
    <t>Naresh Yadav</t>
  </si>
  <si>
    <t xml:space="preserve">Panchayat samiti </t>
  </si>
  <si>
    <t xml:space="preserve">Yadav </t>
  </si>
  <si>
    <t>Taruna Bhojpur</t>
  </si>
  <si>
    <t>Mukesh Bhagat</t>
  </si>
  <si>
    <t>Dilip Kumar</t>
  </si>
  <si>
    <t xml:space="preserve">ward present </t>
  </si>
  <si>
    <t>dhanu</t>
  </si>
  <si>
    <t>kushiyar gao</t>
  </si>
  <si>
    <t>Tajmul</t>
  </si>
  <si>
    <t>MD,Shaukat</t>
  </si>
  <si>
    <t>Mohammad Ali</t>
  </si>
  <si>
    <t>Saddam</t>
  </si>
  <si>
    <t xml:space="preserve">    up mukhiya</t>
  </si>
  <si>
    <t>surjapuri</t>
  </si>
  <si>
    <t>belwa</t>
  </si>
  <si>
    <t>Sakib</t>
  </si>
  <si>
    <t>MD.Rafat</t>
  </si>
  <si>
    <t>Saif</t>
  </si>
  <si>
    <t>batur Bari</t>
  </si>
  <si>
    <t>MD.Zahid</t>
  </si>
  <si>
    <t>bole ki Ham kisi ke andar mein Kam nahin karenge main  Kisi Ko jor  sakta hun per karya nahin karunga</t>
  </si>
  <si>
    <t>Abdullah</t>
  </si>
  <si>
    <t>Nahid Alam</t>
  </si>
  <si>
    <t>Fazle Karim</t>
  </si>
  <si>
    <t xml:space="preserve">Driving </t>
  </si>
  <si>
    <t>Shekh</t>
  </si>
  <si>
    <t>Belwa</t>
  </si>
  <si>
    <t>As a worker</t>
  </si>
  <si>
    <t xml:space="preserve">Road  Problem </t>
  </si>
  <si>
    <t>VIVEK KUMAR</t>
  </si>
  <si>
    <t>Abhay Kumar</t>
  </si>
  <si>
    <t>Naland</t>
  </si>
  <si>
    <t>Harnaut</t>
  </si>
  <si>
    <t xml:space="preserve">kolamba </t>
  </si>
  <si>
    <t>Congres</t>
  </si>
  <si>
    <t>Rasan</t>
  </si>
  <si>
    <t>Dinesh Jamadar</t>
  </si>
  <si>
    <t>ward Membe</t>
  </si>
  <si>
    <t xml:space="preserve">Chouhan </t>
  </si>
  <si>
    <t>Nalanda</t>
  </si>
  <si>
    <t>kolamba</t>
  </si>
  <si>
    <t xml:space="preserve">Indira Awas </t>
  </si>
  <si>
    <t>Bacchan Kumar</t>
  </si>
  <si>
    <t>Suhani Sinha</t>
  </si>
  <si>
    <t>Sunita Devi</t>
  </si>
  <si>
    <t>Jai Prakash Kumar</t>
  </si>
  <si>
    <t>Anjani Kumar</t>
  </si>
  <si>
    <t>Ajit Kumar Ram</t>
  </si>
  <si>
    <t>Urmila Devi</t>
  </si>
  <si>
    <t>Sanoj Kumar</t>
  </si>
  <si>
    <t>Ramuchit Jamadar</t>
  </si>
  <si>
    <t>Satyendra Prasad</t>
  </si>
  <si>
    <t>Seema Devi</t>
  </si>
  <si>
    <t>Snehlata Kumari</t>
  </si>
  <si>
    <t>Usha Devi</t>
  </si>
  <si>
    <t>Ganga Vishun Jamadar</t>
  </si>
  <si>
    <t>Raushan Kumar</t>
  </si>
  <si>
    <t>Kiran Devi</t>
  </si>
  <si>
    <t>Jayant Kumar Singh</t>
  </si>
  <si>
    <t>Aarti Kumari</t>
  </si>
  <si>
    <t>Manti Devi</t>
  </si>
  <si>
    <t>Shiv Mistri</t>
  </si>
  <si>
    <t>Deenanath Kumar</t>
  </si>
  <si>
    <t>Soni Devi</t>
  </si>
  <si>
    <t>Shri Ram Paswan</t>
  </si>
  <si>
    <t>Mamta Devi</t>
  </si>
  <si>
    <t>Amrita Devi</t>
  </si>
  <si>
    <t>Vipin Kumar</t>
  </si>
  <si>
    <t>Kumari Nibha Sinha</t>
  </si>
  <si>
    <t>Reena Devi</t>
  </si>
  <si>
    <t>Sudhir Vind</t>
  </si>
  <si>
    <t>Pramila Devi</t>
  </si>
  <si>
    <t>Ram Charan Paswan</t>
  </si>
  <si>
    <t>Niru Devi</t>
  </si>
  <si>
    <t>Anita Devi</t>
  </si>
  <si>
    <t>Sohgiya Devi</t>
  </si>
  <si>
    <t>Shailesh Kumar</t>
  </si>
  <si>
    <t>Saroj Devi</t>
  </si>
  <si>
    <t>Siyawati Devi</t>
  </si>
  <si>
    <t>Arvind Paswan</t>
  </si>
  <si>
    <t>Muskan Kumari</t>
  </si>
  <si>
    <t>Poonam Devi</t>
  </si>
  <si>
    <t>Geeta Devi</t>
  </si>
  <si>
    <t>Arun Malakar</t>
  </si>
  <si>
    <t>Rita Devi</t>
  </si>
  <si>
    <t>Raveena Devi</t>
  </si>
  <si>
    <t>Jaymanti Kumari</t>
  </si>
  <si>
    <t>Shivji Prasad</t>
  </si>
  <si>
    <t>Suvili Devi</t>
  </si>
  <si>
    <t>SLP List
Assembly: LAKHISARIA
Training Date &amp; Time: 13th Sept, 12pm - 2pm
Location: KSS College,Chitranjan Ashram, Congress Office, Lakhisarai
Field Coordinator: ASHUTOSH</t>
  </si>
  <si>
    <t>Calling Status 11th Sept</t>
  </si>
  <si>
    <t>Calling Status 13th Sept</t>
  </si>
  <si>
    <t>CONFIRMED</t>
  </si>
  <si>
    <t>NOT CONFIRMED</t>
  </si>
  <si>
    <t>Bahar aaye h</t>
  </si>
  <si>
    <t>out of Bihar gye h</t>
  </si>
  <si>
    <t>Delhi me h</t>
  </si>
  <si>
    <t>Dinesh Chandravanshi</t>
  </si>
  <si>
    <t>pahuch rhe h</t>
  </si>
  <si>
    <t>Rajeev Kahar</t>
  </si>
  <si>
    <t>jaa rhe h</t>
  </si>
  <si>
    <t>Sanjay Rajak</t>
  </si>
  <si>
    <t>Jay prakash Gupta</t>
  </si>
  <si>
    <t>Sunil Gupta</t>
  </si>
  <si>
    <t>Raste mein  h</t>
  </si>
  <si>
    <t>Akhilesh Yadav</t>
  </si>
  <si>
    <t>Uma Bharti</t>
  </si>
  <si>
    <t>Rachit Ram</t>
  </si>
  <si>
    <t>Nhi jayenge</t>
  </si>
  <si>
    <t>Vasant Manjhi</t>
  </si>
  <si>
    <t>Manoj Ram</t>
  </si>
  <si>
    <t>9576811510, 6203911406</t>
  </si>
  <si>
    <t>Bambam Paswan</t>
  </si>
  <si>
    <t>7004044848, 7633919829</t>
  </si>
  <si>
    <t>Ram kumar Paswan</t>
  </si>
  <si>
    <t>Rekha Devi</t>
  </si>
  <si>
    <t>Pahuch gye h</t>
  </si>
  <si>
    <t>Vishakha Kumari</t>
  </si>
  <si>
    <t>Ganga Rajak</t>
  </si>
  <si>
    <t>Harish Kumar Pandey</t>
  </si>
  <si>
    <t>Prem Kumar Sinha</t>
  </si>
  <si>
    <t>Naval Ram</t>
  </si>
  <si>
    <t>Bahar Hai abhi</t>
  </si>
  <si>
    <t>Md. Waris</t>
  </si>
  <si>
    <t>kuch kaam tha nhi aayenge</t>
  </si>
  <si>
    <t>Vikas Sahu</t>
  </si>
  <si>
    <t>Arvind Yadav</t>
  </si>
  <si>
    <t>Anandi Bind</t>
  </si>
  <si>
    <t>Dayanand Yadav</t>
  </si>
  <si>
    <t>Raana Yadav</t>
  </si>
  <si>
    <t>ShivNandan Mahto</t>
  </si>
  <si>
    <t>Annapurna Devi</t>
  </si>
  <si>
    <t>Pankaj Kumar Verma</t>
  </si>
  <si>
    <t>Choti Khatton</t>
  </si>
  <si>
    <t>Roshan Khatoon</t>
  </si>
  <si>
    <t>Kameshwar Manjhi</t>
  </si>
  <si>
    <t>Neeraj mandal</t>
  </si>
  <si>
    <t>Vibha mahto</t>
  </si>
  <si>
    <t>kosis krege aane ka</t>
  </si>
  <si>
    <t>Hemant mahto</t>
  </si>
  <si>
    <t xml:space="preserve">number amany h </t>
  </si>
  <si>
    <t>Md Izhar alam</t>
  </si>
  <si>
    <t xml:space="preserve">nhi aa payenge </t>
  </si>
  <si>
    <t>Ashok Ram</t>
  </si>
  <si>
    <t>Hakim Paswan</t>
  </si>
  <si>
    <t>Parmanand Mandal</t>
  </si>
  <si>
    <t xml:space="preserve">nhi ayenge </t>
  </si>
  <si>
    <t>Prabhat kumar</t>
  </si>
  <si>
    <t>Pawan Sahni</t>
  </si>
  <si>
    <t>8083230955, 7258876192</t>
  </si>
  <si>
    <t>Satrudhan Singh</t>
  </si>
  <si>
    <t>Loha singh</t>
  </si>
  <si>
    <t>Jyoti Thakur</t>
  </si>
  <si>
    <t>nhi ayengi</t>
  </si>
  <si>
    <t>Ram Pravesh kumar Yadav</t>
  </si>
  <si>
    <t xml:space="preserve">out of network </t>
  </si>
  <si>
    <t>Pramod Malik</t>
  </si>
  <si>
    <t>Sachin kumar</t>
  </si>
  <si>
    <t>Rahul Mahto</t>
  </si>
  <si>
    <t>Mahesh Singh</t>
  </si>
  <si>
    <t>Ajay Kumar Singh</t>
  </si>
  <si>
    <t>ASHISH PASWAN</t>
  </si>
  <si>
    <t>bahar gye h</t>
  </si>
  <si>
    <t>SUNNY PASWAN</t>
  </si>
  <si>
    <t>Sunil kumar</t>
  </si>
  <si>
    <t xml:space="preserve">hospital issues </t>
  </si>
  <si>
    <t>Abhay Kumar singh - Sonu</t>
  </si>
  <si>
    <t>Manoj bharti</t>
  </si>
  <si>
    <t>Uchit Yadav</t>
  </si>
  <si>
    <t>Asgar Shah</t>
  </si>
  <si>
    <t>Rampravesh Paswan</t>
  </si>
  <si>
    <t>Sanjay Yadav</t>
  </si>
  <si>
    <t>Mamta Mahto</t>
  </si>
  <si>
    <t xml:space="preserve">SLP List
Assembly:  HARLAKHI
Training Date &amp; Time: 4TH SEPTEMBER
Location:-UMGAON
Field Coordinator: ZARTAB ALAM </t>
  </si>
  <si>
    <t>Calling Status 3rd September</t>
  </si>
  <si>
    <t>Hariom Kumar</t>
  </si>
  <si>
    <t>Bhavem Kumar Mahto</t>
  </si>
  <si>
    <t>Jyoti Kumari</t>
  </si>
  <si>
    <t>Ramam Spasht</t>
  </si>
  <si>
    <t>Gokulanand Jhap</t>
  </si>
  <si>
    <t>Subhash Yadav</t>
  </si>
  <si>
    <t>Vivek Kumar Mahto</t>
  </si>
  <si>
    <t>Sitesh Kumar Paswan</t>
  </si>
  <si>
    <t>Govind Mahto</t>
  </si>
  <si>
    <t>Naresh Shah</t>
  </si>
  <si>
    <t>Md Sohail</t>
  </si>
  <si>
    <t>Mohammad Shafique</t>
  </si>
  <si>
    <t>Naresh</t>
  </si>
  <si>
    <t>Madhubani</t>
  </si>
  <si>
    <t>Harlakhi</t>
  </si>
  <si>
    <t>no</t>
  </si>
  <si>
    <t>harlakhi</t>
  </si>
  <si>
    <t>sahi se baat nahin kar raha hai बार-बार call Kat de raha hai</t>
  </si>
  <si>
    <t xml:space="preserve">harlakhi </t>
  </si>
  <si>
    <t xml:space="preserve">benipatti </t>
  </si>
  <si>
    <t xml:space="preserve">akur </t>
  </si>
  <si>
    <t>state secretary( IYC)</t>
  </si>
  <si>
    <t xml:space="preserve">mahato </t>
  </si>
  <si>
    <t xml:space="preserve">gor harhar </t>
  </si>
  <si>
    <t xml:space="preserve">warker </t>
  </si>
  <si>
    <t>bhole ki jartabalam se baat karenge tab aapse baat karenge aur call Kat Diya</t>
  </si>
  <si>
    <t>iska Madhubani vidhansabha hai</t>
  </si>
  <si>
    <t>rain</t>
  </si>
  <si>
    <t>suthgao</t>
  </si>
  <si>
    <t>umgaon</t>
  </si>
  <si>
    <t>poochhne ke bad call Kat Diya</t>
  </si>
  <si>
    <t xml:space="preserve">SLP List
Assembly: WAZIRGANJ
Training Date &amp; Time: 7th AUGUST, 1:00 PM
Location:RAGHUNANDAN JI RESTURANT , GAYA NAWAD ROAD(NEAR FLYDINE RESTURANT)
Field Coordinator:PRANAV </t>
  </si>
  <si>
    <t xml:space="preserve">26th July Calling Status </t>
  </si>
  <si>
    <t>Ishwar Dayal</t>
  </si>
  <si>
    <t>Vikram Kumar</t>
  </si>
  <si>
    <t>Shiv Shankar</t>
  </si>
  <si>
    <t>Praveen Kumar</t>
  </si>
  <si>
    <t>Dhirendar Kumar</t>
  </si>
  <si>
    <t>Dindayal Kumar</t>
  </si>
  <si>
    <t>Nagendra Kumar</t>
  </si>
  <si>
    <t>PRANAV</t>
  </si>
  <si>
    <t>GAYA</t>
  </si>
  <si>
    <t>WAZIRGANJ</t>
  </si>
  <si>
    <t>kushvaha</t>
  </si>
  <si>
    <t xml:space="preserve">manpur </t>
  </si>
  <si>
    <t xml:space="preserve">lakhanpur </t>
  </si>
  <si>
    <t>waker</t>
  </si>
  <si>
    <t>NOT INTRESTED</t>
  </si>
  <si>
    <t>hamare pass samay nahin Hai meeting mein nahin Ja payenge aur call Kat Diya</t>
  </si>
  <si>
    <t xml:space="preserve">teacher </t>
  </si>
  <si>
    <t>baragedha</t>
  </si>
  <si>
    <t>lohar</t>
  </si>
  <si>
    <t>manpur</t>
  </si>
  <si>
    <t>khusri</t>
  </si>
  <si>
    <t xml:space="preserve">khusri </t>
  </si>
  <si>
    <t>Sham mein baat hogi</t>
  </si>
  <si>
    <t xml:space="preserve">bejo gar </t>
  </si>
  <si>
    <t>ward/47</t>
  </si>
  <si>
    <t xml:space="preserve">shadipur </t>
  </si>
  <si>
    <t>rdj</t>
  </si>
  <si>
    <t>Panchayat adhyaksh</t>
  </si>
  <si>
    <t>bole ki abhi mere pass samay nahin Hai cal main a jaunga call Kat Diya bike chala raha tha</t>
  </si>
  <si>
    <t>aana chahte Hain but hamare pass samay nahin Hai sorry sir kah kar call Kat Diya</t>
  </si>
  <si>
    <t>bhore</t>
  </si>
  <si>
    <t xml:space="preserve">waker </t>
  </si>
  <si>
    <t>chandraruti</t>
  </si>
  <si>
    <t>ward/4</t>
  </si>
  <si>
    <t>bike chala raha tha bola ki main cal detail de dunga ya FIR pahunchne ke bad</t>
  </si>
  <si>
    <t>Kisi Karan bus Kisi  function mein jaane ke Karan main aapke yahan nahin a sakta hun</t>
  </si>
  <si>
    <t xml:space="preserve">berojgar </t>
  </si>
  <si>
    <t>koch</t>
  </si>
  <si>
    <t>adai</t>
  </si>
  <si>
    <t xml:space="preserve">tokari </t>
  </si>
  <si>
    <t>slp hai ya bole ki payment nahin aaega to Kam nahin karenge</t>
  </si>
  <si>
    <t>Inka cal Koi Aadhar jagah Koi meeting hai isliye yah nahin aaenge</t>
  </si>
  <si>
    <t>SLP List
Assembly: HARNAUT
Training Date &amp; Time: 3rd Sept, 12pm Onwards
Location: आशीर्वाद मैरेज हॉल, डाकबंगला रोड, हाई स्कूल हरनौत के पास
Field Coordinator: Vivek Kumar</t>
  </si>
  <si>
    <t>Calling Status 1st Sept</t>
  </si>
  <si>
    <t>Calling Status 3rd Sept</t>
  </si>
  <si>
    <t xml:space="preserve">tabiyat kharab hai </t>
  </si>
  <si>
    <t xml:space="preserve">Call cut </t>
  </si>
  <si>
    <t>nhi aa paygi</t>
  </si>
  <si>
    <t xml:space="preserve">call cut </t>
  </si>
  <si>
    <t xml:space="preserve">tabiyat thik nahi hai </t>
  </si>
  <si>
    <t>tabiyat thik nhi h</t>
  </si>
  <si>
    <t>Dekhte h</t>
  </si>
  <si>
    <t>panchyat me kaam h</t>
  </si>
  <si>
    <t>kolkata gyi h</t>
  </si>
  <si>
    <t>fasting ki h</t>
  </si>
  <si>
    <t xml:space="preserve">Not Incoming </t>
  </si>
  <si>
    <t xml:space="preserve">Nhi Aayenge </t>
  </si>
  <si>
    <t xml:space="preserve">Nhi aa payenge </t>
  </si>
  <si>
    <t>Call cut</t>
  </si>
  <si>
    <t>Taibyat thik nhii h</t>
  </si>
  <si>
    <t>Tbiyt thik nhi hai</t>
  </si>
  <si>
    <t>Shrikant Paswan</t>
  </si>
  <si>
    <t>Anuja Kumari</t>
  </si>
  <si>
    <t>Amarnaath</t>
  </si>
  <si>
    <t>Umesh Prasad</t>
  </si>
  <si>
    <t xml:space="preserve">Pushpa Kumari </t>
  </si>
  <si>
    <t>Anirudh prasad</t>
  </si>
  <si>
    <t>Santosh kumar</t>
  </si>
  <si>
    <t>Time nhi h</t>
  </si>
  <si>
    <t>Rajendra Singh</t>
  </si>
  <si>
    <t>Naval Kishor Prasad</t>
  </si>
  <si>
    <t>Ranjeet Chauhan</t>
  </si>
  <si>
    <t>Accident ho gya h</t>
  </si>
  <si>
    <t>Sonu Chauhan</t>
  </si>
  <si>
    <t>Faujdari singh</t>
  </si>
  <si>
    <t>Indal prasad</t>
  </si>
  <si>
    <t>kameshwar prasad</t>
  </si>
  <si>
    <t>Narendra Sahi</t>
  </si>
  <si>
    <t>nawal yadav</t>
  </si>
  <si>
    <t>Rajesh chauhan</t>
  </si>
  <si>
    <t>mirdila kumari</t>
  </si>
  <si>
    <t>Death kr gya h koi</t>
  </si>
  <si>
    <t>Serial No</t>
  </si>
  <si>
    <t>AC</t>
  </si>
  <si>
    <t>Name of Coordinator</t>
  </si>
  <si>
    <t>Total Data</t>
  </si>
  <si>
    <t>Call Connected</t>
  </si>
  <si>
    <t>Not verified</t>
  </si>
  <si>
    <t>Switch Off</t>
  </si>
  <si>
    <t>Wrong</t>
  </si>
  <si>
    <t>Meeting Date</t>
  </si>
  <si>
    <t>Remark For Training And Final Sheet</t>
  </si>
  <si>
    <t>Meeting done</t>
  </si>
  <si>
    <t>Ajay Kumar Yadav</t>
  </si>
  <si>
    <t>Captain Deepu</t>
  </si>
  <si>
    <t>Tribhuvan Kumar</t>
  </si>
  <si>
    <t>Ejaj ahmad</t>
  </si>
  <si>
    <t>Imbesat Ahmad</t>
  </si>
  <si>
    <t>KAHALGAON</t>
  </si>
  <si>
    <t>Pranav</t>
  </si>
  <si>
    <t>meeting done</t>
  </si>
  <si>
    <t>AURANGABAD</t>
  </si>
  <si>
    <t>Abdullah Amin</t>
  </si>
  <si>
    <t>Raman</t>
  </si>
  <si>
    <t>meeting call done</t>
  </si>
  <si>
    <t>Shums Uddin Ansari</t>
  </si>
  <si>
    <t>Ashish Kumar</t>
  </si>
  <si>
    <t xml:space="preserve">SLP List
Assembly: ARWAL
Training Date &amp; Time: 27/07/25 
Location: आंध्रचक, हाइ स्कूल ( रविदाश भगवान ) के पास main रोड पर, नियर शहर तेलपा
Field Coordinator: CAPTAIN DEEPU </t>
  </si>
  <si>
    <t>Calling Status 26th July</t>
  </si>
  <si>
    <t>SLP List
Assembly: TIKARI
Training Date &amp; Time: 27th JULY 9:00AM
Location:  Chhaavanee Mohalla, Infront of Masjid, Near Budhwa Mahade Asthan Hospital Road.
Field Coordinator: Ashish Kumar</t>
  </si>
  <si>
    <t xml:space="preserve">wrong profile </t>
  </si>
  <si>
    <t>SLP List
Assembly: PRANPUR
Training Date &amp; Time:  28/07/25 11:00am
Location: Daroga bagicha aazam nagar
Field Coordinator: MD IMBESAT AHMAD</t>
  </si>
  <si>
    <t>MD IMBESAT AHMAD (7838622990)</t>
  </si>
  <si>
    <t>SLP List
Assembly: KISHANGANJ
Training Date &amp; Time: 27 July 2025, 10:00 AM
Location: Rehmat Nagar Karbala Kishanganj
Field Coordinator: SHUMS UDDIN ANSARI</t>
  </si>
  <si>
    <t>SLP List
Assembly: AURANGABAD
Training Date &amp; Time: 30th july, 9:30 am
Location: Zila Congress Committe Karyalay(Nikhil Babu Ke Awash), Dani Bigha, Aurangabad
Field Coordinator: ABDULLAH  AMIN</t>
  </si>
  <si>
    <t xml:space="preserve">Calling Status </t>
  </si>
  <si>
    <t xml:space="preserve"> </t>
  </si>
  <si>
    <t>SLP List
Assembly: CHIRAYA
Training Date &amp; Time: 
Location: 
Field Coordinator: TRIBHUWAN KUMAR</t>
  </si>
  <si>
    <t>SLP List
Assembly:  Kahalgaon
Training Date &amp; Time: 24th july 12:00am
Location:  Residence of Anukant Singh,  Ekchari, Behind Platform No. 2 Ekchari
Field Coordinator: Pranav</t>
  </si>
  <si>
    <t>Calling Status 23th July</t>
  </si>
  <si>
    <t xml:space="preserve">Patna aa chuka hai to nhi aaega </t>
  </si>
  <si>
    <t>Meeting call done</t>
  </si>
  <si>
    <t>SLP List
Assembly: PARO
Training Date &amp; Time: 24th JULY 5:00pm 
Location: Paru Dekhsani Neyaz Mukhiya ke ghar pe
Field Coordinator: MD.SARFARAZ</t>
  </si>
  <si>
    <t>Calling Status 24th July</t>
  </si>
  <si>
    <t xml:space="preserve">Ajay Kumar </t>
  </si>
  <si>
    <t xml:space="preserve">kl nahi aenge sasur ka tabiyat kharab hai </t>
  </si>
  <si>
    <t xml:space="preserve">incoming off </t>
  </si>
  <si>
    <t>SLP List
Assembly: JALE
Training Date &amp; Time: 22/07/2025,11:30
Location: SADIQUE ARZU CAMPUS,GANDHI CHAUK KE  PAAS SHAIKH MOHALLA JALE
Field Coordinator: EJAJ AHMED</t>
  </si>
  <si>
    <t>Calling Status 21th July</t>
  </si>
  <si>
    <t>Final confirmation status</t>
  </si>
  <si>
    <t>kosis kr rhe h aane ka</t>
  </si>
  <si>
    <t>n</t>
  </si>
  <si>
    <t xml:space="preserve">kosis kr rhe h aane ka </t>
  </si>
  <si>
    <t xml:space="preserve">switch off </t>
  </si>
  <si>
    <t>SLP List
Assembly: GOPALGANJ
Training Date &amp; Time: 
Location: 
Field Coordinator: AJAY Kr. YADAV</t>
  </si>
  <si>
    <t>Calling Status 21th july</t>
  </si>
  <si>
    <t>nsui</t>
  </si>
  <si>
    <t>block president</t>
  </si>
  <si>
    <t>chatron ke mudde pr kaam kiye h</t>
  </si>
  <si>
    <t>fees hike of govt colleges</t>
  </si>
  <si>
    <t>bole h ayenge abhi baat hui h</t>
  </si>
  <si>
    <t>baat ho gyi h bs bol rhe the do baar date change ho gya h</t>
  </si>
  <si>
    <t>dasuat</t>
  </si>
  <si>
    <t>pacs procurment</t>
  </si>
  <si>
    <t>tb padhai m busy the bole h ayenge</t>
  </si>
  <si>
    <t>personally milke baat hui h ayenge</t>
  </si>
  <si>
    <t>abhi gaon me nhi h ayenge us din fir bhi</t>
  </si>
  <si>
    <t xml:space="preserve">personally milke bata diya gya h inko </t>
  </si>
  <si>
    <t>ye shakti team m kaam kr sakti h</t>
  </si>
  <si>
    <t>personally mile h inse ayenge</t>
  </si>
  <si>
    <t>CHANDAN</t>
  </si>
  <si>
    <t>SLP List
Assembly: Rosera
Training Date &amp; Time:16th July,1 PM to 5 PM
Location: Kariyan Sanskrit Vidyalaya
Field Coordinator:Chandan Ray</t>
  </si>
  <si>
    <t>Calling Status 16th July</t>
  </si>
  <si>
    <t xml:space="preserve">call back later </t>
  </si>
  <si>
    <t>SLP List
Assembly:  RAJGIR
Training Date &amp; Time: 26th july 10:00am
Location:  Mayur Hotel, Near Rajvanshi market and Bus Stand, Rajgir
Field Coordinator: RAMAN 9729150015 / 7015103328</t>
  </si>
  <si>
    <t>Calling Status 25th July</t>
  </si>
  <si>
    <t xml:space="preserve">Anil yadav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</si>
</sst>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9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b/>
      <sz val="11.0"/>
      <color theme="1"/>
      <name val="EB Garamond"/>
    </font>
    <font>
      <b/>
      <sz val="12.0"/>
      <color theme="1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/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Calibri"/>
    </font>
    <font>
      <b/>
      <color theme="1"/>
      <name val="EB Garamond"/>
    </font>
    <font>
      <b/>
      <color rgb="FF000000"/>
      <name val="EB Garamond"/>
    </font>
    <font>
      <b/>
      <color rgb="FF000000"/>
      <name val="Arial"/>
      <scheme val="minor"/>
    </font>
    <font>
      <color theme="1"/>
      <name val="EB Garamond"/>
    </font>
    <font>
      <b/>
      <sz val="10.0"/>
      <color theme="1"/>
      <name val="Arial"/>
      <scheme val="minor"/>
    </font>
    <font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6AA84F"/>
        <bgColor rgb="FF6AA84F"/>
      </patternFill>
    </fill>
    <fill>
      <patternFill patternType="solid">
        <fgColor rgb="FF60A15F"/>
        <bgColor rgb="FF60A15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right" vertical="bottom"/>
    </xf>
    <xf borderId="0" fillId="4" fontId="1" numFmtId="0" xfId="0" applyAlignment="1" applyFill="1" applyFont="1">
      <alignment horizontal="center" shrinkToFit="0" vertical="bottom" wrapText="1"/>
    </xf>
    <xf borderId="0" fillId="4" fontId="2" numFmtId="0" xfId="0" applyAlignment="1" applyFont="1">
      <alignment horizontal="center" vertical="bottom"/>
    </xf>
    <xf borderId="1" fillId="3" fontId="4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Border="1" applyFont="1"/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bottom"/>
    </xf>
    <xf borderId="1" fillId="6" fontId="3" numFmtId="0" xfId="0" applyAlignment="1" applyBorder="1" applyFill="1" applyFont="1">
      <alignment vertical="bottom"/>
    </xf>
    <xf borderId="0" fillId="0" fontId="7" numFmtId="0" xfId="0" applyAlignment="1" applyFont="1">
      <alignment horizontal="center" shrinkToFit="0" wrapText="1"/>
    </xf>
    <xf borderId="3" fillId="0" fontId="8" numFmtId="0" xfId="0" applyBorder="1" applyFont="1"/>
    <xf borderId="1" fillId="0" fontId="7" numFmtId="0" xfId="0" applyAlignment="1" applyBorder="1" applyFont="1">
      <alignment readingOrder="0"/>
    </xf>
    <xf borderId="1" fillId="6" fontId="3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wrapText="1"/>
    </xf>
    <xf borderId="1" fillId="7" fontId="7" numFmtId="0" xfId="0" applyAlignment="1" applyBorder="1" applyFill="1" applyFont="1">
      <alignment horizontal="center" readingOrder="0" shrinkToFit="0" vertical="center" wrapText="1"/>
    </xf>
    <xf borderId="4" fillId="0" fontId="8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9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2" fillId="0" fontId="11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readingOrder="0"/>
    </xf>
    <xf borderId="2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vertical="bottom"/>
    </xf>
    <xf borderId="2" fillId="0" fontId="7" numFmtId="0" xfId="0" applyBorder="1" applyFont="1"/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readingOrder="0"/>
    </xf>
    <xf borderId="4" fillId="0" fontId="7" numFmtId="0" xfId="0" applyBorder="1" applyFont="1"/>
    <xf borderId="4" fillId="0" fontId="7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8" fontId="7" numFmtId="0" xfId="0" applyAlignment="1" applyBorder="1" applyFill="1" applyFont="1">
      <alignment horizontal="center" readingOrder="0"/>
    </xf>
    <xf borderId="1" fillId="9" fontId="7" numFmtId="0" xfId="0" applyAlignment="1" applyBorder="1" applyFill="1" applyFont="1">
      <alignment horizontal="center" readingOrder="0"/>
    </xf>
    <xf borderId="1" fillId="9" fontId="7" numFmtId="0" xfId="0" applyBorder="1" applyFont="1"/>
    <xf borderId="0" fillId="9" fontId="7" numFmtId="0" xfId="0" applyAlignment="1" applyFont="1">
      <alignment horizontal="center" shrinkToFit="0" wrapText="1"/>
    </xf>
    <xf borderId="2" fillId="0" fontId="11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/>
    </xf>
    <xf borderId="1" fillId="0" fontId="7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vertical="bottom"/>
    </xf>
    <xf borderId="5" fillId="0" fontId="7" numFmtId="0" xfId="0" applyAlignment="1" applyBorder="1" applyFont="1">
      <alignment readingOrder="0"/>
    </xf>
    <xf borderId="5" fillId="0" fontId="7" numFmtId="0" xfId="0" applyBorder="1" applyFont="1"/>
    <xf borderId="1" fillId="0" fontId="12" numFmtId="0" xfId="0" applyAlignment="1" applyBorder="1" applyFont="1">
      <alignment horizontal="center" readingOrder="0" vertical="bottom"/>
    </xf>
    <xf borderId="0" fillId="2" fontId="5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vertical="bottom" wrapText="1"/>
    </xf>
    <xf borderId="0" fillId="0" fontId="13" numFmtId="0" xfId="0" applyAlignment="1" applyFont="1">
      <alignment horizontal="center" readingOrder="0" shrinkToFit="0" wrapText="1"/>
    </xf>
    <xf borderId="0" fillId="0" fontId="13" numFmtId="0" xfId="0" applyAlignment="1" applyFont="1">
      <alignment horizontal="center" shrinkToFit="0" wrapText="1"/>
    </xf>
    <xf borderId="1" fillId="0" fontId="13" numFmtId="0" xfId="0" applyAlignment="1" applyBorder="1" applyFont="1">
      <alignment horizontal="center" shrinkToFit="0" wrapText="1"/>
    </xf>
    <xf borderId="1" fillId="10" fontId="13" numFmtId="0" xfId="0" applyAlignment="1" applyBorder="1" applyFill="1" applyFont="1">
      <alignment horizontal="center" readingOrder="0" shrinkToFit="0" wrapText="1"/>
    </xf>
    <xf borderId="1" fillId="10" fontId="13" numFmtId="0" xfId="0" applyAlignment="1" applyBorder="1" applyFont="1">
      <alignment horizontal="center" shrinkToFit="0" wrapText="1"/>
    </xf>
    <xf borderId="1" fillId="11" fontId="13" numFmtId="0" xfId="0" applyAlignment="1" applyBorder="1" applyFill="1" applyFont="1">
      <alignment horizontal="center" readingOrder="0" shrinkToFit="0" wrapText="1"/>
    </xf>
    <xf borderId="1" fillId="11" fontId="13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horizontal="center" readingOrder="0" vertical="center"/>
    </xf>
    <xf borderId="1" fillId="0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wrapText="1"/>
    </xf>
    <xf borderId="1" fillId="0" fontId="3" numFmtId="0" xfId="0" applyBorder="1" applyFont="1"/>
    <xf borderId="0" fillId="0" fontId="7" numFmtId="0" xfId="0" applyAlignment="1" applyFont="1">
      <alignment shrinkToFit="0" wrapText="1"/>
    </xf>
    <xf borderId="0" fillId="2" fontId="5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6" fillId="10" fontId="13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horizontal="center"/>
    </xf>
    <xf borderId="1" fillId="0" fontId="7" numFmtId="0" xfId="0" applyAlignment="1" applyBorder="1" applyFont="1">
      <alignment horizontal="center"/>
    </xf>
    <xf borderId="2" fillId="10" fontId="13" numFmtId="0" xfId="0" applyAlignment="1" applyBorder="1" applyFont="1">
      <alignment horizontal="center" readingOrder="0" shrinkToFit="0" wrapText="1"/>
    </xf>
    <xf borderId="2" fillId="10" fontId="13" numFmtId="0" xfId="0" applyAlignment="1" applyBorder="1" applyFont="1">
      <alignment horizontal="center" shrinkToFit="0" wrapText="1"/>
    </xf>
    <xf borderId="2" fillId="11" fontId="13" numFmtId="0" xfId="0" applyAlignment="1" applyBorder="1" applyFont="1">
      <alignment horizontal="center" readingOrder="0" shrinkToFit="0" wrapText="1"/>
    </xf>
    <xf borderId="2" fillId="11" fontId="13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shrinkToFit="0" wrapText="1"/>
    </xf>
    <xf borderId="1" fillId="0" fontId="10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shrinkToFit="0" vertical="center" wrapText="1"/>
    </xf>
    <xf borderId="0" fillId="12" fontId="1" numFmtId="0" xfId="0" applyAlignment="1" applyFill="1" applyFont="1">
      <alignment horizontal="center" shrinkToFit="0" vertical="center" wrapText="1"/>
    </xf>
    <xf borderId="1" fillId="12" fontId="1" numFmtId="0" xfId="0" applyAlignment="1" applyBorder="1" applyFont="1">
      <alignment horizontal="center" shrinkToFit="0" vertical="center" wrapText="1"/>
    </xf>
    <xf borderId="0" fillId="12" fontId="10" numFmtId="0" xfId="0" applyAlignment="1" applyFon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13" fontId="7" numFmtId="0" xfId="0" applyAlignment="1" applyBorder="1" applyFill="1" applyFont="1">
      <alignment horizontal="center" readingOrder="0" shrinkToFit="0" vertical="center" wrapText="1"/>
    </xf>
    <xf borderId="1" fillId="14" fontId="7" numFmtId="0" xfId="0" applyAlignment="1" applyBorder="1" applyFill="1" applyFont="1">
      <alignment horizontal="center" readingOrder="0" shrinkToFit="0" vertical="center" wrapText="1"/>
    </xf>
    <xf borderId="1" fillId="14" fontId="7" numFmtId="0" xfId="0" applyAlignment="1" applyBorder="1" applyFont="1">
      <alignment horizontal="center" shrinkToFit="0" vertical="center" wrapText="1"/>
    </xf>
    <xf borderId="1" fillId="14" fontId="7" numFmtId="0" xfId="0" applyAlignment="1" applyBorder="1" applyFont="1">
      <alignment horizontal="center" readingOrder="0" vertical="center"/>
    </xf>
    <xf borderId="1" fillId="14" fontId="7" numFmtId="0" xfId="0" applyAlignment="1" applyBorder="1" applyFont="1">
      <alignment horizontal="center" readingOrder="0"/>
    </xf>
    <xf borderId="1" fillId="0" fontId="7" numFmtId="164" xfId="0" applyAlignment="1" applyBorder="1" applyFont="1" applyNumberFormat="1">
      <alignment horizontal="center" readingOrder="0"/>
    </xf>
    <xf borderId="1" fillId="14" fontId="7" numFmtId="0" xfId="0" applyAlignment="1" applyBorder="1" applyFont="1">
      <alignment horizontal="center"/>
    </xf>
    <xf borderId="0" fillId="14" fontId="7" numFmtId="0" xfId="0" applyAlignment="1" applyFont="1">
      <alignment horizontal="center" readingOrder="0"/>
    </xf>
    <xf borderId="1" fillId="14" fontId="7" numFmtId="0" xfId="0" applyAlignment="1" applyBorder="1" applyFont="1">
      <alignment horizontal="center" readingOrder="0" shrinkToFit="0" wrapText="1"/>
    </xf>
    <xf borderId="0" fillId="0" fontId="7" numFmtId="164" xfId="0" applyAlignment="1" applyFont="1" applyNumberFormat="1">
      <alignment horizontal="center" readingOrder="0"/>
    </xf>
    <xf borderId="7" fillId="10" fontId="13" numFmtId="0" xfId="0" applyAlignment="1" applyBorder="1" applyFont="1">
      <alignment horizontal="center" shrinkToFit="0" wrapText="1"/>
    </xf>
    <xf borderId="3" fillId="0" fontId="17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vertical="center"/>
    </xf>
    <xf borderId="7" fillId="0" fontId="9" numFmtId="0" xfId="0" applyAlignment="1" applyBorder="1" applyFont="1">
      <alignment horizontal="center" readingOrder="0" shrinkToFit="0" vertical="center" wrapText="1"/>
    </xf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12" fontId="7" numFmtId="0" xfId="0" applyAlignment="1" applyFont="1">
      <alignment horizontal="center" readingOrder="0" vertical="center"/>
    </xf>
    <xf borderId="1" fillId="12" fontId="10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4" fillId="5" fontId="2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2" fillId="0" fontId="6" numFmtId="0" xfId="0" applyAlignment="1" applyBorder="1" applyFont="1">
      <alignment horizontal="center" readingOrder="0" vertical="center"/>
    </xf>
    <xf borderId="6" fillId="10" fontId="10" numFmtId="0" xfId="0" applyAlignment="1" applyBorder="1" applyFont="1">
      <alignment horizontal="center" readingOrder="0" vertical="center"/>
    </xf>
    <xf borderId="5" fillId="0" fontId="8" numFmtId="0" xfId="0" applyBorder="1" applyFont="1"/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/>
    </xf>
    <xf borderId="1" fillId="3" fontId="13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2" fillId="1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13" fontId="7" numFmtId="0" xfId="0" applyAlignment="1" applyFont="1">
      <alignment horizontal="center" readingOrder="0" vertical="center"/>
    </xf>
    <xf borderId="0" fillId="13" fontId="7" numFmtId="0" xfId="0" applyAlignment="1" applyFont="1">
      <alignment horizontal="center" vertical="center"/>
    </xf>
    <xf borderId="0" fillId="2" fontId="5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0" xfId="0" applyFont="1"/>
    <xf borderId="6" fillId="3" fontId="5" numFmtId="0" xfId="0" applyAlignment="1" applyBorder="1" applyFont="1">
      <alignment horizontal="center" shrinkToFit="0" vertical="center" wrapText="1"/>
    </xf>
    <xf borderId="11" fillId="0" fontId="8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1" fillId="6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4" fillId="0" fontId="1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2" t="s">
        <v>1</v>
      </c>
      <c r="E1" s="2" t="s">
        <v>2</v>
      </c>
      <c r="F1" s="2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4" t="s">
        <v>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75" customHeight="1"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5</v>
      </c>
      <c r="B6" s="5" t="s">
        <v>6</v>
      </c>
      <c r="C6" s="5" t="s">
        <v>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1.0</v>
      </c>
      <c r="B7" s="4" t="s">
        <v>8</v>
      </c>
      <c r="C7" s="4">
        <v>9.934209607E9</v>
      </c>
      <c r="D7" s="4" t="s">
        <v>9</v>
      </c>
      <c r="E7" s="3"/>
      <c r="F7" s="3"/>
      <c r="G7" s="3"/>
      <c r="H7" s="3"/>
      <c r="I7" s="3"/>
      <c r="J7" s="5" t="s">
        <v>10</v>
      </c>
      <c r="K7" s="6" t="s">
        <v>11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2.0</v>
      </c>
      <c r="B8" s="4" t="s">
        <v>12</v>
      </c>
      <c r="C8" s="4">
        <v>9.693341843E9</v>
      </c>
      <c r="D8" s="4" t="s">
        <v>13</v>
      </c>
      <c r="E8" s="3"/>
      <c r="F8" s="3"/>
      <c r="G8" s="3"/>
      <c r="H8" s="3"/>
      <c r="I8" s="3"/>
      <c r="J8" s="4" t="s">
        <v>14</v>
      </c>
      <c r="K8" s="4">
        <v>15.0</v>
      </c>
      <c r="L8" s="3" t="s">
        <v>15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3.0</v>
      </c>
      <c r="B9" s="4" t="s">
        <v>16</v>
      </c>
      <c r="C9" s="4">
        <v>6.20910102E9</v>
      </c>
      <c r="D9" s="4" t="s">
        <v>9</v>
      </c>
      <c r="E9" s="4" t="s">
        <v>4</v>
      </c>
      <c r="F9" s="3"/>
      <c r="G9" s="3"/>
      <c r="H9" s="3"/>
      <c r="I9" s="3"/>
      <c r="J9" s="4" t="s">
        <v>17</v>
      </c>
      <c r="K9" s="4">
        <v>20.0</v>
      </c>
      <c r="L9" s="3" t="s">
        <v>18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4.0</v>
      </c>
      <c r="B10" s="4" t="s">
        <v>19</v>
      </c>
      <c r="C10" s="4">
        <v>7.763978358E9</v>
      </c>
      <c r="D10" s="4" t="s">
        <v>9</v>
      </c>
      <c r="E10" s="4" t="s">
        <v>4</v>
      </c>
      <c r="F10" s="3"/>
      <c r="G10" s="3"/>
      <c r="H10" s="3"/>
      <c r="I10" s="3"/>
      <c r="J10" s="4" t="s">
        <v>20</v>
      </c>
      <c r="K10" s="4">
        <v>16.0</v>
      </c>
      <c r="L10" s="3" t="s">
        <v>21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5.0</v>
      </c>
      <c r="B11" s="4" t="s">
        <v>22</v>
      </c>
      <c r="C11" s="4">
        <v>7.976710026E9</v>
      </c>
      <c r="D11" s="4" t="s">
        <v>23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6.0</v>
      </c>
      <c r="B12" s="4" t="s">
        <v>24</v>
      </c>
      <c r="C12" s="4">
        <v>9.507519092E9</v>
      </c>
      <c r="D12" s="4" t="s">
        <v>9</v>
      </c>
      <c r="E12" s="4" t="s">
        <v>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7.0</v>
      </c>
      <c r="B13" s="4" t="s">
        <v>25</v>
      </c>
      <c r="C13" s="4">
        <v>9.006395334E9</v>
      </c>
      <c r="D13" s="4" t="s">
        <v>9</v>
      </c>
      <c r="E13" s="4" t="s">
        <v>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8.0</v>
      </c>
      <c r="B14" s="4" t="s">
        <v>26</v>
      </c>
      <c r="C14" s="4">
        <v>7.739022508E9</v>
      </c>
      <c r="D14" s="4" t="s">
        <v>27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9.0</v>
      </c>
      <c r="B15" s="4" t="s">
        <v>28</v>
      </c>
      <c r="C15" s="4">
        <v>9.810208394E9</v>
      </c>
      <c r="D15" s="4" t="s">
        <v>9</v>
      </c>
      <c r="E15" s="7" t="s">
        <v>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10.0</v>
      </c>
      <c r="B16" s="4" t="s">
        <v>29</v>
      </c>
      <c r="C16" s="4">
        <v>9.77152761E9</v>
      </c>
      <c r="D16" s="4" t="s">
        <v>30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11.0</v>
      </c>
      <c r="B17" s="4" t="s">
        <v>31</v>
      </c>
      <c r="C17" s="4">
        <v>7.903957057E9</v>
      </c>
      <c r="D17" s="4" t="s">
        <v>9</v>
      </c>
      <c r="E17" s="4" t="s">
        <v>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12.0</v>
      </c>
      <c r="B18" s="4" t="s">
        <v>32</v>
      </c>
      <c r="C18" s="4">
        <v>7.766832315E9</v>
      </c>
      <c r="D18" s="4" t="s">
        <v>9</v>
      </c>
      <c r="E18" s="4" t="s">
        <v>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13.0</v>
      </c>
      <c r="B19" s="4" t="s">
        <v>33</v>
      </c>
      <c r="C19" s="4">
        <v>9.931510786E9</v>
      </c>
      <c r="D19" s="4" t="s">
        <v>9</v>
      </c>
      <c r="E19" s="4" t="s">
        <v>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14.0</v>
      </c>
      <c r="B20" s="4" t="s">
        <v>34</v>
      </c>
      <c r="C20" s="4">
        <v>7.37280495E9</v>
      </c>
      <c r="D20" s="4" t="s">
        <v>9</v>
      </c>
      <c r="E20" s="4" t="s">
        <v>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15.0</v>
      </c>
      <c r="B21" s="4" t="s">
        <v>35</v>
      </c>
      <c r="C21" s="4">
        <v>7.352750886E9</v>
      </c>
      <c r="D21" s="4" t="s">
        <v>27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16.0</v>
      </c>
      <c r="B22" s="4" t="s">
        <v>36</v>
      </c>
      <c r="C22" s="4">
        <v>9.973560056E9</v>
      </c>
      <c r="D22" s="4" t="s">
        <v>9</v>
      </c>
      <c r="E22" s="4" t="s">
        <v>37</v>
      </c>
      <c r="F22" s="3" t="s">
        <v>38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17.0</v>
      </c>
      <c r="B23" s="4" t="s">
        <v>39</v>
      </c>
      <c r="C23" s="4">
        <v>9.525313845E9</v>
      </c>
      <c r="D23" s="4" t="s">
        <v>9</v>
      </c>
      <c r="E23" s="4" t="s">
        <v>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18.0</v>
      </c>
      <c r="B24" s="4" t="s">
        <v>40</v>
      </c>
      <c r="C24" s="4">
        <v>9.523008283E9</v>
      </c>
      <c r="D24" s="4" t="s">
        <v>9</v>
      </c>
      <c r="E24" s="4" t="s">
        <v>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19.0</v>
      </c>
      <c r="B25" s="4" t="s">
        <v>41</v>
      </c>
      <c r="C25" s="4">
        <v>9.973138077E9</v>
      </c>
      <c r="D25" s="4" t="s">
        <v>9</v>
      </c>
      <c r="E25" s="4" t="s">
        <v>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20.0</v>
      </c>
      <c r="B26" s="4" t="s">
        <v>42</v>
      </c>
      <c r="C26" s="4">
        <v>9.52362488E9</v>
      </c>
      <c r="D26" s="4" t="s">
        <v>9</v>
      </c>
      <c r="E26" s="4" t="s">
        <v>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21.0</v>
      </c>
      <c r="B27" s="4" t="s">
        <v>43</v>
      </c>
      <c r="C27" s="4">
        <v>9.199994194E9</v>
      </c>
      <c r="D27" s="4" t="s">
        <v>9</v>
      </c>
      <c r="E27" s="4" t="s">
        <v>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22.0</v>
      </c>
      <c r="B28" s="4" t="s">
        <v>44</v>
      </c>
      <c r="C28" s="4">
        <v>8.521461956E9</v>
      </c>
      <c r="D28" s="4" t="s">
        <v>27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23.0</v>
      </c>
      <c r="B29" s="4" t="s">
        <v>45</v>
      </c>
      <c r="C29" s="4">
        <v>7.370941803E9</v>
      </c>
      <c r="D29" s="4" t="s">
        <v>23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24.0</v>
      </c>
      <c r="B30" s="4" t="s">
        <v>46</v>
      </c>
      <c r="C30" s="4">
        <v>9.955161629E9</v>
      </c>
      <c r="D30" s="4" t="s">
        <v>9</v>
      </c>
      <c r="E30" s="4" t="s">
        <v>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 t="s">
        <v>47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 t="s">
        <v>5</v>
      </c>
      <c r="B37" s="5" t="s">
        <v>6</v>
      </c>
      <c r="C37" s="5" t="s">
        <v>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1.0</v>
      </c>
      <c r="B38" s="4" t="s">
        <v>48</v>
      </c>
      <c r="C38" s="4">
        <v>7.546922084E9</v>
      </c>
      <c r="D38" s="4" t="s">
        <v>9</v>
      </c>
      <c r="E38" s="4" t="s">
        <v>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2.0</v>
      </c>
      <c r="B39" s="4" t="s">
        <v>49</v>
      </c>
      <c r="C39" s="4">
        <v>7.488681191E9</v>
      </c>
      <c r="D39" s="4" t="s">
        <v>9</v>
      </c>
      <c r="E39" s="4" t="s">
        <v>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3.0</v>
      </c>
      <c r="B40" s="4" t="s">
        <v>50</v>
      </c>
      <c r="C40" s="4">
        <v>7.488613599E9</v>
      </c>
      <c r="D40" s="4" t="s">
        <v>13</v>
      </c>
      <c r="E40" s="4" t="s">
        <v>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4.0</v>
      </c>
      <c r="B41" s="4" t="s">
        <v>51</v>
      </c>
      <c r="C41" s="4">
        <v>9.801705676E9</v>
      </c>
      <c r="D41" s="4" t="s">
        <v>9</v>
      </c>
      <c r="E41" s="4" t="s">
        <v>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5.0</v>
      </c>
      <c r="B42" s="4" t="s">
        <v>52</v>
      </c>
      <c r="C42" s="4">
        <v>9.006236888E9</v>
      </c>
      <c r="D42" s="4" t="s">
        <v>9</v>
      </c>
      <c r="E42" s="4" t="s">
        <v>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6.0</v>
      </c>
      <c r="B43" s="4" t="s">
        <v>53</v>
      </c>
      <c r="C43" s="4">
        <v>6.200660447E9</v>
      </c>
      <c r="D43" s="4" t="s">
        <v>54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7.0</v>
      </c>
      <c r="B44" s="4" t="s">
        <v>55</v>
      </c>
      <c r="C44" s="4">
        <v>6.200838371E9</v>
      </c>
      <c r="D44" s="4" t="s">
        <v>9</v>
      </c>
      <c r="E44" s="4" t="s">
        <v>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8.0</v>
      </c>
      <c r="B45" s="4" t="s">
        <v>56</v>
      </c>
      <c r="C45" s="4">
        <v>6.207659784E9</v>
      </c>
      <c r="D45" s="4" t="s">
        <v>9</v>
      </c>
      <c r="E45" s="4" t="s">
        <v>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9.0</v>
      </c>
      <c r="B46" s="4" t="s">
        <v>57</v>
      </c>
      <c r="C46" s="4">
        <v>9.709629052E9</v>
      </c>
      <c r="D46" s="4" t="s">
        <v>9</v>
      </c>
      <c r="E46" s="4" t="s">
        <v>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10.0</v>
      </c>
      <c r="B47" s="4" t="s">
        <v>58</v>
      </c>
      <c r="C47" s="4">
        <v>7.9035468E9</v>
      </c>
      <c r="D47" s="4" t="s">
        <v>13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11.0</v>
      </c>
      <c r="B48" s="4" t="s">
        <v>59</v>
      </c>
      <c r="C48" s="4">
        <v>8.271784711E9</v>
      </c>
      <c r="D48" s="4" t="s">
        <v>27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12.0</v>
      </c>
      <c r="B49" s="4" t="s">
        <v>60</v>
      </c>
      <c r="C49" s="4">
        <v>7.033885374E9</v>
      </c>
      <c r="D49" s="4" t="s">
        <v>9</v>
      </c>
      <c r="E49" s="4" t="s">
        <v>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13.0</v>
      </c>
      <c r="B50" s="4" t="s">
        <v>61</v>
      </c>
      <c r="C50" s="4">
        <v>8.298760716E9</v>
      </c>
      <c r="D50" s="4" t="s">
        <v>9</v>
      </c>
      <c r="E50" s="4" t="s">
        <v>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14.0</v>
      </c>
      <c r="B51" s="4" t="s">
        <v>62</v>
      </c>
      <c r="C51" s="4">
        <v>8.40608907E9</v>
      </c>
      <c r="D51" s="4" t="s">
        <v>9</v>
      </c>
      <c r="E51" s="4" t="s">
        <v>4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15.0</v>
      </c>
      <c r="B52" s="4" t="s">
        <v>63</v>
      </c>
      <c r="C52" s="4">
        <v>9.798676251E9</v>
      </c>
      <c r="D52" s="4" t="s">
        <v>9</v>
      </c>
      <c r="E52" s="4" t="s">
        <v>4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16.0</v>
      </c>
      <c r="B53" s="4" t="s">
        <v>64</v>
      </c>
      <c r="C53" s="4">
        <v>9.708900475E9</v>
      </c>
      <c r="D53" s="4" t="s">
        <v>9</v>
      </c>
      <c r="E53" s="4" t="s">
        <v>37</v>
      </c>
      <c r="F53" s="3" t="s">
        <v>65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17.0</v>
      </c>
      <c r="B54" s="4" t="s">
        <v>66</v>
      </c>
      <c r="C54" s="4">
        <v>8.405987702E9</v>
      </c>
      <c r="D54" s="4" t="s">
        <v>23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18.0</v>
      </c>
      <c r="B55" s="4" t="s">
        <v>67</v>
      </c>
      <c r="C55" s="4">
        <v>8.539005602E9</v>
      </c>
      <c r="D55" s="4" t="s">
        <v>23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19.0</v>
      </c>
      <c r="B56" s="4" t="s">
        <v>68</v>
      </c>
      <c r="C56" s="4">
        <v>9.525169081E9</v>
      </c>
      <c r="D56" s="4" t="s">
        <v>30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20.0</v>
      </c>
      <c r="B57" s="4" t="s">
        <v>69</v>
      </c>
      <c r="C57" s="4">
        <v>8.307226816E9</v>
      </c>
      <c r="D57" s="4" t="s">
        <v>9</v>
      </c>
      <c r="E57" s="4" t="s">
        <v>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21.0</v>
      </c>
      <c r="B58" s="4" t="s">
        <v>70</v>
      </c>
      <c r="C58" s="4">
        <v>9.525510843E9</v>
      </c>
      <c r="D58" s="4" t="s">
        <v>9</v>
      </c>
      <c r="E58" s="4" t="s">
        <v>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22.0</v>
      </c>
      <c r="B59" s="4" t="s">
        <v>71</v>
      </c>
      <c r="C59" s="4">
        <v>7.061854779E9</v>
      </c>
      <c r="D59" s="4" t="s">
        <v>9</v>
      </c>
      <c r="E59" s="4" t="s">
        <v>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23.0</v>
      </c>
      <c r="B60" s="4" t="s">
        <v>72</v>
      </c>
      <c r="C60" s="4">
        <v>7.079138633E9</v>
      </c>
      <c r="D60" s="4" t="s">
        <v>23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24.0</v>
      </c>
      <c r="B61" s="4" t="s">
        <v>73</v>
      </c>
      <c r="C61" s="4">
        <v>8.87759456E9</v>
      </c>
      <c r="D61" s="4" t="s">
        <v>27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25.0</v>
      </c>
      <c r="B62" s="4" t="s">
        <v>74</v>
      </c>
      <c r="C62" s="4">
        <v>7.004408417E9</v>
      </c>
      <c r="D62" s="4" t="s">
        <v>13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26.0</v>
      </c>
      <c r="B63" s="4" t="s">
        <v>75</v>
      </c>
      <c r="C63" s="4">
        <v>8.877550008E9</v>
      </c>
      <c r="D63" s="4" t="s">
        <v>23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27.0</v>
      </c>
      <c r="B64" s="4" t="s">
        <v>76</v>
      </c>
      <c r="C64" s="4">
        <v>9.771700578E9</v>
      </c>
      <c r="D64" s="4" t="s">
        <v>23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28.0</v>
      </c>
      <c r="B65" s="4" t="s">
        <v>77</v>
      </c>
      <c r="C65" s="4">
        <v>7.488157959E9</v>
      </c>
      <c r="D65" s="4" t="s">
        <v>9</v>
      </c>
      <c r="E65" s="4" t="s">
        <v>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29.0</v>
      </c>
      <c r="B66" s="4" t="s">
        <v>78</v>
      </c>
      <c r="C66" s="4">
        <v>9.304112961E9</v>
      </c>
      <c r="D66" s="4" t="s">
        <v>13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8" t="s">
        <v>79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 t="s">
        <v>5</v>
      </c>
      <c r="B73" s="5" t="s">
        <v>6</v>
      </c>
      <c r="C73" s="5" t="s">
        <v>7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1.0</v>
      </c>
      <c r="B74" s="4" t="s">
        <v>80</v>
      </c>
      <c r="C74" s="4">
        <v>6.204210141E9</v>
      </c>
      <c r="D74" s="4" t="s">
        <v>9</v>
      </c>
      <c r="E74" s="4" t="s">
        <v>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2.0</v>
      </c>
      <c r="B75" s="4" t="s">
        <v>81</v>
      </c>
      <c r="C75" s="4">
        <v>8.920856905E9</v>
      </c>
      <c r="D75" s="4" t="s">
        <v>9</v>
      </c>
      <c r="E75" s="4" t="s">
        <v>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3.0</v>
      </c>
      <c r="B76" s="4" t="s">
        <v>82</v>
      </c>
      <c r="C76" s="4">
        <v>9.835681457E9</v>
      </c>
      <c r="D76" s="4" t="s">
        <v>9</v>
      </c>
      <c r="E76" s="4" t="s">
        <v>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4.0</v>
      </c>
      <c r="B77" s="4" t="s">
        <v>83</v>
      </c>
      <c r="C77" s="4">
        <v>7.070776153E9</v>
      </c>
      <c r="D77" s="4" t="s">
        <v>9</v>
      </c>
      <c r="E77" s="4" t="s">
        <v>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5.0</v>
      </c>
      <c r="B78" s="4" t="s">
        <v>84</v>
      </c>
      <c r="C78" s="4">
        <v>8.051973105E9</v>
      </c>
      <c r="D78" s="4" t="s">
        <v>9</v>
      </c>
      <c r="E78" s="4" t="s">
        <v>4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>
        <v>6.0</v>
      </c>
      <c r="B79" s="4" t="s">
        <v>85</v>
      </c>
      <c r="C79" s="4">
        <v>8.709716262E9</v>
      </c>
      <c r="D79" s="4" t="s">
        <v>9</v>
      </c>
      <c r="E79" s="4" t="s">
        <v>4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7.0</v>
      </c>
      <c r="B80" s="4" t="s">
        <v>86</v>
      </c>
      <c r="C80" s="4">
        <v>6.206901951E9</v>
      </c>
      <c r="D80" s="4" t="s">
        <v>9</v>
      </c>
      <c r="E80" s="4" t="s">
        <v>4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>
        <v>8.0</v>
      </c>
      <c r="B81" s="4" t="s">
        <v>87</v>
      </c>
      <c r="C81" s="4">
        <v>8.969093924E9</v>
      </c>
      <c r="D81" s="4" t="s">
        <v>9</v>
      </c>
      <c r="E81" s="4" t="s">
        <v>4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9.0</v>
      </c>
      <c r="B82" s="4" t="s">
        <v>88</v>
      </c>
      <c r="C82" s="4">
        <v>8.21017563E9</v>
      </c>
      <c r="D82" s="4" t="s">
        <v>9</v>
      </c>
      <c r="E82" s="4" t="s">
        <v>4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>
        <v>10.0</v>
      </c>
      <c r="B83" s="4" t="s">
        <v>89</v>
      </c>
      <c r="C83" s="4">
        <v>9.128821649E9</v>
      </c>
      <c r="D83" s="4" t="s">
        <v>9</v>
      </c>
      <c r="E83" s="4" t="s">
        <v>4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11.0</v>
      </c>
      <c r="B84" s="4" t="s">
        <v>90</v>
      </c>
      <c r="C84" s="4">
        <v>6.202876013E9</v>
      </c>
      <c r="D84" s="4" t="s">
        <v>9</v>
      </c>
      <c r="E84" s="4" t="s">
        <v>4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>
        <v>12.0</v>
      </c>
      <c r="B85" s="4" t="s">
        <v>91</v>
      </c>
      <c r="C85" s="4">
        <v>9.835813665E9</v>
      </c>
      <c r="D85" s="4" t="s">
        <v>9</v>
      </c>
      <c r="E85" s="4" t="s">
        <v>4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13.0</v>
      </c>
      <c r="B86" s="4" t="s">
        <v>92</v>
      </c>
      <c r="C86" s="4">
        <v>9.608081959E9</v>
      </c>
      <c r="D86" s="4" t="s">
        <v>9</v>
      </c>
      <c r="E86" s="4" t="s">
        <v>4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>
        <v>14.0</v>
      </c>
      <c r="B87" s="4" t="s">
        <v>93</v>
      </c>
      <c r="C87" s="4">
        <v>6.202313176E9</v>
      </c>
      <c r="D87" s="4" t="s">
        <v>9</v>
      </c>
      <c r="E87" s="4" t="s">
        <v>4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15.0</v>
      </c>
      <c r="B88" s="4" t="s">
        <v>94</v>
      </c>
      <c r="C88" s="4">
        <v>9.065694688E9</v>
      </c>
      <c r="D88" s="4" t="s">
        <v>9</v>
      </c>
      <c r="E88" s="4" t="s">
        <v>4</v>
      </c>
      <c r="F88" s="3" t="s">
        <v>95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>
        <v>16.0</v>
      </c>
      <c r="B89" s="4" t="s">
        <v>96</v>
      </c>
      <c r="C89" s="4">
        <v>7.973677923E9</v>
      </c>
      <c r="D89" s="4" t="s">
        <v>9</v>
      </c>
      <c r="E89" s="4" t="s">
        <v>4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17.0</v>
      </c>
      <c r="B90" s="4" t="s">
        <v>97</v>
      </c>
      <c r="C90" s="4">
        <v>9.801461368E9</v>
      </c>
      <c r="D90" s="4" t="s">
        <v>9</v>
      </c>
      <c r="E90" s="4" t="s">
        <v>4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>
        <v>18.0</v>
      </c>
      <c r="B91" s="4" t="s">
        <v>98</v>
      </c>
      <c r="C91" s="5">
        <v>9.117444067E9</v>
      </c>
      <c r="D91" s="4" t="s">
        <v>23</v>
      </c>
      <c r="E91" s="4" t="s">
        <v>4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>
        <v>19.0</v>
      </c>
      <c r="B92" s="4" t="s">
        <v>99</v>
      </c>
      <c r="C92" s="4">
        <v>6.200152895E9</v>
      </c>
      <c r="D92" s="4" t="s">
        <v>9</v>
      </c>
      <c r="E92" s="4" t="s">
        <v>4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20.0</v>
      </c>
      <c r="B93" s="4" t="s">
        <v>100</v>
      </c>
      <c r="C93" s="4">
        <v>7.6542684E9</v>
      </c>
      <c r="D93" s="4" t="s">
        <v>9</v>
      </c>
      <c r="E93" s="4" t="s">
        <v>4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8" t="s">
        <v>101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 t="s">
        <v>5</v>
      </c>
      <c r="B100" s="5" t="s">
        <v>6</v>
      </c>
      <c r="C100" s="5" t="s">
        <v>7</v>
      </c>
      <c r="D100" s="4" t="s">
        <v>9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>
        <v>1.0</v>
      </c>
      <c r="B101" s="4" t="s">
        <v>102</v>
      </c>
      <c r="C101" s="4">
        <v>6.202378204E9</v>
      </c>
      <c r="D101" s="4" t="s">
        <v>9</v>
      </c>
      <c r="E101" s="4" t="s">
        <v>4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2.0</v>
      </c>
      <c r="B102" s="4" t="s">
        <v>103</v>
      </c>
      <c r="C102" s="4">
        <v>7.667891781E9</v>
      </c>
      <c r="D102" s="4" t="s">
        <v>9</v>
      </c>
      <c r="E102" s="4" t="s">
        <v>4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>
        <v>3.0</v>
      </c>
      <c r="B103" s="4" t="s">
        <v>104</v>
      </c>
      <c r="C103" s="4">
        <v>7.603867357E9</v>
      </c>
      <c r="D103" s="4" t="s">
        <v>54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4.0</v>
      </c>
      <c r="B104" s="4" t="s">
        <v>105</v>
      </c>
      <c r="C104" s="4">
        <v>8.804055783E9</v>
      </c>
      <c r="D104" s="4" t="s">
        <v>9</v>
      </c>
      <c r="E104" s="4" t="s">
        <v>4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>
        <v>5.0</v>
      </c>
      <c r="B105" s="4" t="s">
        <v>106</v>
      </c>
      <c r="C105" s="4">
        <v>7.991168562E9</v>
      </c>
      <c r="D105" s="4" t="s">
        <v>9</v>
      </c>
      <c r="E105" s="4" t="s">
        <v>4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>
        <v>6.0</v>
      </c>
      <c r="B106" s="4" t="s">
        <v>107</v>
      </c>
      <c r="C106" s="4">
        <v>9.570305921E9</v>
      </c>
      <c r="D106" s="4" t="s">
        <v>9</v>
      </c>
      <c r="E106" s="4" t="s">
        <v>4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>
        <v>7.0</v>
      </c>
      <c r="B107" s="4" t="s">
        <v>108</v>
      </c>
      <c r="C107" s="4">
        <v>9.570658736E9</v>
      </c>
      <c r="D107" s="4" t="s">
        <v>9</v>
      </c>
      <c r="E107" s="4" t="s">
        <v>4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8.0</v>
      </c>
      <c r="B108" s="4" t="s">
        <v>107</v>
      </c>
      <c r="C108" s="4">
        <v>7.370092752E9</v>
      </c>
      <c r="D108" s="4" t="s">
        <v>9</v>
      </c>
      <c r="E108" s="4" t="s">
        <v>4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>
        <v>9.0</v>
      </c>
      <c r="B109" s="4" t="s">
        <v>109</v>
      </c>
      <c r="C109" s="4">
        <v>7.631754175E9</v>
      </c>
      <c r="D109" s="4" t="s">
        <v>13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>
        <v>10.0</v>
      </c>
      <c r="B110" s="4" t="s">
        <v>59</v>
      </c>
      <c r="C110" s="4">
        <v>6.206402328E9</v>
      </c>
      <c r="D110" s="4" t="s">
        <v>23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>
        <v>11.0</v>
      </c>
      <c r="B111" s="4" t="s">
        <v>110</v>
      </c>
      <c r="C111" s="4">
        <v>9.155157023E9</v>
      </c>
      <c r="D111" s="4" t="s">
        <v>9</v>
      </c>
      <c r="E111" s="4" t="s">
        <v>4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>
        <v>12.0</v>
      </c>
      <c r="B112" s="4" t="s">
        <v>111</v>
      </c>
      <c r="C112" s="4">
        <v>6.20149623E9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>
        <v>13.0</v>
      </c>
      <c r="B113" s="4" t="s">
        <v>112</v>
      </c>
      <c r="C113" s="4">
        <v>9.00664954E9</v>
      </c>
      <c r="D113" s="4" t="s">
        <v>13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>
        <v>14.0</v>
      </c>
      <c r="B114" s="4" t="s">
        <v>113</v>
      </c>
      <c r="C114" s="4">
        <v>6.205850429E9</v>
      </c>
      <c r="D114" s="4" t="s">
        <v>9</v>
      </c>
      <c r="E114" s="4" t="s">
        <v>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>
        <v>15.0</v>
      </c>
      <c r="B115" s="4" t="s">
        <v>114</v>
      </c>
      <c r="C115" s="4">
        <v>9.162839344E9</v>
      </c>
      <c r="D115" s="4" t="s">
        <v>23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>
        <v>16.0</v>
      </c>
      <c r="B116" s="4" t="s">
        <v>115</v>
      </c>
      <c r="C116" s="4">
        <v>8.709931942E9</v>
      </c>
      <c r="D116" s="4" t="s">
        <v>9</v>
      </c>
      <c r="E116" s="4" t="s">
        <v>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>
        <v>17.0</v>
      </c>
      <c r="B117" s="4" t="s">
        <v>116</v>
      </c>
      <c r="C117" s="4">
        <v>8.877833368E9</v>
      </c>
      <c r="D117" s="4" t="s">
        <v>9</v>
      </c>
      <c r="E117" s="4" t="s">
        <v>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>
        <v>18.0</v>
      </c>
      <c r="B118" s="4" t="s">
        <v>117</v>
      </c>
      <c r="C118" s="4">
        <v>6.204542539E9</v>
      </c>
      <c r="D118" s="4" t="s">
        <v>23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>
        <v>19.0</v>
      </c>
      <c r="B119" s="4" t="s">
        <v>118</v>
      </c>
      <c r="C119" s="4">
        <v>8.516900615E9</v>
      </c>
      <c r="D119" s="4" t="s">
        <v>9</v>
      </c>
      <c r="E119" s="4" t="s">
        <v>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>
        <v>20.0</v>
      </c>
      <c r="B120" s="4" t="s">
        <v>119</v>
      </c>
      <c r="C120" s="4">
        <v>8.579874589E9</v>
      </c>
      <c r="D120" s="4" t="s">
        <v>23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>
        <v>21.0</v>
      </c>
      <c r="B121" s="4" t="s">
        <v>120</v>
      </c>
      <c r="C121" s="4">
        <v>7.631555545E9</v>
      </c>
      <c r="D121" s="4" t="s">
        <v>9</v>
      </c>
      <c r="E121" s="4" t="s">
        <v>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>
        <v>22.0</v>
      </c>
      <c r="B122" s="4" t="s">
        <v>121</v>
      </c>
      <c r="C122" s="4">
        <v>8.40493442E9</v>
      </c>
      <c r="D122" s="4" t="s">
        <v>54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>
        <v>23.0</v>
      </c>
      <c r="B123" s="4" t="s">
        <v>122</v>
      </c>
      <c r="C123" s="4">
        <v>9.570592689E9</v>
      </c>
      <c r="D123" s="4" t="s">
        <v>27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>
        <v>24.0</v>
      </c>
      <c r="B124" s="4" t="s">
        <v>123</v>
      </c>
      <c r="C124" s="4">
        <v>8.340603614E9</v>
      </c>
      <c r="D124" s="4" t="s">
        <v>9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>
        <v>25.0</v>
      </c>
      <c r="B125" s="4" t="s">
        <v>124</v>
      </c>
      <c r="C125" s="4">
        <v>9.373825569E9</v>
      </c>
      <c r="D125" s="4" t="s">
        <v>9</v>
      </c>
      <c r="E125" s="4" t="s">
        <v>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>
        <v>26.0</v>
      </c>
      <c r="B126" s="4" t="s">
        <v>125</v>
      </c>
      <c r="C126" s="4">
        <v>7.03313471E9</v>
      </c>
      <c r="D126" s="4" t="s">
        <v>54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>
        <v>27.0</v>
      </c>
      <c r="B127" s="4" t="s">
        <v>126</v>
      </c>
      <c r="C127" s="4">
        <v>6.200232026E9</v>
      </c>
      <c r="D127" s="4" t="s">
        <v>54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>
        <v>28.0</v>
      </c>
      <c r="B128" s="4" t="s">
        <v>127</v>
      </c>
      <c r="C128" s="4">
        <v>7.54901548E9</v>
      </c>
      <c r="D128" s="4" t="s">
        <v>9</v>
      </c>
      <c r="E128" s="4" t="s">
        <v>4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>
        <v>29.0</v>
      </c>
      <c r="B129" s="4" t="s">
        <v>128</v>
      </c>
      <c r="C129" s="4">
        <v>9.708340703E9</v>
      </c>
      <c r="D129" s="4" t="s">
        <v>54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>
        <v>30.0</v>
      </c>
      <c r="B130" s="4" t="s">
        <v>129</v>
      </c>
      <c r="C130" s="4">
        <v>9.708066867E9</v>
      </c>
      <c r="D130" s="4" t="s">
        <v>9</v>
      </c>
      <c r="E130" s="4" t="s">
        <v>4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>
        <v>31.0</v>
      </c>
      <c r="B131" s="4" t="s">
        <v>130</v>
      </c>
      <c r="C131" s="4">
        <v>9.70967174E9</v>
      </c>
      <c r="D131" s="4" t="s">
        <v>9</v>
      </c>
      <c r="E131" s="4" t="s">
        <v>4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>
        <v>32.0</v>
      </c>
      <c r="B132" s="4" t="s">
        <v>131</v>
      </c>
      <c r="C132" s="4">
        <v>9.934881536E9</v>
      </c>
      <c r="D132" s="4" t="s">
        <v>9</v>
      </c>
      <c r="E132" s="4" t="s">
        <v>4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>
        <v>33.0</v>
      </c>
      <c r="B133" s="4" t="s">
        <v>132</v>
      </c>
      <c r="C133" s="4">
        <v>8.340150133E9</v>
      </c>
      <c r="D133" s="4" t="s">
        <v>9</v>
      </c>
      <c r="E133" s="4" t="s">
        <v>4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>
        <v>34.0</v>
      </c>
      <c r="B134" s="4" t="s">
        <v>133</v>
      </c>
      <c r="C134" s="4">
        <v>6.205319468E9</v>
      </c>
      <c r="D134" s="4" t="s">
        <v>27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>
        <v>35.0</v>
      </c>
      <c r="B135" s="4" t="s">
        <v>134</v>
      </c>
      <c r="C135" s="4">
        <v>7.808547945E9</v>
      </c>
      <c r="D135" s="4" t="s">
        <v>9</v>
      </c>
      <c r="E135" s="4" t="s">
        <v>4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>
        <v>36.0</v>
      </c>
      <c r="B136" s="4" t="s">
        <v>135</v>
      </c>
      <c r="C136" s="4">
        <v>7.631808291E9</v>
      </c>
      <c r="D136" s="4" t="s">
        <v>23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>
        <v>37.0</v>
      </c>
      <c r="B137" s="4" t="s">
        <v>136</v>
      </c>
      <c r="C137" s="4">
        <v>8.340768162E9</v>
      </c>
      <c r="D137" s="4" t="s">
        <v>23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>
        <v>38.0</v>
      </c>
      <c r="B138" s="4" t="s">
        <v>137</v>
      </c>
      <c r="C138" s="4">
        <v>7.549675995E9</v>
      </c>
      <c r="D138" s="4" t="s">
        <v>9</v>
      </c>
      <c r="E138" s="4" t="s">
        <v>4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>
        <v>39.0</v>
      </c>
      <c r="B139" s="4" t="s">
        <v>138</v>
      </c>
      <c r="C139" s="4">
        <v>9.955806461E9</v>
      </c>
      <c r="D139" s="4" t="s">
        <v>9</v>
      </c>
      <c r="E139" s="4" t="s">
        <v>4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>
        <v>40.0</v>
      </c>
      <c r="B140" s="4" t="s">
        <v>139</v>
      </c>
      <c r="C140" s="4">
        <v>8.298041034E9</v>
      </c>
      <c r="D140" s="4" t="s">
        <v>13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>
        <v>41.0</v>
      </c>
      <c r="B141" s="4" t="s">
        <v>140</v>
      </c>
      <c r="C141" s="4">
        <v>9.507206035E9</v>
      </c>
      <c r="D141" s="4" t="s">
        <v>27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>
        <v>42.0</v>
      </c>
      <c r="B142" s="4" t="s">
        <v>141</v>
      </c>
      <c r="C142" s="4">
        <v>9.709960699E9</v>
      </c>
      <c r="D142" s="4" t="s">
        <v>9</v>
      </c>
      <c r="E142" s="4" t="s">
        <v>4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>
        <v>43.0</v>
      </c>
      <c r="B143" s="4" t="s">
        <v>142</v>
      </c>
      <c r="C143" s="4">
        <v>9.608612439E9</v>
      </c>
      <c r="D143" s="4" t="s">
        <v>9</v>
      </c>
      <c r="E143" s="4" t="s">
        <v>4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>
        <v>44.0</v>
      </c>
      <c r="B144" s="4" t="s">
        <v>143</v>
      </c>
      <c r="C144" s="4">
        <v>7.903645163E9</v>
      </c>
      <c r="D144" s="4" t="s">
        <v>23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>
        <v>45.0</v>
      </c>
      <c r="B145" s="4" t="s">
        <v>144</v>
      </c>
      <c r="C145" s="4">
        <v>8.102125922E9</v>
      </c>
      <c r="D145" s="4" t="s">
        <v>27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>
        <v>46.0</v>
      </c>
      <c r="B146" s="4" t="s">
        <v>145</v>
      </c>
      <c r="C146" s="4">
        <v>9.570304347E9</v>
      </c>
      <c r="D146" s="4" t="s">
        <v>13</v>
      </c>
      <c r="E146" s="4" t="s">
        <v>4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>
        <v>47.0</v>
      </c>
      <c r="B147" s="4" t="s">
        <v>146</v>
      </c>
      <c r="C147" s="4">
        <v>7.870932405E9</v>
      </c>
      <c r="D147" s="4" t="s">
        <v>23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>
        <v>48.0</v>
      </c>
      <c r="B148" s="4" t="s">
        <v>147</v>
      </c>
      <c r="C148" s="4">
        <v>9.835707758E9</v>
      </c>
      <c r="D148" s="4" t="s">
        <v>13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>
        <v>49.0</v>
      </c>
      <c r="B149" s="4" t="s">
        <v>148</v>
      </c>
      <c r="C149" s="4">
        <v>7.631805303E9</v>
      </c>
      <c r="D149" s="4" t="s">
        <v>23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>
        <v>50.0</v>
      </c>
      <c r="B150" s="4" t="s">
        <v>149</v>
      </c>
      <c r="C150" s="4">
        <v>8.877479368E9</v>
      </c>
      <c r="D150" s="4" t="s">
        <v>23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>
        <v>51.0</v>
      </c>
      <c r="B151" s="4" t="s">
        <v>150</v>
      </c>
      <c r="C151" s="4">
        <v>8.676056564E9</v>
      </c>
      <c r="D151" s="4" t="s">
        <v>23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>
        <v>52.0</v>
      </c>
      <c r="B152" s="4" t="s">
        <v>151</v>
      </c>
      <c r="C152" s="4">
        <v>9.10292825E9</v>
      </c>
      <c r="D152" s="4" t="s">
        <v>9</v>
      </c>
      <c r="E152" s="4" t="s">
        <v>4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>
        <v>53.0</v>
      </c>
      <c r="B153" s="4" t="s">
        <v>152</v>
      </c>
      <c r="C153" s="4">
        <v>7.549768835E9</v>
      </c>
      <c r="D153" s="4" t="s">
        <v>9</v>
      </c>
      <c r="E153" s="4" t="s">
        <v>4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>
        <v>54.0</v>
      </c>
      <c r="B154" s="4" t="s">
        <v>153</v>
      </c>
      <c r="C154" s="4">
        <v>7.903740353E9</v>
      </c>
      <c r="D154" s="4" t="s">
        <v>54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>
        <v>55.0</v>
      </c>
      <c r="B155" s="4" t="s">
        <v>154</v>
      </c>
      <c r="C155" s="4">
        <v>9.534652581E9</v>
      </c>
      <c r="D155" s="4" t="s">
        <v>23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>
        <v>56.0</v>
      </c>
      <c r="B156" s="4" t="s">
        <v>155</v>
      </c>
      <c r="C156" s="4">
        <v>7.004461558E9</v>
      </c>
      <c r="D156" s="4" t="s">
        <v>13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>
        <v>57.0</v>
      </c>
      <c r="B157" s="4" t="s">
        <v>156</v>
      </c>
      <c r="C157" s="4">
        <v>9.905415355E9</v>
      </c>
      <c r="D157" s="4" t="s">
        <v>54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>
        <v>58.0</v>
      </c>
      <c r="B158" s="4" t="s">
        <v>157</v>
      </c>
      <c r="C158" s="4">
        <v>7.004494635E9</v>
      </c>
      <c r="D158" s="4" t="s">
        <v>27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>
        <v>59.0</v>
      </c>
      <c r="B159" s="4" t="s">
        <v>158</v>
      </c>
      <c r="C159" s="4">
        <v>8.676897025E9</v>
      </c>
      <c r="D159" s="4" t="s">
        <v>23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>
        <v>60.0</v>
      </c>
      <c r="B160" s="4" t="s">
        <v>159</v>
      </c>
      <c r="C160" s="4">
        <v>9.570819283E9</v>
      </c>
      <c r="D160" s="4" t="s">
        <v>27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>
        <v>61.0</v>
      </c>
      <c r="B161" s="4" t="s">
        <v>160</v>
      </c>
      <c r="C161" s="4">
        <v>6.20107113E8</v>
      </c>
      <c r="D161" s="4" t="s">
        <v>13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>
        <v>62.0</v>
      </c>
      <c r="B162" s="4" t="s">
        <v>161</v>
      </c>
      <c r="C162" s="4">
        <v>6.207550323E9</v>
      </c>
      <c r="D162" s="4" t="s">
        <v>23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>
        <v>63.0</v>
      </c>
      <c r="B163" s="4" t="s">
        <v>162</v>
      </c>
      <c r="C163" s="4">
        <v>6.200404811E9</v>
      </c>
      <c r="D163" s="4" t="s">
        <v>9</v>
      </c>
      <c r="E163" s="4" t="s">
        <v>4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>
        <v>64.0</v>
      </c>
      <c r="B164" s="4" t="s">
        <v>163</v>
      </c>
      <c r="C164" s="4">
        <v>7.667099457E9</v>
      </c>
      <c r="D164" s="4" t="s">
        <v>9</v>
      </c>
      <c r="E164" s="4" t="s">
        <v>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>
        <v>65.0</v>
      </c>
      <c r="B165" s="4" t="s">
        <v>53</v>
      </c>
      <c r="C165" s="4">
        <v>9.801060707E9</v>
      </c>
      <c r="D165" s="4" t="s">
        <v>13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>
        <v>66.0</v>
      </c>
      <c r="B166" s="4" t="s">
        <v>164</v>
      </c>
      <c r="C166" s="4">
        <v>7.366865086E9</v>
      </c>
      <c r="D166" s="4" t="s">
        <v>9</v>
      </c>
      <c r="E166" s="4" t="s">
        <v>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>
        <v>67.0</v>
      </c>
      <c r="B167" s="4" t="s">
        <v>165</v>
      </c>
      <c r="C167" s="4">
        <v>7.547090256E9</v>
      </c>
      <c r="D167" s="4" t="s">
        <v>9</v>
      </c>
      <c r="E167" s="4" t="s">
        <v>4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>
        <v>68.0</v>
      </c>
      <c r="B168" s="4" t="s">
        <v>166</v>
      </c>
      <c r="C168" s="4">
        <v>7.070901037E9</v>
      </c>
      <c r="D168" s="4" t="s">
        <v>54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>
        <v>69.0</v>
      </c>
      <c r="B169" s="4" t="s">
        <v>167</v>
      </c>
      <c r="C169" s="4">
        <v>7.004384925E9</v>
      </c>
      <c r="D169" s="4" t="s">
        <v>9</v>
      </c>
      <c r="E169" s="4" t="s">
        <v>37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>
        <v>70.0</v>
      </c>
      <c r="B170" s="4" t="s">
        <v>168</v>
      </c>
      <c r="C170" s="4">
        <v>6.207372856E9</v>
      </c>
      <c r="D170" s="4" t="s">
        <v>9</v>
      </c>
      <c r="E170" s="4" t="s">
        <v>4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>
        <v>71.0</v>
      </c>
      <c r="B171" s="4" t="s">
        <v>169</v>
      </c>
      <c r="C171" s="4">
        <v>8.294073961E9</v>
      </c>
      <c r="D171" s="4" t="s">
        <v>9</v>
      </c>
      <c r="E171" s="4" t="s">
        <v>4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>
        <v>72.0</v>
      </c>
      <c r="B172" s="4" t="s">
        <v>149</v>
      </c>
      <c r="C172" s="4">
        <v>7.761928788E9</v>
      </c>
      <c r="D172" s="4" t="s">
        <v>9</v>
      </c>
      <c r="E172" s="4" t="s">
        <v>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>
        <v>73.0</v>
      </c>
      <c r="B173" s="4" t="s">
        <v>170</v>
      </c>
      <c r="C173" s="4">
        <v>7.004384925E9</v>
      </c>
      <c r="D173" s="4" t="s">
        <v>9</v>
      </c>
      <c r="E173" s="4" t="s">
        <v>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>
        <v>74.0</v>
      </c>
      <c r="B174" s="4" t="s">
        <v>171</v>
      </c>
      <c r="C174" s="4">
        <v>7.488865407E9</v>
      </c>
      <c r="D174" s="4" t="s">
        <v>9</v>
      </c>
      <c r="E174" s="4" t="s">
        <v>4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8" t="s">
        <v>172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 t="s">
        <v>5</v>
      </c>
      <c r="B181" s="5" t="s">
        <v>6</v>
      </c>
      <c r="C181" s="5" t="s">
        <v>7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>
        <v>1.0</v>
      </c>
      <c r="B182" s="4" t="s">
        <v>173</v>
      </c>
      <c r="C182" s="4">
        <v>8.298808377E9</v>
      </c>
      <c r="D182" s="4" t="s">
        <v>9</v>
      </c>
      <c r="E182" s="4" t="s">
        <v>4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>
        <v>2.0</v>
      </c>
      <c r="B183" s="4" t="s">
        <v>174</v>
      </c>
      <c r="C183" s="4">
        <v>6.207859228E9</v>
      </c>
      <c r="D183" s="4" t="s">
        <v>9</v>
      </c>
      <c r="E183" s="4" t="s">
        <v>4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>
        <v>3.0</v>
      </c>
      <c r="B184" s="4" t="s">
        <v>175</v>
      </c>
      <c r="C184" s="4">
        <v>7.46204216E9</v>
      </c>
      <c r="D184" s="4" t="s">
        <v>27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>
        <v>4.0</v>
      </c>
      <c r="B185" s="4" t="s">
        <v>176</v>
      </c>
      <c r="C185" s="4">
        <v>9.334668879E9</v>
      </c>
      <c r="D185" s="4" t="s">
        <v>27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>
        <v>5.0</v>
      </c>
      <c r="B186" s="4" t="s">
        <v>177</v>
      </c>
      <c r="C186" s="4">
        <v>8.709226526E9</v>
      </c>
      <c r="D186" s="4" t="s">
        <v>9</v>
      </c>
      <c r="E186" s="4" t="s">
        <v>4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>
        <v>6.0</v>
      </c>
      <c r="B187" s="4" t="s">
        <v>178</v>
      </c>
      <c r="C187" s="4">
        <v>7.250364003E9</v>
      </c>
      <c r="D187" s="4" t="s">
        <v>23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>
        <v>7.0</v>
      </c>
      <c r="B188" s="4" t="s">
        <v>179</v>
      </c>
      <c r="C188" s="4">
        <v>7.070598012E9</v>
      </c>
      <c r="D188" s="4" t="s">
        <v>180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>
        <v>8.0</v>
      </c>
      <c r="B189" s="4" t="s">
        <v>181</v>
      </c>
      <c r="C189" s="4">
        <v>8.75708148E9</v>
      </c>
      <c r="D189" s="4" t="s">
        <v>23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>
        <v>9.0</v>
      </c>
      <c r="B190" s="4" t="s">
        <v>182</v>
      </c>
      <c r="C190" s="4">
        <v>8.084009248E9</v>
      </c>
      <c r="D190" s="4" t="s">
        <v>9</v>
      </c>
      <c r="E190" s="4" t="s">
        <v>4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>
        <v>10.0</v>
      </c>
      <c r="B191" s="4" t="s">
        <v>183</v>
      </c>
      <c r="C191" s="4">
        <v>8.873024149E9</v>
      </c>
      <c r="D191" s="4" t="s">
        <v>9</v>
      </c>
      <c r="E191" s="4" t="s">
        <v>4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>
        <v>11.0</v>
      </c>
      <c r="B192" s="4" t="s">
        <v>184</v>
      </c>
      <c r="C192" s="4">
        <v>6.203582812E9</v>
      </c>
      <c r="D192" s="4" t="s">
        <v>9</v>
      </c>
      <c r="E192" s="4" t="s">
        <v>4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>
        <v>12.0</v>
      </c>
      <c r="B193" s="4" t="s">
        <v>185</v>
      </c>
      <c r="C193" s="4">
        <v>6.206805068E9</v>
      </c>
      <c r="D193" s="4" t="s">
        <v>9</v>
      </c>
      <c r="E193" s="4" t="s">
        <v>4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>
        <v>13.0</v>
      </c>
      <c r="B194" s="4" t="s">
        <v>186</v>
      </c>
      <c r="C194" s="4">
        <v>9.019175641E9</v>
      </c>
      <c r="D194" s="4" t="s">
        <v>9</v>
      </c>
      <c r="E194" s="4" t="s">
        <v>4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>
        <v>14.0</v>
      </c>
      <c r="B195" s="4" t="s">
        <v>174</v>
      </c>
      <c r="C195" s="4">
        <v>7.261802359E9</v>
      </c>
      <c r="D195" s="4" t="s">
        <v>23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>
        <v>15.0</v>
      </c>
      <c r="B196" s="4" t="s">
        <v>187</v>
      </c>
      <c r="C196" s="4">
        <v>9.065203548E9</v>
      </c>
      <c r="D196" s="4" t="s">
        <v>9</v>
      </c>
      <c r="E196" s="4" t="s">
        <v>4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>
        <v>16.0</v>
      </c>
      <c r="B197" s="4" t="s">
        <v>188</v>
      </c>
      <c r="C197" s="4">
        <v>9.334458912E9</v>
      </c>
      <c r="D197" s="4" t="s">
        <v>9</v>
      </c>
      <c r="E197" s="4" t="s">
        <v>4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>
        <v>17.0</v>
      </c>
      <c r="B198" s="4" t="s">
        <v>189</v>
      </c>
      <c r="C198" s="4">
        <v>9.934440113E9</v>
      </c>
      <c r="D198" s="4" t="s">
        <v>9</v>
      </c>
      <c r="E198" s="4" t="s">
        <v>4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>
        <v>18.0</v>
      </c>
      <c r="B199" s="4" t="s">
        <v>190</v>
      </c>
      <c r="C199" s="4">
        <v>9.798286274E9</v>
      </c>
      <c r="D199" s="4" t="s">
        <v>9</v>
      </c>
      <c r="E199" s="4" t="s">
        <v>4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>
        <v>19.0</v>
      </c>
      <c r="B200" s="4" t="s">
        <v>191</v>
      </c>
      <c r="C200" s="4">
        <v>7.250353564E9</v>
      </c>
      <c r="D200" s="4" t="s">
        <v>23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>
        <v>20.0</v>
      </c>
      <c r="B201" s="4" t="s">
        <v>192</v>
      </c>
      <c r="C201" s="4">
        <v>9.835561499E9</v>
      </c>
      <c r="D201" s="4" t="s">
        <v>9</v>
      </c>
      <c r="E201" s="4" t="s">
        <v>37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>
        <v>21.0</v>
      </c>
      <c r="B202" s="4" t="s">
        <v>193</v>
      </c>
      <c r="C202" s="4">
        <v>6.29948625E9</v>
      </c>
      <c r="D202" s="4" t="s">
        <v>9</v>
      </c>
      <c r="E202" s="4" t="s">
        <v>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>
        <v>22.0</v>
      </c>
      <c r="B203" s="4" t="s">
        <v>194</v>
      </c>
      <c r="C203" s="4">
        <v>8.404924621E9</v>
      </c>
      <c r="D203" s="4" t="s">
        <v>9</v>
      </c>
      <c r="E203" s="4" t="s">
        <v>4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>
        <v>23.0</v>
      </c>
      <c r="B204" s="4" t="s">
        <v>195</v>
      </c>
      <c r="C204" s="4">
        <v>7.979056403E9</v>
      </c>
      <c r="D204" s="4" t="s">
        <v>9</v>
      </c>
      <c r="E204" s="4" t="s">
        <v>4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196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 t="s">
        <v>5</v>
      </c>
      <c r="B212" s="5" t="s">
        <v>6</v>
      </c>
      <c r="C212" s="5" t="s">
        <v>7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>
        <v>1.0</v>
      </c>
      <c r="B213" s="4" t="s">
        <v>197</v>
      </c>
      <c r="C213" s="4">
        <v>9.801400637E9</v>
      </c>
      <c r="D213" s="4" t="s">
        <v>23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>
        <v>2.0</v>
      </c>
      <c r="B214" s="4" t="s">
        <v>198</v>
      </c>
      <c r="C214" s="4">
        <v>8.210452064E9</v>
      </c>
      <c r="D214" s="4" t="s">
        <v>9</v>
      </c>
      <c r="E214" s="4" t="s">
        <v>4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>
        <v>3.0</v>
      </c>
      <c r="B215" s="4" t="s">
        <v>199</v>
      </c>
      <c r="C215" s="4">
        <v>6.205879354E9</v>
      </c>
      <c r="D215" s="4" t="s">
        <v>23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>
        <v>4.0</v>
      </c>
      <c r="B216" s="4" t="s">
        <v>200</v>
      </c>
      <c r="C216" s="4">
        <v>8.409150892E9</v>
      </c>
      <c r="D216" s="4" t="s">
        <v>9</v>
      </c>
      <c r="E216" s="4" t="s">
        <v>4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>
        <v>5.0</v>
      </c>
      <c r="B217" s="4" t="s">
        <v>201</v>
      </c>
      <c r="C217" s="4">
        <v>7.970453306E9</v>
      </c>
      <c r="D217" s="4" t="s">
        <v>9</v>
      </c>
      <c r="E217" s="4" t="s">
        <v>4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>
        <v>6.0</v>
      </c>
      <c r="B218" s="4" t="s">
        <v>202</v>
      </c>
      <c r="C218" s="4">
        <v>7.352747109E9</v>
      </c>
      <c r="D218" s="4" t="s">
        <v>23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>
        <v>7.0</v>
      </c>
      <c r="B219" s="4" t="s">
        <v>203</v>
      </c>
      <c r="C219" s="4">
        <v>8.651361886E9</v>
      </c>
      <c r="D219" s="4" t="s">
        <v>23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>
        <v>8.0</v>
      </c>
      <c r="B220" s="4" t="s">
        <v>204</v>
      </c>
      <c r="C220" s="4">
        <v>9.199277093E9</v>
      </c>
      <c r="D220" s="4" t="s">
        <v>27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>
        <v>9.0</v>
      </c>
      <c r="B221" s="4" t="s">
        <v>205</v>
      </c>
      <c r="C221" s="4">
        <v>8.252077316E9</v>
      </c>
      <c r="D221" s="4" t="s">
        <v>9</v>
      </c>
      <c r="E221" s="4" t="s">
        <v>4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>
        <v>10.0</v>
      </c>
      <c r="B222" s="4" t="s">
        <v>206</v>
      </c>
      <c r="C222" s="4">
        <v>9.304638591E9</v>
      </c>
      <c r="D222" s="4" t="s">
        <v>9</v>
      </c>
      <c r="E222" s="4" t="s">
        <v>4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>
        <v>11.0</v>
      </c>
      <c r="B223" s="4" t="s">
        <v>207</v>
      </c>
      <c r="C223" s="4">
        <v>6.203930311E9</v>
      </c>
      <c r="D223" s="4" t="s">
        <v>9</v>
      </c>
      <c r="E223" s="4" t="s">
        <v>4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>
        <v>12.0</v>
      </c>
      <c r="B224" s="4" t="s">
        <v>208</v>
      </c>
      <c r="C224" s="4">
        <v>8.540849186E9</v>
      </c>
      <c r="D224" s="4" t="s">
        <v>9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>
        <v>13.0</v>
      </c>
      <c r="B225" s="4" t="s">
        <v>209</v>
      </c>
      <c r="C225" s="4">
        <v>9.934098778E9</v>
      </c>
      <c r="D225" s="4" t="s">
        <v>9</v>
      </c>
      <c r="E225" s="4" t="s">
        <v>4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>
        <v>14.0</v>
      </c>
      <c r="B226" s="4" t="s">
        <v>210</v>
      </c>
      <c r="C226" s="4">
        <v>9.162080601E9</v>
      </c>
      <c r="D226" s="4" t="s">
        <v>9</v>
      </c>
      <c r="E226" s="4" t="s">
        <v>4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>
        <v>15.0</v>
      </c>
      <c r="B227" s="4" t="s">
        <v>211</v>
      </c>
      <c r="C227" s="4">
        <v>8.651103282E9</v>
      </c>
      <c r="D227" s="4" t="s">
        <v>13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>
        <v>16.0</v>
      </c>
      <c r="B228" s="4" t="s">
        <v>212</v>
      </c>
      <c r="C228" s="4">
        <v>6.203154595E9</v>
      </c>
      <c r="D228" s="4" t="s">
        <v>9</v>
      </c>
      <c r="E228" s="4" t="s">
        <v>4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>
        <v>17.0</v>
      </c>
      <c r="B229" s="4" t="s">
        <v>213</v>
      </c>
      <c r="C229" s="4">
        <v>8.252776292E9</v>
      </c>
      <c r="D229" s="4" t="s">
        <v>9</v>
      </c>
      <c r="E229" s="4" t="s">
        <v>4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>
        <v>18.0</v>
      </c>
      <c r="B230" s="4" t="s">
        <v>214</v>
      </c>
      <c r="C230" s="4">
        <v>6.203098928E9</v>
      </c>
      <c r="D230" s="4" t="s">
        <v>13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>
        <v>19.0</v>
      </c>
      <c r="B231" s="4" t="s">
        <v>215</v>
      </c>
      <c r="C231" s="4">
        <v>7.763038023E9</v>
      </c>
      <c r="D231" s="4" t="s">
        <v>23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>
        <v>20.0</v>
      </c>
      <c r="B232" s="4" t="s">
        <v>216</v>
      </c>
      <c r="C232" s="4">
        <v>9.93909168E9</v>
      </c>
      <c r="D232" s="4" t="s">
        <v>9</v>
      </c>
      <c r="E232" s="4" t="s">
        <v>4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>
        <v>21.0</v>
      </c>
      <c r="B233" s="4" t="s">
        <v>217</v>
      </c>
      <c r="C233" s="4">
        <v>8.102831637E9</v>
      </c>
      <c r="D233" s="4" t="s">
        <v>9</v>
      </c>
      <c r="E233" s="4" t="s">
        <v>4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>
        <v>22.0</v>
      </c>
      <c r="B234" s="4" t="s">
        <v>218</v>
      </c>
      <c r="C234" s="4">
        <v>9.771792406E9</v>
      </c>
      <c r="D234" s="4" t="s">
        <v>9</v>
      </c>
      <c r="E234" s="4" t="s">
        <v>4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>
        <v>23.0</v>
      </c>
      <c r="B235" s="4" t="s">
        <v>219</v>
      </c>
      <c r="C235" s="4">
        <v>9.199079847E9</v>
      </c>
      <c r="D235" s="4" t="s">
        <v>13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>
        <v>24.0</v>
      </c>
      <c r="B236" s="4" t="s">
        <v>220</v>
      </c>
      <c r="C236" s="4">
        <v>9.431837559E9</v>
      </c>
      <c r="D236" s="4" t="s">
        <v>9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>
        <v>25.0</v>
      </c>
      <c r="B237" s="4" t="s">
        <v>221</v>
      </c>
      <c r="C237" s="4">
        <v>9.576574311E9</v>
      </c>
      <c r="D237" s="4" t="s">
        <v>23</v>
      </c>
      <c r="E237" s="4" t="s">
        <v>4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>
        <v>26.0</v>
      </c>
      <c r="B238" s="4" t="s">
        <v>222</v>
      </c>
      <c r="C238" s="4">
        <v>7.488548262E9</v>
      </c>
      <c r="D238" s="4" t="s">
        <v>23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>
        <v>27.0</v>
      </c>
      <c r="B239" s="4" t="s">
        <v>223</v>
      </c>
      <c r="C239" s="4">
        <v>9.801342838E9</v>
      </c>
      <c r="D239" s="4" t="s">
        <v>13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>
        <v>28.0</v>
      </c>
      <c r="B240" s="4" t="s">
        <v>224</v>
      </c>
      <c r="C240" s="4">
        <v>8.809065411E9</v>
      </c>
      <c r="D240" s="4" t="s">
        <v>23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>
        <v>29.0</v>
      </c>
      <c r="B241" s="4" t="s">
        <v>225</v>
      </c>
      <c r="C241" s="4">
        <v>7.48189748E9</v>
      </c>
      <c r="D241" s="4" t="s">
        <v>23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>
        <v>30.0</v>
      </c>
      <c r="B242" s="4" t="s">
        <v>226</v>
      </c>
      <c r="C242" s="4" t="s">
        <v>227</v>
      </c>
      <c r="D242" s="4" t="s">
        <v>9</v>
      </c>
      <c r="E242" s="4" t="s">
        <v>4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>
        <v>31.0</v>
      </c>
      <c r="B243" s="4" t="s">
        <v>228</v>
      </c>
      <c r="C243" s="4">
        <v>9.572801514E9</v>
      </c>
      <c r="D243" s="4" t="s">
        <v>27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>
        <v>32.0</v>
      </c>
      <c r="B244" s="4" t="s">
        <v>229</v>
      </c>
      <c r="C244" s="4">
        <v>6.206925003E9</v>
      </c>
      <c r="D244" s="4" t="s">
        <v>9</v>
      </c>
      <c r="E244" s="4" t="s">
        <v>4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>
        <v>33.0</v>
      </c>
      <c r="B245" s="4" t="s">
        <v>230</v>
      </c>
      <c r="C245" s="4">
        <v>8.210312924E9</v>
      </c>
      <c r="D245" s="4" t="s">
        <v>9</v>
      </c>
      <c r="E245" s="4" t="s">
        <v>4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>
        <v>34.0</v>
      </c>
      <c r="B246" s="4" t="s">
        <v>231</v>
      </c>
      <c r="C246" s="4">
        <v>7.544093485E9</v>
      </c>
      <c r="D246" s="4" t="s">
        <v>27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>
        <v>35.0</v>
      </c>
      <c r="B247" s="4" t="s">
        <v>232</v>
      </c>
      <c r="C247" s="4">
        <v>9.431451349E9</v>
      </c>
      <c r="D247" s="4" t="s">
        <v>27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8" t="s">
        <v>233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 t="s">
        <v>234</v>
      </c>
      <c r="B255" s="5" t="s">
        <v>6</v>
      </c>
      <c r="C255" s="5" t="s">
        <v>7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>
        <v>1.0</v>
      </c>
      <c r="B256" s="4" t="s">
        <v>235</v>
      </c>
      <c r="C256" s="4">
        <v>8.210797951E9</v>
      </c>
      <c r="D256" s="4" t="s">
        <v>54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>
        <v>2.0</v>
      </c>
      <c r="B257" s="4" t="s">
        <v>236</v>
      </c>
      <c r="C257" s="4">
        <v>9.934798745E9</v>
      </c>
      <c r="D257" s="4" t="s">
        <v>9</v>
      </c>
      <c r="E257" s="4" t="s">
        <v>4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>
        <v>3.0</v>
      </c>
      <c r="B258" s="4" t="s">
        <v>237</v>
      </c>
      <c r="C258" s="4">
        <v>6.299924878E9</v>
      </c>
      <c r="D258" s="4" t="s">
        <v>9</v>
      </c>
      <c r="E258" s="4" t="s">
        <v>4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>
        <v>4.0</v>
      </c>
      <c r="B259" s="4" t="s">
        <v>217</v>
      </c>
      <c r="C259" s="4">
        <v>7.903361092E9</v>
      </c>
      <c r="D259" s="4" t="s">
        <v>9</v>
      </c>
      <c r="E259" s="4" t="s">
        <v>4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>
        <v>5.0</v>
      </c>
      <c r="B260" s="4" t="s">
        <v>238</v>
      </c>
      <c r="C260" s="4">
        <v>7.492960109E9</v>
      </c>
      <c r="D260" s="4" t="s">
        <v>54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>
        <v>6.0</v>
      </c>
      <c r="B261" s="4" t="s">
        <v>239</v>
      </c>
      <c r="C261" s="4">
        <v>9.801969116E9</v>
      </c>
      <c r="D261" s="4" t="s">
        <v>9</v>
      </c>
      <c r="E261" s="4" t="s">
        <v>4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>
        <v>7.0</v>
      </c>
      <c r="B262" s="4" t="s">
        <v>240</v>
      </c>
      <c r="C262" s="4">
        <v>9.801106838E9</v>
      </c>
      <c r="D262" s="4" t="s">
        <v>13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>
        <v>8.0</v>
      </c>
      <c r="B263" s="4" t="s">
        <v>241</v>
      </c>
      <c r="C263" s="4">
        <v>9.661077421E9</v>
      </c>
      <c r="D263" s="4" t="s">
        <v>9</v>
      </c>
      <c r="E263" s="4" t="s">
        <v>4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>
        <v>9.0</v>
      </c>
      <c r="B264" s="4" t="s">
        <v>242</v>
      </c>
      <c r="C264" s="4">
        <v>9.006380334E9</v>
      </c>
      <c r="D264" s="4" t="s">
        <v>9</v>
      </c>
      <c r="E264" s="4" t="s">
        <v>4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>
        <v>10.0</v>
      </c>
      <c r="B265" s="4" t="s">
        <v>243</v>
      </c>
      <c r="C265" s="4">
        <v>9.102338055E9</v>
      </c>
      <c r="D265" s="4" t="s">
        <v>9</v>
      </c>
      <c r="E265" s="4" t="s">
        <v>37</v>
      </c>
      <c r="F265" s="3" t="s">
        <v>244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>
        <v>11.0</v>
      </c>
      <c r="B266" s="4" t="s">
        <v>245</v>
      </c>
      <c r="C266" s="4">
        <v>9.939655864E9</v>
      </c>
      <c r="D266" s="4" t="s">
        <v>9</v>
      </c>
      <c r="E266" s="4" t="s">
        <v>4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>
        <v>12.0</v>
      </c>
      <c r="B267" s="4" t="s">
        <v>246</v>
      </c>
      <c r="C267" s="4">
        <v>9.576488708E9</v>
      </c>
      <c r="D267" s="4" t="s">
        <v>23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>
        <v>13.0</v>
      </c>
      <c r="B268" s="4" t="s">
        <v>247</v>
      </c>
      <c r="C268" s="4">
        <v>7.004331778E9</v>
      </c>
      <c r="D268" s="4" t="s">
        <v>27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>
        <v>14.0</v>
      </c>
      <c r="B269" s="4" t="s">
        <v>248</v>
      </c>
      <c r="C269" s="4">
        <v>9.931241557E9</v>
      </c>
      <c r="D269" s="4" t="s">
        <v>27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>
        <v>15.0</v>
      </c>
      <c r="B270" s="4" t="s">
        <v>249</v>
      </c>
      <c r="C270" s="4">
        <v>9.162854088E9</v>
      </c>
      <c r="D270" s="4" t="s">
        <v>9</v>
      </c>
      <c r="E270" s="4" t="s">
        <v>4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>
        <v>16.0</v>
      </c>
      <c r="B271" s="4" t="s">
        <v>250</v>
      </c>
      <c r="C271" s="4">
        <v>9.955553509E9</v>
      </c>
      <c r="D271" s="4" t="s">
        <v>9</v>
      </c>
      <c r="E271" s="4" t="s">
        <v>4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>
        <v>17.0</v>
      </c>
      <c r="B272" s="4" t="s">
        <v>251</v>
      </c>
      <c r="C272" s="4">
        <v>9.955281372E9</v>
      </c>
      <c r="D272" s="4" t="s">
        <v>9</v>
      </c>
      <c r="E272" s="4" t="s">
        <v>4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>
        <v>18.0</v>
      </c>
      <c r="B273" s="4" t="s">
        <v>252</v>
      </c>
      <c r="C273" s="4">
        <v>7.764013676E9</v>
      </c>
      <c r="D273" s="4" t="s">
        <v>23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>
        <v>19.0</v>
      </c>
      <c r="B274" s="4" t="s">
        <v>253</v>
      </c>
      <c r="C274" s="4">
        <v>8.210869796E9</v>
      </c>
      <c r="D274" s="4" t="s">
        <v>9</v>
      </c>
      <c r="E274" s="4" t="s">
        <v>4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>
        <v>20.0</v>
      </c>
      <c r="B275" s="4" t="s">
        <v>254</v>
      </c>
      <c r="C275" s="4">
        <v>9.801440958E9</v>
      </c>
      <c r="D275" s="4" t="s">
        <v>27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>
        <v>21.0</v>
      </c>
      <c r="B276" s="4" t="s">
        <v>255</v>
      </c>
      <c r="C276" s="4">
        <v>9.304118454E9</v>
      </c>
      <c r="D276" s="4" t="s">
        <v>23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>
        <v>22.0</v>
      </c>
      <c r="B277" s="4" t="s">
        <v>256</v>
      </c>
      <c r="C277" s="4">
        <v>9.162099844E9</v>
      </c>
      <c r="D277" s="4" t="s">
        <v>9</v>
      </c>
      <c r="E277" s="4" t="s">
        <v>4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>
        <v>23.0</v>
      </c>
      <c r="B278" s="4" t="s">
        <v>257</v>
      </c>
      <c r="C278" s="4">
        <v>9.060874873E9</v>
      </c>
      <c r="D278" s="4" t="s">
        <v>9</v>
      </c>
      <c r="E278" s="4" t="s">
        <v>4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>
        <v>24.0</v>
      </c>
      <c r="B279" s="4" t="s">
        <v>258</v>
      </c>
      <c r="C279" s="4">
        <v>8.521210213E9</v>
      </c>
      <c r="D279" s="4" t="s">
        <v>23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>
        <v>25.0</v>
      </c>
      <c r="B280" s="4" t="s">
        <v>56</v>
      </c>
      <c r="C280" s="4">
        <v>9.576184468E9</v>
      </c>
      <c r="D280" s="4" t="s">
        <v>9</v>
      </c>
      <c r="E280" s="4" t="s">
        <v>4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>
        <v>26.0</v>
      </c>
      <c r="B281" s="4" t="s">
        <v>259</v>
      </c>
      <c r="C281" s="4">
        <v>7.667362776E9</v>
      </c>
      <c r="D281" s="4" t="s">
        <v>9</v>
      </c>
      <c r="E281" s="4" t="s">
        <v>4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>
        <v>27.0</v>
      </c>
      <c r="B282" s="4" t="s">
        <v>260</v>
      </c>
      <c r="C282" s="4">
        <v>6.201198207E9</v>
      </c>
      <c r="D282" s="4" t="s">
        <v>27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>
        <v>28.0</v>
      </c>
      <c r="B283" s="4" t="s">
        <v>261</v>
      </c>
      <c r="C283" s="4">
        <v>7.250436459E9</v>
      </c>
      <c r="D283" s="4" t="s">
        <v>9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>
        <v>29.0</v>
      </c>
      <c r="B284" s="4" t="s">
        <v>262</v>
      </c>
      <c r="C284" s="4">
        <v>7.250439247E9</v>
      </c>
      <c r="D284" s="4" t="s">
        <v>23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>
        <v>30.0</v>
      </c>
      <c r="B285" s="4" t="s">
        <v>49</v>
      </c>
      <c r="C285" s="4">
        <v>9.955563334E9</v>
      </c>
      <c r="D285" s="4" t="s">
        <v>23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>
        <v>31.0</v>
      </c>
      <c r="B286" s="4" t="s">
        <v>263</v>
      </c>
      <c r="C286" s="4">
        <v>7.352548428E9</v>
      </c>
      <c r="D286" s="4" t="s">
        <v>27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>
        <v>32.0</v>
      </c>
      <c r="B287" s="4" t="s">
        <v>264</v>
      </c>
      <c r="C287" s="4">
        <v>7.352929909E9</v>
      </c>
      <c r="D287" s="4" t="s">
        <v>9</v>
      </c>
      <c r="E287" s="4" t="s">
        <v>4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>
        <v>33.0</v>
      </c>
      <c r="B288" s="4" t="s">
        <v>265</v>
      </c>
      <c r="C288" s="4">
        <v>9.19910574E9</v>
      </c>
      <c r="D288" s="4" t="s">
        <v>9</v>
      </c>
      <c r="E288" s="4" t="s">
        <v>4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>
        <v>34.0</v>
      </c>
      <c r="B289" s="4" t="s">
        <v>266</v>
      </c>
      <c r="C289" s="4">
        <v>8.521411336E9</v>
      </c>
      <c r="D289" s="4" t="s">
        <v>9</v>
      </c>
      <c r="E289" s="4" t="s">
        <v>4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>
        <v>35.0</v>
      </c>
      <c r="B290" s="4" t="s">
        <v>267</v>
      </c>
      <c r="C290" s="4">
        <v>6.200447485E9</v>
      </c>
      <c r="D290" s="4" t="s">
        <v>27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>
        <v>36.0</v>
      </c>
      <c r="B291" s="4" t="s">
        <v>268</v>
      </c>
      <c r="C291" s="4">
        <v>6.202061291E9</v>
      </c>
      <c r="D291" s="4" t="s">
        <v>23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>
        <v>37.0</v>
      </c>
      <c r="B292" s="4" t="s">
        <v>269</v>
      </c>
      <c r="C292" s="4">
        <v>7.482843879E9</v>
      </c>
      <c r="D292" s="4" t="s">
        <v>9</v>
      </c>
      <c r="E292" s="4" t="s">
        <v>37</v>
      </c>
      <c r="F292" s="3" t="s">
        <v>38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>
        <v>38.0</v>
      </c>
      <c r="B293" s="4" t="s">
        <v>270</v>
      </c>
      <c r="C293" s="4">
        <v>9.801087121E9</v>
      </c>
      <c r="D293" s="4" t="s">
        <v>23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>
        <v>39.0</v>
      </c>
      <c r="B294" s="4" t="s">
        <v>271</v>
      </c>
      <c r="C294" s="4">
        <v>6.360182386E9</v>
      </c>
      <c r="D294" s="4" t="s">
        <v>9</v>
      </c>
      <c r="E294" s="4" t="s">
        <v>4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>
        <v>40.0</v>
      </c>
      <c r="B295" s="4" t="s">
        <v>272</v>
      </c>
      <c r="C295" s="4">
        <v>7.782886502E9</v>
      </c>
      <c r="D295" s="4" t="s">
        <v>9</v>
      </c>
      <c r="E295" s="4" t="s">
        <v>4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>
        <v>41.0</v>
      </c>
      <c r="B296" s="4" t="s">
        <v>273</v>
      </c>
      <c r="C296" s="4">
        <v>7.739911212E9</v>
      </c>
      <c r="D296" s="4" t="s">
        <v>23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>
        <v>42.0</v>
      </c>
      <c r="B297" s="4" t="s">
        <v>274</v>
      </c>
      <c r="C297" s="4">
        <v>7.717749247E9</v>
      </c>
      <c r="D297" s="4" t="s">
        <v>27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>
        <v>43.0</v>
      </c>
      <c r="B298" s="4" t="s">
        <v>275</v>
      </c>
      <c r="C298" s="4">
        <v>9.546690088E9</v>
      </c>
      <c r="D298" s="4" t="s">
        <v>13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>
        <v>44.0</v>
      </c>
      <c r="B299" s="4" t="s">
        <v>276</v>
      </c>
      <c r="C299" s="4">
        <v>8.541068075E9</v>
      </c>
      <c r="D299" s="4" t="s">
        <v>13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>
        <v>45.0</v>
      </c>
      <c r="B300" s="4" t="s">
        <v>277</v>
      </c>
      <c r="C300" s="4">
        <v>9.199243813E9</v>
      </c>
      <c r="D300" s="4" t="s">
        <v>9</v>
      </c>
      <c r="E300" s="4" t="s">
        <v>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>
        <v>46.0</v>
      </c>
      <c r="B301" s="4" t="s">
        <v>278</v>
      </c>
      <c r="C301" s="4">
        <v>7.979744326E9</v>
      </c>
      <c r="D301" s="4" t="s">
        <v>54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>
        <v>47.0</v>
      </c>
      <c r="B302" s="4" t="s">
        <v>279</v>
      </c>
      <c r="C302" s="4">
        <v>8.054853154E9</v>
      </c>
      <c r="D302" s="4" t="s">
        <v>23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>
        <v>48.0</v>
      </c>
      <c r="B303" s="4" t="s">
        <v>280</v>
      </c>
      <c r="C303" s="4">
        <v>8.433502852E9</v>
      </c>
      <c r="D303" s="4" t="s">
        <v>9</v>
      </c>
      <c r="E303" s="4" t="s">
        <v>4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>
        <v>49.0</v>
      </c>
      <c r="B304" s="4" t="s">
        <v>167</v>
      </c>
      <c r="C304" s="4">
        <v>7.781955977E9</v>
      </c>
      <c r="D304" s="4" t="s">
        <v>54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>
        <v>50.0</v>
      </c>
      <c r="B305" s="4" t="s">
        <v>281</v>
      </c>
      <c r="C305" s="4">
        <v>6.201051438E9</v>
      </c>
      <c r="D305" s="4" t="s">
        <v>23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>
        <v>51.0</v>
      </c>
      <c r="B306" s="4" t="s">
        <v>282</v>
      </c>
      <c r="C306" s="4">
        <v>6.20758426E9</v>
      </c>
      <c r="D306" s="4" t="s">
        <v>23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>
        <v>52.0</v>
      </c>
      <c r="B307" s="4" t="s">
        <v>50</v>
      </c>
      <c r="C307" s="4">
        <v>9.693253872E9</v>
      </c>
      <c r="D307" s="4" t="s">
        <v>9</v>
      </c>
      <c r="E307" s="4" t="s">
        <v>37</v>
      </c>
      <c r="F307" s="3" t="s">
        <v>38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>
        <v>53.0</v>
      </c>
      <c r="B308" s="4" t="s">
        <v>283</v>
      </c>
      <c r="C308" s="4">
        <v>7.295840892E9</v>
      </c>
      <c r="D308" s="4" t="s">
        <v>9</v>
      </c>
      <c r="E308" s="4" t="s">
        <v>4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>
        <v>54.0</v>
      </c>
      <c r="B309" s="4" t="s">
        <v>284</v>
      </c>
      <c r="C309" s="4">
        <v>8.340375021E9</v>
      </c>
      <c r="D309" s="4" t="s">
        <v>23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>
        <v>55.0</v>
      </c>
      <c r="B310" s="4" t="s">
        <v>19</v>
      </c>
      <c r="C310" s="4">
        <v>8.102272448E9</v>
      </c>
      <c r="D310" s="4" t="s">
        <v>27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>
        <v>56.0</v>
      </c>
      <c r="B311" s="4" t="s">
        <v>19</v>
      </c>
      <c r="C311" s="4">
        <v>9.341282474E9</v>
      </c>
      <c r="D311" s="4" t="s">
        <v>9</v>
      </c>
      <c r="E311" s="4" t="s">
        <v>4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>
        <v>57.0</v>
      </c>
      <c r="B312" s="4" t="s">
        <v>285</v>
      </c>
      <c r="C312" s="4">
        <v>8.210819792E9</v>
      </c>
      <c r="D312" s="4" t="s">
        <v>9</v>
      </c>
      <c r="E312" s="4" t="s">
        <v>4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>
        <v>58.0</v>
      </c>
      <c r="B313" s="4" t="s">
        <v>24</v>
      </c>
      <c r="C313" s="4">
        <v>8.252706879E9</v>
      </c>
      <c r="D313" s="4" t="s">
        <v>9</v>
      </c>
      <c r="E313" s="4" t="s">
        <v>4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>
        <v>59.0</v>
      </c>
      <c r="B314" s="4" t="s">
        <v>286</v>
      </c>
      <c r="C314" s="4">
        <v>9.334508754E9</v>
      </c>
      <c r="D314" s="4" t="s">
        <v>9</v>
      </c>
      <c r="E314" s="4" t="s">
        <v>37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>
        <v>60.0</v>
      </c>
      <c r="B315" s="4" t="s">
        <v>287</v>
      </c>
      <c r="C315" s="4">
        <v>8.709310691E9</v>
      </c>
      <c r="D315" s="4" t="s">
        <v>54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>
        <v>61.0</v>
      </c>
      <c r="B316" s="4" t="s">
        <v>288</v>
      </c>
      <c r="C316" s="4">
        <v>6.207079802E9</v>
      </c>
      <c r="D316" s="4" t="s">
        <v>9</v>
      </c>
      <c r="E316" s="4" t="s">
        <v>4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>
        <v>62.0</v>
      </c>
      <c r="B317" s="4" t="s">
        <v>289</v>
      </c>
      <c r="C317" s="4">
        <v>9.939963774E9</v>
      </c>
      <c r="D317" s="4" t="s">
        <v>23</v>
      </c>
      <c r="E317" s="4" t="s">
        <v>4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>
        <v>63.0</v>
      </c>
      <c r="B318" s="4" t="s">
        <v>290</v>
      </c>
      <c r="C318" s="4">
        <v>9.693760417E9</v>
      </c>
      <c r="D318" s="4" t="s">
        <v>9</v>
      </c>
      <c r="E318" s="4" t="s">
        <v>4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">
        <v>64.0</v>
      </c>
      <c r="B319" s="4" t="s">
        <v>291</v>
      </c>
      <c r="C319" s="4">
        <v>9.060838747E9</v>
      </c>
      <c r="D319" s="4" t="s">
        <v>9</v>
      </c>
      <c r="E319" s="4" t="s">
        <v>37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>
        <v>65.0</v>
      </c>
      <c r="B320" s="4" t="s">
        <v>292</v>
      </c>
      <c r="C320" s="4">
        <v>6.201787557E9</v>
      </c>
      <c r="D320" s="4" t="s">
        <v>9</v>
      </c>
      <c r="E320" s="4" t="s">
        <v>4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">
        <v>66.0</v>
      </c>
      <c r="B321" s="4" t="s">
        <v>293</v>
      </c>
      <c r="C321" s="4">
        <v>9.006685386E9</v>
      </c>
      <c r="D321" s="4" t="s">
        <v>23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>
        <v>67.0</v>
      </c>
      <c r="B322" s="4" t="s">
        <v>294</v>
      </c>
      <c r="C322" s="4">
        <v>9.006879593E9</v>
      </c>
      <c r="D322" s="4" t="s">
        <v>9</v>
      </c>
      <c r="E322" s="4" t="s">
        <v>4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">
        <v>68.0</v>
      </c>
      <c r="B323" s="4" t="s">
        <v>176</v>
      </c>
      <c r="C323" s="4">
        <v>8.434287387E9</v>
      </c>
      <c r="D323" s="4" t="s">
        <v>27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>
        <v>69.0</v>
      </c>
      <c r="B324" s="4" t="s">
        <v>295</v>
      </c>
      <c r="C324" s="4">
        <v>8.00253175E9</v>
      </c>
      <c r="D324" s="4" t="s">
        <v>54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">
        <v>70.0</v>
      </c>
      <c r="B325" s="4" t="s">
        <v>296</v>
      </c>
      <c r="C325" s="4">
        <v>9.430657815E9</v>
      </c>
      <c r="D325" s="4" t="s">
        <v>9</v>
      </c>
      <c r="E325" s="4" t="s">
        <v>4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>
        <v>71.0</v>
      </c>
      <c r="B326" s="4" t="s">
        <v>297</v>
      </c>
      <c r="C326" s="4">
        <v>9.504979435E9</v>
      </c>
      <c r="D326" s="4" t="s">
        <v>9</v>
      </c>
      <c r="E326" s="4" t="s">
        <v>4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">
        <v>72.0</v>
      </c>
      <c r="B327" s="4" t="s">
        <v>298</v>
      </c>
      <c r="C327" s="4">
        <v>9.955267872E9</v>
      </c>
      <c r="D327" s="4" t="s">
        <v>9</v>
      </c>
      <c r="E327" s="4" t="s">
        <v>4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>
        <v>73.0</v>
      </c>
      <c r="B328" s="4" t="s">
        <v>176</v>
      </c>
      <c r="C328" s="4">
        <v>8.434287387E9</v>
      </c>
      <c r="D328" s="4" t="s">
        <v>27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>
        <v>74.0</v>
      </c>
      <c r="B329" s="4" t="s">
        <v>299</v>
      </c>
      <c r="C329" s="4">
        <v>7.32302045E8</v>
      </c>
      <c r="D329" s="4" t="s">
        <v>30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>
        <v>75.0</v>
      </c>
      <c r="B330" s="4" t="s">
        <v>300</v>
      </c>
      <c r="C330" s="4">
        <v>9.576056236E9</v>
      </c>
      <c r="D330" s="4" t="s">
        <v>9</v>
      </c>
      <c r="E330" s="4" t="s">
        <v>4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>
        <v>76.0</v>
      </c>
      <c r="B331" s="4" t="s">
        <v>301</v>
      </c>
      <c r="C331" s="4">
        <v>7.764931304E9</v>
      </c>
      <c r="D331" s="4" t="s">
        <v>54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>
        <v>77.0</v>
      </c>
      <c r="B332" s="4" t="s">
        <v>302</v>
      </c>
      <c r="C332" s="4">
        <v>8.581991311E9</v>
      </c>
      <c r="D332" s="4" t="s">
        <v>9</v>
      </c>
      <c r="E332" s="4" t="s">
        <v>4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">
        <v>78.0</v>
      </c>
      <c r="B333" s="4" t="s">
        <v>303</v>
      </c>
      <c r="C333" s="4">
        <v>7.482089935E9</v>
      </c>
      <c r="D333" s="4" t="s">
        <v>27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>
        <v>79.0</v>
      </c>
      <c r="B334" s="4" t="s">
        <v>304</v>
      </c>
      <c r="C334" s="4">
        <v>8.27135741E8</v>
      </c>
      <c r="D334" s="4" t="s">
        <v>30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">
        <v>80.0</v>
      </c>
      <c r="B335" s="4" t="s">
        <v>305</v>
      </c>
      <c r="C335" s="4">
        <v>9.508099139E9</v>
      </c>
      <c r="D335" s="4" t="s">
        <v>9</v>
      </c>
      <c r="E335" s="4" t="s">
        <v>37</v>
      </c>
      <c r="F335" s="3" t="s">
        <v>244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>
        <v>81.0</v>
      </c>
      <c r="B336" s="4" t="s">
        <v>306</v>
      </c>
      <c r="C336" s="4">
        <v>9.798266596E9</v>
      </c>
      <c r="D336" s="4" t="s">
        <v>23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">
        <v>82.0</v>
      </c>
      <c r="B337" s="4" t="s">
        <v>307</v>
      </c>
      <c r="C337" s="4">
        <v>7.739256764E9</v>
      </c>
      <c r="D337" s="4" t="s">
        <v>9</v>
      </c>
      <c r="E337" s="4" t="s">
        <v>4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>
        <v>83.0</v>
      </c>
      <c r="B338" s="4" t="s">
        <v>308</v>
      </c>
      <c r="C338" s="4">
        <v>9.661223904E9</v>
      </c>
      <c r="D338" s="4" t="s">
        <v>9</v>
      </c>
      <c r="E338" s="4" t="s">
        <v>4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">
        <v>84.0</v>
      </c>
      <c r="B339" s="4" t="s">
        <v>309</v>
      </c>
      <c r="C339" s="4">
        <v>9.33489855E9</v>
      </c>
      <c r="D339" s="4" t="s">
        <v>30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>
        <v>85.0</v>
      </c>
      <c r="B340" s="4" t="s">
        <v>310</v>
      </c>
      <c r="C340" s="4">
        <v>9.263396589E9</v>
      </c>
      <c r="D340" s="4" t="s">
        <v>13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>
        <v>86.0</v>
      </c>
      <c r="B341" s="4" t="s">
        <v>311</v>
      </c>
      <c r="C341" s="4">
        <v>9.023880889E9</v>
      </c>
      <c r="D341" s="4" t="s">
        <v>9</v>
      </c>
      <c r="E341" s="4" t="s">
        <v>4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>
        <v>87.0</v>
      </c>
      <c r="B342" s="4" t="s">
        <v>312</v>
      </c>
      <c r="C342" s="4">
        <v>8.96935482E9</v>
      </c>
      <c r="D342" s="4" t="s">
        <v>9</v>
      </c>
      <c r="E342" s="4" t="s">
        <v>4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9" t="s">
        <v>313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 t="s">
        <v>5</v>
      </c>
      <c r="B344" s="5" t="s">
        <v>6</v>
      </c>
      <c r="C344" s="5" t="s">
        <v>7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>
        <v>1.0</v>
      </c>
      <c r="B345" s="4" t="s">
        <v>314</v>
      </c>
      <c r="C345" s="4">
        <v>6.202881749E9</v>
      </c>
      <c r="D345" s="4" t="s">
        <v>9</v>
      </c>
      <c r="E345" s="4" t="s">
        <v>4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>
        <v>2.0</v>
      </c>
      <c r="B346" s="4" t="s">
        <v>315</v>
      </c>
      <c r="C346" s="4">
        <v>6.205869952E9</v>
      </c>
      <c r="D346" s="4" t="s">
        <v>9</v>
      </c>
      <c r="E346" s="4" t="s">
        <v>4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>
        <v>3.0</v>
      </c>
      <c r="B347" s="4" t="s">
        <v>316</v>
      </c>
      <c r="C347" s="4">
        <v>8.789153176E9</v>
      </c>
      <c r="D347" s="4" t="s">
        <v>9</v>
      </c>
      <c r="E347" s="4" t="s">
        <v>4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>
        <v>4.0</v>
      </c>
      <c r="B348" s="4" t="s">
        <v>317</v>
      </c>
      <c r="C348" s="4">
        <v>9.931249502E9</v>
      </c>
      <c r="D348" s="4" t="s">
        <v>9</v>
      </c>
      <c r="E348" s="4" t="s">
        <v>4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>
        <v>5.0</v>
      </c>
      <c r="B349" s="4" t="s">
        <v>310</v>
      </c>
      <c r="C349" s="4">
        <v>8.292308911E9</v>
      </c>
      <c r="D349" s="4" t="s">
        <v>9</v>
      </c>
      <c r="E349" s="4" t="s">
        <v>4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>
        <v>6.0</v>
      </c>
      <c r="B350" s="4" t="s">
        <v>318</v>
      </c>
      <c r="C350" s="4">
        <v>7.061767785E9</v>
      </c>
      <c r="D350" s="4" t="s">
        <v>9</v>
      </c>
      <c r="E350" s="4" t="s">
        <v>4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>
        <v>7.0</v>
      </c>
      <c r="B351" s="4" t="s">
        <v>51</v>
      </c>
      <c r="C351" s="4">
        <v>9.801395476E9</v>
      </c>
      <c r="D351" s="4" t="s">
        <v>27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>
        <v>8.0</v>
      </c>
      <c r="B352" s="4" t="s">
        <v>319</v>
      </c>
      <c r="C352" s="4">
        <v>6.205717578E9</v>
      </c>
      <c r="D352" s="4" t="s">
        <v>30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">
        <v>9.0</v>
      </c>
      <c r="B353" s="4" t="s">
        <v>320</v>
      </c>
      <c r="C353" s="4">
        <v>6.207515596E9</v>
      </c>
      <c r="D353" s="4" t="s">
        <v>9</v>
      </c>
      <c r="E353" s="4" t="s">
        <v>4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>
        <v>10.0</v>
      </c>
      <c r="B354" s="4" t="s">
        <v>321</v>
      </c>
      <c r="C354" s="4">
        <v>9.955509634E9</v>
      </c>
      <c r="D354" s="4" t="s">
        <v>9</v>
      </c>
      <c r="E354" s="4" t="s">
        <v>4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">
        <v>11.0</v>
      </c>
      <c r="B355" s="4" t="s">
        <v>322</v>
      </c>
      <c r="C355" s="4">
        <v>9.709329191E9</v>
      </c>
      <c r="D355" s="4" t="s">
        <v>9</v>
      </c>
      <c r="E355" s="4" t="s">
        <v>4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>
        <v>12.0</v>
      </c>
      <c r="B356" s="4" t="s">
        <v>323</v>
      </c>
      <c r="C356" s="4">
        <v>6.202608147E9</v>
      </c>
      <c r="D356" s="4" t="s">
        <v>9</v>
      </c>
      <c r="E356" s="4" t="s">
        <v>4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>
        <v>13.0</v>
      </c>
      <c r="B357" s="4" t="s">
        <v>324</v>
      </c>
      <c r="C357" s="4">
        <v>9.801778918E9</v>
      </c>
      <c r="D357" s="4" t="s">
        <v>9</v>
      </c>
      <c r="E357" s="4" t="s">
        <v>37</v>
      </c>
      <c r="F357" s="3" t="s">
        <v>325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>
        <v>14.0</v>
      </c>
      <c r="B358" s="4" t="s">
        <v>326</v>
      </c>
      <c r="C358" s="4">
        <v>9.931467506E9</v>
      </c>
      <c r="D358" s="4" t="s">
        <v>9</v>
      </c>
      <c r="E358" s="4" t="s">
        <v>4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>
        <v>15.0</v>
      </c>
      <c r="B359" s="4" t="s">
        <v>327</v>
      </c>
      <c r="C359" s="4">
        <v>8.581991311E9</v>
      </c>
      <c r="D359" s="4" t="s">
        <v>23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>
        <v>16.0</v>
      </c>
      <c r="B360" s="4" t="s">
        <v>328</v>
      </c>
      <c r="C360" s="4">
        <v>7.766011388E9</v>
      </c>
      <c r="D360" s="4" t="s">
        <v>9</v>
      </c>
      <c r="E360" s="4" t="s">
        <v>37</v>
      </c>
      <c r="F360" s="3" t="s">
        <v>329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>
        <v>17.0</v>
      </c>
      <c r="B361" s="4" t="s">
        <v>330</v>
      </c>
      <c r="C361" s="4">
        <v>9.199354745E9</v>
      </c>
      <c r="D361" s="4" t="s">
        <v>23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>
        <v>18.0</v>
      </c>
      <c r="B362" s="4" t="s">
        <v>331</v>
      </c>
      <c r="C362" s="4">
        <v>8.29434052E9</v>
      </c>
      <c r="D362" s="4" t="s">
        <v>9</v>
      </c>
      <c r="E362" s="4" t="s">
        <v>4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>
        <v>19.0</v>
      </c>
      <c r="B363" s="4" t="s">
        <v>332</v>
      </c>
      <c r="C363" s="4">
        <v>9.576447134E9</v>
      </c>
      <c r="D363" s="4" t="s">
        <v>23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>
        <v>20.0</v>
      </c>
      <c r="B364" s="4" t="s">
        <v>333</v>
      </c>
      <c r="C364" s="4">
        <v>9.955509634E9</v>
      </c>
      <c r="D364" s="4" t="s">
        <v>30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>
        <v>21.0</v>
      </c>
      <c r="B365" s="4" t="s">
        <v>334</v>
      </c>
      <c r="C365" s="4">
        <v>8.96990898E9</v>
      </c>
      <c r="D365" s="4" t="s">
        <v>9</v>
      </c>
      <c r="E365" s="4" t="s">
        <v>4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>
        <v>22.0</v>
      </c>
      <c r="B366" s="4" t="s">
        <v>335</v>
      </c>
      <c r="C366" s="4">
        <v>8.084168934E9</v>
      </c>
      <c r="D366" s="4" t="s">
        <v>54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">
        <v>23.0</v>
      </c>
      <c r="B367" s="4" t="s">
        <v>336</v>
      </c>
      <c r="C367" s="4">
        <v>9.801730027E9</v>
      </c>
      <c r="D367" s="4" t="s">
        <v>9</v>
      </c>
      <c r="E367" s="4" t="s">
        <v>4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>
        <v>24.0</v>
      </c>
      <c r="B368" s="4" t="s">
        <v>337</v>
      </c>
      <c r="C368" s="4">
        <v>7.004916281E9</v>
      </c>
      <c r="D368" s="4" t="s">
        <v>9</v>
      </c>
      <c r="E368" s="4" t="s">
        <v>4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">
        <v>25.0</v>
      </c>
      <c r="B369" s="4" t="s">
        <v>338</v>
      </c>
      <c r="C369" s="4">
        <v>7.482089935E9</v>
      </c>
      <c r="D369" s="4" t="s">
        <v>27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mergeCells count="9">
    <mergeCell ref="A250:C254"/>
    <mergeCell ref="A343:C343"/>
    <mergeCell ref="A1:C5"/>
    <mergeCell ref="K7:L7"/>
    <mergeCell ref="A32:C36"/>
    <mergeCell ref="A68:C72"/>
    <mergeCell ref="A95:C99"/>
    <mergeCell ref="A176:C180"/>
    <mergeCell ref="A207:C211"/>
  </mergeCells>
  <dataValidations>
    <dataValidation type="list" allowBlank="1" showErrorMessage="1" sqref="E2:E370">
      <formula1>"Yes,No"</formula1>
    </dataValidation>
    <dataValidation type="list" allowBlank="1" showErrorMessage="1" sqref="D2:D370">
      <formula1>"Connected,Call Back Later,Busy,Switch off,Not Received,Wrong No."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9.0"/>
    <col customWidth="1" min="3" max="3" width="19.25"/>
    <col customWidth="1" min="13" max="13" width="13.38"/>
    <col customWidth="1" min="14" max="14" width="14.0"/>
    <col customWidth="1" min="18" max="18" width="18.5"/>
    <col customWidth="1" min="27" max="27" width="14.63"/>
    <col customWidth="1" min="28" max="28" width="24.5"/>
  </cols>
  <sheetData>
    <row r="1" ht="84.75" customHeight="1">
      <c r="A1" s="10" t="s">
        <v>339</v>
      </c>
      <c r="B1" s="11" t="s">
        <v>340</v>
      </c>
      <c r="C1" s="12" t="s">
        <v>341</v>
      </c>
      <c r="D1" s="11" t="s">
        <v>342</v>
      </c>
      <c r="E1" s="11" t="s">
        <v>343</v>
      </c>
      <c r="F1" s="11" t="s">
        <v>344</v>
      </c>
      <c r="G1" s="11" t="s">
        <v>345</v>
      </c>
      <c r="H1" s="11" t="s">
        <v>346</v>
      </c>
      <c r="I1" s="11" t="s">
        <v>347</v>
      </c>
      <c r="J1" s="12" t="s">
        <v>348</v>
      </c>
      <c r="K1" s="12" t="s">
        <v>349</v>
      </c>
      <c r="L1" s="11" t="s">
        <v>350</v>
      </c>
      <c r="M1" s="11" t="s">
        <v>351</v>
      </c>
      <c r="N1" s="11" t="s">
        <v>1</v>
      </c>
      <c r="O1" s="11" t="s">
        <v>352</v>
      </c>
      <c r="P1" s="11" t="s">
        <v>353</v>
      </c>
      <c r="Q1" s="11" t="s">
        <v>354</v>
      </c>
      <c r="R1" s="11" t="s">
        <v>355</v>
      </c>
      <c r="S1" s="11" t="s">
        <v>356</v>
      </c>
      <c r="T1" s="11" t="s">
        <v>357</v>
      </c>
      <c r="U1" s="11" t="s">
        <v>358</v>
      </c>
      <c r="V1" s="11" t="s">
        <v>359</v>
      </c>
      <c r="W1" s="11" t="s">
        <v>360</v>
      </c>
      <c r="X1" s="11" t="s">
        <v>361</v>
      </c>
      <c r="Y1" s="11" t="s">
        <v>362</v>
      </c>
      <c r="Z1" s="11" t="s">
        <v>363</v>
      </c>
      <c r="AA1" s="13" t="s">
        <v>364</v>
      </c>
      <c r="AB1" s="14" t="s">
        <v>3</v>
      </c>
      <c r="AC1" s="15"/>
      <c r="AD1" s="15"/>
    </row>
    <row r="2">
      <c r="A2" s="16" t="s">
        <v>365</v>
      </c>
      <c r="B2" s="17" t="s">
        <v>366</v>
      </c>
      <c r="C2" s="18">
        <v>9.507689463E9</v>
      </c>
      <c r="D2" s="19"/>
      <c r="E2" s="20" t="s">
        <v>367</v>
      </c>
      <c r="F2" s="19"/>
      <c r="G2" s="19"/>
      <c r="H2" s="19"/>
      <c r="I2" s="19"/>
      <c r="J2" s="19"/>
      <c r="K2" s="18" t="s">
        <v>368</v>
      </c>
      <c r="L2" s="19"/>
      <c r="M2" s="19"/>
      <c r="N2" s="21" t="s">
        <v>23</v>
      </c>
      <c r="O2" s="22"/>
      <c r="P2" s="22"/>
      <c r="Q2" s="19"/>
      <c r="R2" s="19"/>
      <c r="S2" s="22"/>
      <c r="T2" s="19"/>
      <c r="U2" s="22"/>
      <c r="V2" s="19"/>
      <c r="W2" s="22"/>
      <c r="X2" s="22"/>
      <c r="Y2" s="22"/>
      <c r="Z2" s="22"/>
      <c r="AA2" s="23"/>
      <c r="AB2" s="17" t="s">
        <v>369</v>
      </c>
      <c r="AC2" s="24"/>
      <c r="AD2" s="24"/>
    </row>
    <row r="3">
      <c r="A3" s="25"/>
      <c r="B3" s="17" t="s">
        <v>328</v>
      </c>
      <c r="C3" s="18">
        <v>8.434416844E9</v>
      </c>
      <c r="D3" s="26">
        <v>23.0</v>
      </c>
      <c r="E3" s="20" t="s">
        <v>367</v>
      </c>
      <c r="F3" s="26" t="s">
        <v>370</v>
      </c>
      <c r="G3" s="26" t="s">
        <v>371</v>
      </c>
      <c r="H3" s="19"/>
      <c r="I3" s="19"/>
      <c r="J3" s="19"/>
      <c r="K3" s="18" t="s">
        <v>368</v>
      </c>
      <c r="L3" s="19"/>
      <c r="M3" s="19"/>
      <c r="N3" s="21" t="s">
        <v>27</v>
      </c>
      <c r="O3" s="22"/>
      <c r="P3" s="22"/>
      <c r="Q3" s="19"/>
      <c r="R3" s="19"/>
      <c r="S3" s="22"/>
      <c r="T3" s="19"/>
      <c r="U3" s="22"/>
      <c r="V3" s="19"/>
      <c r="W3" s="22"/>
      <c r="X3" s="22"/>
      <c r="Y3" s="22"/>
      <c r="Z3" s="22"/>
      <c r="AA3" s="23"/>
      <c r="AB3" s="17" t="s">
        <v>372</v>
      </c>
      <c r="AC3" s="24"/>
      <c r="AD3" s="24"/>
    </row>
    <row r="4">
      <c r="A4" s="25"/>
      <c r="B4" s="17" t="s">
        <v>373</v>
      </c>
      <c r="C4" s="18">
        <v>9.525643915E9</v>
      </c>
      <c r="D4" s="26">
        <v>25.0</v>
      </c>
      <c r="E4" s="20" t="s">
        <v>367</v>
      </c>
      <c r="F4" s="26" t="s">
        <v>374</v>
      </c>
      <c r="G4" s="26" t="s">
        <v>375</v>
      </c>
      <c r="H4" s="26" t="s">
        <v>376</v>
      </c>
      <c r="I4" s="26" t="s">
        <v>377</v>
      </c>
      <c r="J4" s="26" t="s">
        <v>378</v>
      </c>
      <c r="K4" s="18" t="s">
        <v>368</v>
      </c>
      <c r="L4" s="26" t="s">
        <v>379</v>
      </c>
      <c r="M4" s="19"/>
      <c r="N4" s="21" t="s">
        <v>9</v>
      </c>
      <c r="O4" s="20" t="s">
        <v>4</v>
      </c>
      <c r="P4" s="20" t="s">
        <v>380</v>
      </c>
      <c r="Q4" s="19"/>
      <c r="R4" s="19"/>
      <c r="S4" s="20" t="s">
        <v>380</v>
      </c>
      <c r="T4" s="19"/>
      <c r="U4" s="20" t="s">
        <v>380</v>
      </c>
      <c r="V4" s="19"/>
      <c r="W4" s="20"/>
      <c r="X4" s="20"/>
      <c r="Y4" s="20"/>
      <c r="Z4" s="20"/>
      <c r="AA4" s="23"/>
      <c r="AB4" s="17" t="s">
        <v>381</v>
      </c>
      <c r="AC4" s="24"/>
      <c r="AD4" s="24"/>
    </row>
    <row r="5">
      <c r="A5" s="25"/>
      <c r="B5" s="17" t="s">
        <v>42</v>
      </c>
      <c r="C5" s="18">
        <v>8.051281222E9</v>
      </c>
      <c r="D5" s="26">
        <v>25.0</v>
      </c>
      <c r="E5" s="20" t="s">
        <v>367</v>
      </c>
      <c r="F5" s="26" t="s">
        <v>382</v>
      </c>
      <c r="G5" s="26" t="s">
        <v>371</v>
      </c>
      <c r="H5" s="26" t="s">
        <v>383</v>
      </c>
      <c r="I5" s="26" t="s">
        <v>384</v>
      </c>
      <c r="J5" s="26" t="s">
        <v>385</v>
      </c>
      <c r="K5" s="18" t="s">
        <v>368</v>
      </c>
      <c r="L5" s="26" t="s">
        <v>386</v>
      </c>
      <c r="M5" s="26" t="s">
        <v>387</v>
      </c>
      <c r="N5" s="21" t="s">
        <v>9</v>
      </c>
      <c r="O5" s="20" t="s">
        <v>4</v>
      </c>
      <c r="P5" s="20" t="s">
        <v>4</v>
      </c>
      <c r="Q5" s="26" t="s">
        <v>388</v>
      </c>
      <c r="R5" s="19"/>
      <c r="S5" s="20" t="s">
        <v>4</v>
      </c>
      <c r="T5" s="26" t="s">
        <v>389</v>
      </c>
      <c r="U5" s="20" t="s">
        <v>4</v>
      </c>
      <c r="V5" s="26" t="s">
        <v>390</v>
      </c>
      <c r="W5" s="20" t="s">
        <v>4</v>
      </c>
      <c r="X5" s="20" t="s">
        <v>4</v>
      </c>
      <c r="Y5" s="20" t="s">
        <v>4</v>
      </c>
      <c r="Z5" s="20" t="s">
        <v>4</v>
      </c>
      <c r="AA5" s="27" t="s">
        <v>391</v>
      </c>
      <c r="AB5" s="28"/>
      <c r="AC5" s="24"/>
      <c r="AD5" s="24"/>
    </row>
    <row r="6">
      <c r="A6" s="25"/>
      <c r="B6" s="17" t="s">
        <v>392</v>
      </c>
      <c r="C6" s="18">
        <v>7.37098171E9</v>
      </c>
      <c r="D6" s="19"/>
      <c r="E6" s="20"/>
      <c r="F6" s="19"/>
      <c r="G6" s="19"/>
      <c r="H6" s="19"/>
      <c r="I6" s="19"/>
      <c r="J6" s="19"/>
      <c r="K6" s="18" t="s">
        <v>368</v>
      </c>
      <c r="L6" s="19"/>
      <c r="M6" s="19"/>
      <c r="N6" s="21" t="s">
        <v>23</v>
      </c>
      <c r="O6" s="22"/>
      <c r="P6" s="22"/>
      <c r="Q6" s="19"/>
      <c r="R6" s="19"/>
      <c r="S6" s="22"/>
      <c r="T6" s="19"/>
      <c r="U6" s="22"/>
      <c r="V6" s="19"/>
      <c r="W6" s="22"/>
      <c r="X6" s="22"/>
      <c r="Y6" s="22"/>
      <c r="Z6" s="22"/>
      <c r="AA6" s="23"/>
      <c r="AB6" s="28"/>
      <c r="AC6" s="29"/>
      <c r="AD6" s="29" t="s">
        <v>393</v>
      </c>
    </row>
    <row r="7">
      <c r="A7" s="25"/>
      <c r="B7" s="17" t="s">
        <v>394</v>
      </c>
      <c r="C7" s="18">
        <v>8.298316114E9</v>
      </c>
      <c r="D7" s="26">
        <v>25.0</v>
      </c>
      <c r="E7" s="20" t="s">
        <v>367</v>
      </c>
      <c r="F7" s="26" t="s">
        <v>370</v>
      </c>
      <c r="G7" s="26" t="s">
        <v>371</v>
      </c>
      <c r="H7" s="26" t="s">
        <v>383</v>
      </c>
      <c r="I7" s="26" t="s">
        <v>384</v>
      </c>
      <c r="J7" s="26" t="s">
        <v>385</v>
      </c>
      <c r="K7" s="18" t="s">
        <v>368</v>
      </c>
      <c r="L7" s="26" t="s">
        <v>395</v>
      </c>
      <c r="M7" s="26" t="s">
        <v>396</v>
      </c>
      <c r="N7" s="21" t="s">
        <v>9</v>
      </c>
      <c r="O7" s="20" t="s">
        <v>4</v>
      </c>
      <c r="P7" s="20" t="s">
        <v>380</v>
      </c>
      <c r="Q7" s="19"/>
      <c r="R7" s="19"/>
      <c r="S7" s="20" t="s">
        <v>380</v>
      </c>
      <c r="T7" s="19"/>
      <c r="U7" s="20" t="s">
        <v>380</v>
      </c>
      <c r="V7" s="19"/>
      <c r="W7" s="20" t="s">
        <v>4</v>
      </c>
      <c r="X7" s="20" t="s">
        <v>4</v>
      </c>
      <c r="Y7" s="20" t="s">
        <v>4</v>
      </c>
      <c r="Z7" s="20" t="s">
        <v>4</v>
      </c>
      <c r="AA7" s="27" t="s">
        <v>391</v>
      </c>
      <c r="AB7" s="28"/>
      <c r="AC7" s="29"/>
      <c r="AD7" s="29" t="s">
        <v>397</v>
      </c>
    </row>
    <row r="8">
      <c r="A8" s="25"/>
      <c r="B8" s="17" t="s">
        <v>328</v>
      </c>
      <c r="C8" s="18">
        <v>9.525930962E9</v>
      </c>
      <c r="D8" s="19"/>
      <c r="E8" s="22"/>
      <c r="F8" s="19"/>
      <c r="G8" s="19"/>
      <c r="H8" s="19"/>
      <c r="I8" s="19"/>
      <c r="J8" s="19"/>
      <c r="K8" s="18" t="s">
        <v>368</v>
      </c>
      <c r="L8" s="19"/>
      <c r="M8" s="19"/>
      <c r="N8" s="21" t="s">
        <v>54</v>
      </c>
      <c r="O8" s="22"/>
      <c r="P8" s="22"/>
      <c r="Q8" s="19"/>
      <c r="R8" s="19"/>
      <c r="S8" s="22"/>
      <c r="T8" s="19"/>
      <c r="U8" s="22"/>
      <c r="V8" s="19"/>
      <c r="W8" s="22"/>
      <c r="X8" s="22"/>
      <c r="Y8" s="22"/>
      <c r="Z8" s="22"/>
      <c r="AA8" s="23"/>
      <c r="AB8" s="17"/>
      <c r="AC8" s="29" t="s">
        <v>398</v>
      </c>
      <c r="AD8" s="29" t="s">
        <v>399</v>
      </c>
    </row>
    <row r="9">
      <c r="A9" s="25"/>
      <c r="B9" s="17" t="s">
        <v>176</v>
      </c>
      <c r="C9" s="18">
        <v>8.877335426E9</v>
      </c>
      <c r="D9" s="26">
        <v>28.0</v>
      </c>
      <c r="E9" s="20" t="s">
        <v>367</v>
      </c>
      <c r="F9" s="26" t="s">
        <v>382</v>
      </c>
      <c r="G9" s="26" t="s">
        <v>371</v>
      </c>
      <c r="H9" s="26" t="s">
        <v>383</v>
      </c>
      <c r="I9" s="26" t="s">
        <v>377</v>
      </c>
      <c r="J9" s="26" t="s">
        <v>378</v>
      </c>
      <c r="K9" s="18" t="s">
        <v>368</v>
      </c>
      <c r="L9" s="26" t="s">
        <v>386</v>
      </c>
      <c r="M9" s="26" t="s">
        <v>400</v>
      </c>
      <c r="N9" s="21" t="s">
        <v>9</v>
      </c>
      <c r="O9" s="20" t="s">
        <v>4</v>
      </c>
      <c r="P9" s="20" t="s">
        <v>380</v>
      </c>
      <c r="Q9" s="19"/>
      <c r="R9" s="19"/>
      <c r="S9" s="20" t="s">
        <v>380</v>
      </c>
      <c r="T9" s="19"/>
      <c r="U9" s="20" t="s">
        <v>380</v>
      </c>
      <c r="V9" s="19"/>
      <c r="W9" s="20" t="s">
        <v>4</v>
      </c>
      <c r="X9" s="20" t="s">
        <v>4</v>
      </c>
      <c r="Y9" s="20" t="s">
        <v>4</v>
      </c>
      <c r="Z9" s="20" t="s">
        <v>4</v>
      </c>
      <c r="AA9" s="27" t="s">
        <v>391</v>
      </c>
      <c r="AB9" s="17" t="s">
        <v>401</v>
      </c>
      <c r="AC9" s="24"/>
      <c r="AD9" s="24"/>
    </row>
    <row r="10">
      <c r="A10" s="25"/>
      <c r="B10" s="17" t="s">
        <v>402</v>
      </c>
      <c r="C10" s="18">
        <v>9.931256983E9</v>
      </c>
      <c r="D10" s="19"/>
      <c r="E10" s="22"/>
      <c r="F10" s="19"/>
      <c r="G10" s="19"/>
      <c r="H10" s="19"/>
      <c r="I10" s="19"/>
      <c r="J10" s="19"/>
      <c r="K10" s="18" t="s">
        <v>368</v>
      </c>
      <c r="L10" s="19"/>
      <c r="M10" s="19"/>
      <c r="N10" s="21" t="s">
        <v>27</v>
      </c>
      <c r="O10" s="22"/>
      <c r="P10" s="22"/>
      <c r="Q10" s="19"/>
      <c r="R10" s="19"/>
      <c r="S10" s="22"/>
      <c r="T10" s="19"/>
      <c r="U10" s="22"/>
      <c r="V10" s="19"/>
      <c r="W10" s="22"/>
      <c r="X10" s="22"/>
      <c r="Y10" s="22"/>
      <c r="Z10" s="22"/>
      <c r="AA10" s="23"/>
      <c r="AB10" s="17" t="s">
        <v>403</v>
      </c>
      <c r="AC10" s="24"/>
      <c r="AD10" s="24"/>
    </row>
    <row r="11">
      <c r="A11" s="25"/>
      <c r="B11" s="17" t="s">
        <v>404</v>
      </c>
      <c r="C11" s="18">
        <v>7.367934354E9</v>
      </c>
      <c r="D11" s="26">
        <v>40.0</v>
      </c>
      <c r="E11" s="20" t="s">
        <v>405</v>
      </c>
      <c r="F11" s="26" t="s">
        <v>406</v>
      </c>
      <c r="G11" s="26" t="s">
        <v>371</v>
      </c>
      <c r="H11" s="26" t="s">
        <v>407</v>
      </c>
      <c r="I11" s="26" t="s">
        <v>408</v>
      </c>
      <c r="J11" s="26" t="s">
        <v>385</v>
      </c>
      <c r="K11" s="18" t="s">
        <v>368</v>
      </c>
      <c r="L11" s="26" t="s">
        <v>386</v>
      </c>
      <c r="M11" s="26" t="s">
        <v>409</v>
      </c>
      <c r="N11" s="21" t="s">
        <v>9</v>
      </c>
      <c r="O11" s="20" t="s">
        <v>380</v>
      </c>
      <c r="P11" s="20" t="s">
        <v>380</v>
      </c>
      <c r="Q11" s="19"/>
      <c r="R11" s="19"/>
      <c r="S11" s="20" t="s">
        <v>380</v>
      </c>
      <c r="T11" s="19"/>
      <c r="U11" s="20" t="s">
        <v>380</v>
      </c>
      <c r="V11" s="19"/>
      <c r="W11" s="20" t="s">
        <v>4</v>
      </c>
      <c r="X11" s="20" t="s">
        <v>4</v>
      </c>
      <c r="Y11" s="20" t="s">
        <v>380</v>
      </c>
      <c r="Z11" s="20" t="s">
        <v>380</v>
      </c>
      <c r="AA11" s="27" t="s">
        <v>410</v>
      </c>
      <c r="AB11" s="17" t="s">
        <v>411</v>
      </c>
      <c r="AC11" s="24"/>
      <c r="AD11" s="24"/>
    </row>
    <row r="12">
      <c r="A12" s="25"/>
      <c r="B12" s="17" t="s">
        <v>412</v>
      </c>
      <c r="C12" s="18">
        <v>9.006220735E9</v>
      </c>
      <c r="D12" s="26">
        <v>43.0</v>
      </c>
      <c r="E12" s="20" t="s">
        <v>367</v>
      </c>
      <c r="F12" s="19"/>
      <c r="G12" s="19"/>
      <c r="H12" s="19"/>
      <c r="I12" s="19"/>
      <c r="J12" s="19"/>
      <c r="K12" s="18" t="s">
        <v>368</v>
      </c>
      <c r="L12" s="19"/>
      <c r="M12" s="19"/>
      <c r="N12" s="21" t="s">
        <v>9</v>
      </c>
      <c r="O12" s="22"/>
      <c r="P12" s="22"/>
      <c r="Q12" s="19"/>
      <c r="R12" s="19"/>
      <c r="S12" s="22"/>
      <c r="T12" s="19"/>
      <c r="U12" s="22"/>
      <c r="V12" s="19"/>
      <c r="W12" s="22"/>
      <c r="X12" s="22"/>
      <c r="Y12" s="22"/>
      <c r="Z12" s="22"/>
      <c r="AA12" s="23"/>
      <c r="AB12" s="28"/>
      <c r="AC12" s="29" t="s">
        <v>413</v>
      </c>
      <c r="AD12" s="29" t="s">
        <v>414</v>
      </c>
    </row>
    <row r="13">
      <c r="A13" s="25"/>
      <c r="B13" s="17" t="s">
        <v>415</v>
      </c>
      <c r="C13" s="18">
        <v>9.741143274E9</v>
      </c>
      <c r="D13" s="19"/>
      <c r="E13" s="22"/>
      <c r="F13" s="19"/>
      <c r="G13" s="19"/>
      <c r="H13" s="19"/>
      <c r="I13" s="19"/>
      <c r="J13" s="19"/>
      <c r="K13" s="18" t="s">
        <v>368</v>
      </c>
      <c r="L13" s="19"/>
      <c r="M13" s="19"/>
      <c r="N13" s="21" t="s">
        <v>9</v>
      </c>
      <c r="O13" s="22"/>
      <c r="P13" s="22"/>
      <c r="Q13" s="19"/>
      <c r="R13" s="19"/>
      <c r="S13" s="22"/>
      <c r="T13" s="19"/>
      <c r="U13" s="22"/>
      <c r="V13" s="19"/>
      <c r="W13" s="22"/>
      <c r="X13" s="22"/>
      <c r="Y13" s="22"/>
      <c r="Z13" s="22"/>
      <c r="AA13" s="23"/>
      <c r="AB13" s="17" t="s">
        <v>416</v>
      </c>
      <c r="AC13" s="29"/>
      <c r="AD13" s="24"/>
    </row>
    <row r="14">
      <c r="A14" s="25"/>
      <c r="B14" s="17" t="s">
        <v>417</v>
      </c>
      <c r="C14" s="18">
        <v>7.011766399E9</v>
      </c>
      <c r="D14" s="26">
        <v>25.0</v>
      </c>
      <c r="E14" s="20" t="s">
        <v>367</v>
      </c>
      <c r="F14" s="26" t="s">
        <v>382</v>
      </c>
      <c r="G14" s="26" t="s">
        <v>371</v>
      </c>
      <c r="H14" s="26" t="s">
        <v>418</v>
      </c>
      <c r="I14" s="26" t="s">
        <v>419</v>
      </c>
      <c r="J14" s="26" t="s">
        <v>378</v>
      </c>
      <c r="K14" s="18" t="s">
        <v>368</v>
      </c>
      <c r="L14" s="26" t="s">
        <v>420</v>
      </c>
      <c r="M14" s="26" t="s">
        <v>400</v>
      </c>
      <c r="N14" s="21" t="s">
        <v>9</v>
      </c>
      <c r="O14" s="20" t="s">
        <v>380</v>
      </c>
      <c r="P14" s="20" t="s">
        <v>380</v>
      </c>
      <c r="Q14" s="19"/>
      <c r="R14" s="19"/>
      <c r="S14" s="20" t="s">
        <v>380</v>
      </c>
      <c r="T14" s="19"/>
      <c r="U14" s="20" t="s">
        <v>380</v>
      </c>
      <c r="V14" s="19"/>
      <c r="W14" s="20" t="s">
        <v>4</v>
      </c>
      <c r="X14" s="20" t="s">
        <v>4</v>
      </c>
      <c r="Y14" s="20" t="s">
        <v>380</v>
      </c>
      <c r="Z14" s="20" t="s">
        <v>4</v>
      </c>
      <c r="AA14" s="27" t="s">
        <v>391</v>
      </c>
      <c r="AB14" s="28"/>
      <c r="AC14" s="24"/>
      <c r="AD14" s="24"/>
    </row>
    <row r="15">
      <c r="A15" s="25"/>
      <c r="B15" s="30" t="s">
        <v>421</v>
      </c>
      <c r="C15" s="18" t="s">
        <v>422</v>
      </c>
      <c r="D15" s="19"/>
      <c r="E15" s="22"/>
      <c r="F15" s="19"/>
      <c r="G15" s="19"/>
      <c r="H15" s="26"/>
      <c r="I15" s="26"/>
      <c r="J15" s="26"/>
      <c r="K15" s="18" t="s">
        <v>368</v>
      </c>
      <c r="L15" s="26"/>
      <c r="M15" s="26"/>
      <c r="N15" s="21" t="s">
        <v>30</v>
      </c>
      <c r="O15" s="22"/>
      <c r="P15" s="22"/>
      <c r="Q15" s="19"/>
      <c r="R15" s="19"/>
      <c r="S15" s="22"/>
      <c r="T15" s="19"/>
      <c r="U15" s="22"/>
      <c r="V15" s="19"/>
      <c r="W15" s="22"/>
      <c r="X15" s="22"/>
      <c r="Y15" s="22"/>
      <c r="Z15" s="22"/>
      <c r="AA15" s="23"/>
      <c r="AB15" s="17" t="s">
        <v>423</v>
      </c>
      <c r="AC15" s="24"/>
      <c r="AD15" s="24"/>
    </row>
    <row r="16">
      <c r="A16" s="25"/>
      <c r="B16" s="17" t="s">
        <v>328</v>
      </c>
      <c r="C16" s="18">
        <v>7.988976975E9</v>
      </c>
      <c r="D16" s="19"/>
      <c r="E16" s="22"/>
      <c r="F16" s="19"/>
      <c r="G16" s="19"/>
      <c r="H16" s="19"/>
      <c r="I16" s="19"/>
      <c r="J16" s="19"/>
      <c r="K16" s="18" t="s">
        <v>368</v>
      </c>
      <c r="L16" s="19"/>
      <c r="M16" s="19"/>
      <c r="N16" s="21" t="s">
        <v>23</v>
      </c>
      <c r="O16" s="22"/>
      <c r="P16" s="22"/>
      <c r="Q16" s="19"/>
      <c r="R16" s="19"/>
      <c r="S16" s="22"/>
      <c r="T16" s="19"/>
      <c r="U16" s="22"/>
      <c r="V16" s="19"/>
      <c r="W16" s="22"/>
      <c r="X16" s="22"/>
      <c r="Y16" s="22"/>
      <c r="Z16" s="22"/>
      <c r="AA16" s="23"/>
      <c r="AB16" s="17" t="s">
        <v>424</v>
      </c>
      <c r="AC16" s="29" t="s">
        <v>425</v>
      </c>
      <c r="AD16" s="24"/>
    </row>
    <row r="17">
      <c r="A17" s="25"/>
      <c r="B17" s="17" t="s">
        <v>276</v>
      </c>
      <c r="C17" s="18">
        <v>9.525642852E9</v>
      </c>
      <c r="D17" s="19"/>
      <c r="E17" s="22"/>
      <c r="F17" s="19"/>
      <c r="G17" s="19"/>
      <c r="H17" s="19"/>
      <c r="I17" s="19"/>
      <c r="J17" s="19"/>
      <c r="K17" s="18" t="s">
        <v>368</v>
      </c>
      <c r="L17" s="19"/>
      <c r="M17" s="19"/>
      <c r="N17" s="21" t="s">
        <v>9</v>
      </c>
      <c r="O17" s="22"/>
      <c r="P17" s="22"/>
      <c r="Q17" s="19"/>
      <c r="R17" s="19"/>
      <c r="S17" s="22"/>
      <c r="T17" s="19"/>
      <c r="U17" s="22"/>
      <c r="V17" s="19"/>
      <c r="W17" s="22"/>
      <c r="X17" s="22"/>
      <c r="Y17" s="22"/>
      <c r="Z17" s="22"/>
      <c r="AA17" s="23"/>
      <c r="AB17" s="17" t="s">
        <v>424</v>
      </c>
      <c r="AC17" s="29"/>
      <c r="AD17" s="29"/>
    </row>
    <row r="18">
      <c r="A18" s="25"/>
      <c r="B18" s="17" t="s">
        <v>426</v>
      </c>
      <c r="C18" s="18">
        <v>7.431922495E9</v>
      </c>
      <c r="D18" s="19"/>
      <c r="E18" s="22"/>
      <c r="F18" s="19"/>
      <c r="G18" s="19"/>
      <c r="H18" s="19"/>
      <c r="I18" s="19"/>
      <c r="J18" s="19"/>
      <c r="K18" s="18" t="s">
        <v>368</v>
      </c>
      <c r="L18" s="19"/>
      <c r="M18" s="19"/>
      <c r="N18" s="21" t="s">
        <v>30</v>
      </c>
      <c r="O18" s="22"/>
      <c r="P18" s="22"/>
      <c r="Q18" s="19"/>
      <c r="R18" s="19"/>
      <c r="S18" s="22"/>
      <c r="T18" s="19"/>
      <c r="U18" s="22"/>
      <c r="V18" s="19"/>
      <c r="W18" s="22"/>
      <c r="X18" s="22"/>
      <c r="Y18" s="22"/>
      <c r="Z18" s="22"/>
      <c r="AA18" s="23"/>
      <c r="AB18" s="17" t="s">
        <v>427</v>
      </c>
      <c r="AC18" s="24"/>
      <c r="AD18" s="24"/>
    </row>
    <row r="19">
      <c r="A19" s="25"/>
      <c r="B19" s="17" t="s">
        <v>428</v>
      </c>
      <c r="C19" s="18">
        <v>6.287334301E9</v>
      </c>
      <c r="D19" s="26">
        <v>27.0</v>
      </c>
      <c r="E19" s="20" t="s">
        <v>367</v>
      </c>
      <c r="F19" s="26" t="s">
        <v>429</v>
      </c>
      <c r="G19" s="26" t="s">
        <v>371</v>
      </c>
      <c r="H19" s="26" t="s">
        <v>430</v>
      </c>
      <c r="I19" s="26" t="s">
        <v>419</v>
      </c>
      <c r="J19" s="26" t="s">
        <v>378</v>
      </c>
      <c r="K19" s="18" t="s">
        <v>368</v>
      </c>
      <c r="L19" s="26" t="s">
        <v>431</v>
      </c>
      <c r="M19" s="26" t="s">
        <v>400</v>
      </c>
      <c r="N19" s="21" t="s">
        <v>9</v>
      </c>
      <c r="O19" s="20" t="s">
        <v>4</v>
      </c>
      <c r="P19" s="20" t="s">
        <v>4</v>
      </c>
      <c r="Q19" s="26" t="s">
        <v>432</v>
      </c>
      <c r="R19" s="19"/>
      <c r="S19" s="20" t="s">
        <v>380</v>
      </c>
      <c r="T19" s="19"/>
      <c r="U19" s="20" t="s">
        <v>380</v>
      </c>
      <c r="V19" s="19"/>
      <c r="W19" s="20" t="s">
        <v>380</v>
      </c>
      <c r="X19" s="20" t="s">
        <v>4</v>
      </c>
      <c r="Y19" s="20" t="s">
        <v>380</v>
      </c>
      <c r="Z19" s="20" t="s">
        <v>380</v>
      </c>
      <c r="AA19" s="27" t="s">
        <v>410</v>
      </c>
      <c r="AB19" s="17" t="s">
        <v>433</v>
      </c>
      <c r="AC19" s="24"/>
      <c r="AD19" s="24"/>
    </row>
    <row r="20">
      <c r="A20" s="25"/>
      <c r="B20" s="17" t="s">
        <v>434</v>
      </c>
      <c r="C20" s="18">
        <v>9.113570636E9</v>
      </c>
      <c r="D20" s="19"/>
      <c r="E20" s="20" t="s">
        <v>367</v>
      </c>
      <c r="F20" s="19"/>
      <c r="G20" s="19"/>
      <c r="H20" s="19"/>
      <c r="I20" s="19"/>
      <c r="J20" s="19"/>
      <c r="K20" s="18" t="s">
        <v>368</v>
      </c>
      <c r="L20" s="19"/>
      <c r="M20" s="19"/>
      <c r="N20" s="21" t="s">
        <v>27</v>
      </c>
      <c r="O20" s="22"/>
      <c r="P20" s="22"/>
      <c r="Q20" s="19"/>
      <c r="R20" s="19"/>
      <c r="S20" s="22"/>
      <c r="T20" s="19"/>
      <c r="U20" s="22"/>
      <c r="V20" s="19"/>
      <c r="W20" s="22"/>
      <c r="X20" s="22"/>
      <c r="Y20" s="22"/>
      <c r="Z20" s="22"/>
      <c r="AA20" s="23"/>
      <c r="AB20" s="17" t="s">
        <v>435</v>
      </c>
      <c r="AC20" s="24"/>
      <c r="AD20" s="24"/>
    </row>
    <row r="21">
      <c r="A21" s="25"/>
      <c r="B21" s="17" t="s">
        <v>436</v>
      </c>
      <c r="C21" s="18">
        <v>8.217360257E9</v>
      </c>
      <c r="D21" s="26">
        <v>22.0</v>
      </c>
      <c r="E21" s="20" t="s">
        <v>367</v>
      </c>
      <c r="F21" s="26" t="s">
        <v>437</v>
      </c>
      <c r="G21" s="26" t="s">
        <v>375</v>
      </c>
      <c r="H21" s="26" t="s">
        <v>376</v>
      </c>
      <c r="I21" s="26" t="s">
        <v>377</v>
      </c>
      <c r="J21" s="26" t="s">
        <v>378</v>
      </c>
      <c r="K21" s="18" t="s">
        <v>368</v>
      </c>
      <c r="L21" s="26" t="s">
        <v>379</v>
      </c>
      <c r="M21" s="19"/>
      <c r="N21" s="21" t="s">
        <v>9</v>
      </c>
      <c r="O21" s="20" t="s">
        <v>4</v>
      </c>
      <c r="P21" s="20" t="s">
        <v>380</v>
      </c>
      <c r="Q21" s="19"/>
      <c r="R21" s="19"/>
      <c r="S21" s="20" t="s">
        <v>380</v>
      </c>
      <c r="T21" s="19"/>
      <c r="U21" s="20" t="s">
        <v>380</v>
      </c>
      <c r="V21" s="19"/>
      <c r="W21" s="20" t="s">
        <v>4</v>
      </c>
      <c r="X21" s="20" t="s">
        <v>4</v>
      </c>
      <c r="Y21" s="20" t="s">
        <v>4</v>
      </c>
      <c r="Z21" s="20" t="s">
        <v>4</v>
      </c>
      <c r="AA21" s="27" t="s">
        <v>391</v>
      </c>
      <c r="AB21" s="17" t="s">
        <v>438</v>
      </c>
      <c r="AC21" s="29" t="s">
        <v>439</v>
      </c>
      <c r="AD21" s="24"/>
    </row>
    <row r="22">
      <c r="A22" s="25"/>
      <c r="B22" s="17" t="s">
        <v>440</v>
      </c>
      <c r="C22" s="18">
        <v>9.328409612E9</v>
      </c>
      <c r="D22" s="26">
        <v>25.0</v>
      </c>
      <c r="E22" s="20" t="s">
        <v>367</v>
      </c>
      <c r="F22" s="26" t="s">
        <v>441</v>
      </c>
      <c r="G22" s="26" t="s">
        <v>375</v>
      </c>
      <c r="H22" s="26" t="s">
        <v>376</v>
      </c>
      <c r="I22" s="26" t="s">
        <v>377</v>
      </c>
      <c r="J22" s="26" t="s">
        <v>378</v>
      </c>
      <c r="K22" s="18" t="s">
        <v>368</v>
      </c>
      <c r="L22" s="26" t="s">
        <v>442</v>
      </c>
      <c r="M22" s="26" t="s">
        <v>443</v>
      </c>
      <c r="N22" s="21" t="s">
        <v>9</v>
      </c>
      <c r="O22" s="20" t="s">
        <v>4</v>
      </c>
      <c r="P22" s="20" t="s">
        <v>4</v>
      </c>
      <c r="Q22" s="26" t="s">
        <v>444</v>
      </c>
      <c r="R22" s="19"/>
      <c r="S22" s="20" t="s">
        <v>380</v>
      </c>
      <c r="T22" s="19"/>
      <c r="U22" s="20" t="s">
        <v>380</v>
      </c>
      <c r="V22" s="19"/>
      <c r="W22" s="20" t="s">
        <v>4</v>
      </c>
      <c r="X22" s="20" t="s">
        <v>4</v>
      </c>
      <c r="Y22" s="20" t="s">
        <v>4</v>
      </c>
      <c r="Z22" s="20" t="s">
        <v>4</v>
      </c>
      <c r="AA22" s="27" t="s">
        <v>391</v>
      </c>
      <c r="AB22" s="17" t="s">
        <v>445</v>
      </c>
      <c r="AC22" s="29" t="s">
        <v>446</v>
      </c>
      <c r="AD22" s="24"/>
    </row>
    <row r="23">
      <c r="A23" s="25"/>
      <c r="B23" s="17" t="s">
        <v>447</v>
      </c>
      <c r="C23" s="18">
        <v>8.809723577E9</v>
      </c>
      <c r="D23" s="19"/>
      <c r="E23" s="22"/>
      <c r="F23" s="19"/>
      <c r="G23" s="19"/>
      <c r="H23" s="19"/>
      <c r="I23" s="19"/>
      <c r="J23" s="19"/>
      <c r="K23" s="18" t="s">
        <v>368</v>
      </c>
      <c r="L23" s="19"/>
      <c r="M23" s="19"/>
      <c r="N23" s="21" t="s">
        <v>54</v>
      </c>
      <c r="O23" s="22"/>
      <c r="P23" s="22"/>
      <c r="Q23" s="19"/>
      <c r="R23" s="19"/>
      <c r="S23" s="22"/>
      <c r="T23" s="19"/>
      <c r="U23" s="22"/>
      <c r="V23" s="19"/>
      <c r="W23" s="22"/>
      <c r="X23" s="22"/>
      <c r="Y23" s="22"/>
      <c r="Z23" s="22"/>
      <c r="AA23" s="23"/>
      <c r="AB23" s="17" t="s">
        <v>448</v>
      </c>
      <c r="AC23" s="29" t="s">
        <v>449</v>
      </c>
      <c r="AD23" s="24"/>
    </row>
    <row r="24">
      <c r="A24" s="25"/>
      <c r="B24" s="17" t="s">
        <v>450</v>
      </c>
      <c r="C24" s="18">
        <v>9.931688723E9</v>
      </c>
      <c r="D24" s="26">
        <v>21.0</v>
      </c>
      <c r="E24" s="20" t="s">
        <v>367</v>
      </c>
      <c r="F24" s="26" t="s">
        <v>382</v>
      </c>
      <c r="G24" s="26" t="s">
        <v>371</v>
      </c>
      <c r="H24" s="26" t="s">
        <v>383</v>
      </c>
      <c r="I24" s="26" t="s">
        <v>451</v>
      </c>
      <c r="J24" s="26" t="s">
        <v>378</v>
      </c>
      <c r="K24" s="18" t="s">
        <v>368</v>
      </c>
      <c r="L24" s="26" t="s">
        <v>420</v>
      </c>
      <c r="M24" s="26" t="s">
        <v>400</v>
      </c>
      <c r="N24" s="21" t="s">
        <v>9</v>
      </c>
      <c r="O24" s="20" t="s">
        <v>380</v>
      </c>
      <c r="P24" s="20" t="s">
        <v>380</v>
      </c>
      <c r="Q24" s="19"/>
      <c r="R24" s="19"/>
      <c r="S24" s="20" t="s">
        <v>380</v>
      </c>
      <c r="T24" s="19"/>
      <c r="U24" s="20" t="s">
        <v>380</v>
      </c>
      <c r="V24" s="19"/>
      <c r="W24" s="20" t="s">
        <v>4</v>
      </c>
      <c r="X24" s="20" t="s">
        <v>4</v>
      </c>
      <c r="Y24" s="20" t="s">
        <v>380</v>
      </c>
      <c r="Z24" s="20" t="s">
        <v>380</v>
      </c>
      <c r="AA24" s="27" t="s">
        <v>410</v>
      </c>
      <c r="AB24" s="17" t="s">
        <v>452</v>
      </c>
      <c r="AC24" s="24"/>
      <c r="AD24" s="24"/>
    </row>
    <row r="25">
      <c r="A25" s="25"/>
      <c r="B25" s="17" t="s">
        <v>453</v>
      </c>
      <c r="C25" s="18">
        <v>7.549354468E9</v>
      </c>
      <c r="D25" s="26">
        <v>27.0</v>
      </c>
      <c r="E25" s="20" t="s">
        <v>367</v>
      </c>
      <c r="F25" s="26" t="s">
        <v>454</v>
      </c>
      <c r="G25" s="26" t="s">
        <v>371</v>
      </c>
      <c r="H25" s="26" t="s">
        <v>430</v>
      </c>
      <c r="I25" s="26" t="s">
        <v>384</v>
      </c>
      <c r="J25" s="26" t="s">
        <v>378</v>
      </c>
      <c r="K25" s="18" t="s">
        <v>368</v>
      </c>
      <c r="L25" s="26" t="s">
        <v>386</v>
      </c>
      <c r="M25" s="26" t="s">
        <v>409</v>
      </c>
      <c r="N25" s="21" t="s">
        <v>9</v>
      </c>
      <c r="O25" s="20" t="s">
        <v>4</v>
      </c>
      <c r="P25" s="20" t="s">
        <v>380</v>
      </c>
      <c r="Q25" s="19"/>
      <c r="R25" s="19"/>
      <c r="S25" s="20" t="s">
        <v>380</v>
      </c>
      <c r="T25" s="19"/>
      <c r="U25" s="20" t="s">
        <v>380</v>
      </c>
      <c r="V25" s="19"/>
      <c r="W25" s="20" t="s">
        <v>4</v>
      </c>
      <c r="X25" s="20" t="s">
        <v>4</v>
      </c>
      <c r="Y25" s="20" t="s">
        <v>380</v>
      </c>
      <c r="Z25" s="20" t="s">
        <v>4</v>
      </c>
      <c r="AA25" s="27" t="s">
        <v>391</v>
      </c>
      <c r="AB25" s="17" t="s">
        <v>455</v>
      </c>
      <c r="AC25" s="24"/>
      <c r="AD25" s="24"/>
    </row>
    <row r="26">
      <c r="A26" s="25"/>
      <c r="B26" s="17" t="s">
        <v>456</v>
      </c>
      <c r="C26" s="18">
        <v>9.279115161E9</v>
      </c>
      <c r="D26" s="26">
        <v>35.0</v>
      </c>
      <c r="E26" s="20" t="s">
        <v>405</v>
      </c>
      <c r="F26" s="26" t="s">
        <v>457</v>
      </c>
      <c r="G26" s="26" t="s">
        <v>458</v>
      </c>
      <c r="H26" s="19"/>
      <c r="I26" s="19"/>
      <c r="J26" s="26" t="s">
        <v>378</v>
      </c>
      <c r="K26" s="18" t="s">
        <v>368</v>
      </c>
      <c r="L26" s="26" t="s">
        <v>386</v>
      </c>
      <c r="M26" s="26" t="s">
        <v>409</v>
      </c>
      <c r="N26" s="21" t="s">
        <v>9</v>
      </c>
      <c r="O26" s="20" t="s">
        <v>380</v>
      </c>
      <c r="P26" s="20" t="s">
        <v>380</v>
      </c>
      <c r="Q26" s="19"/>
      <c r="R26" s="19"/>
      <c r="S26" s="20" t="s">
        <v>380</v>
      </c>
      <c r="T26" s="19"/>
      <c r="U26" s="20" t="s">
        <v>380</v>
      </c>
      <c r="V26" s="19"/>
      <c r="W26" s="20" t="s">
        <v>4</v>
      </c>
      <c r="X26" s="20" t="s">
        <v>4</v>
      </c>
      <c r="Y26" s="20" t="s">
        <v>380</v>
      </c>
      <c r="Z26" s="20" t="s">
        <v>4</v>
      </c>
      <c r="AA26" s="27" t="s">
        <v>410</v>
      </c>
      <c r="AB26" s="17" t="s">
        <v>459</v>
      </c>
      <c r="AC26" s="24"/>
      <c r="AD26" s="24"/>
    </row>
    <row r="27">
      <c r="A27" s="25"/>
      <c r="B27" s="17" t="s">
        <v>460</v>
      </c>
      <c r="C27" s="18">
        <v>8.58192155E9</v>
      </c>
      <c r="D27" s="26">
        <v>24.0</v>
      </c>
      <c r="E27" s="20" t="s">
        <v>367</v>
      </c>
      <c r="F27" s="26" t="s">
        <v>382</v>
      </c>
      <c r="G27" s="26" t="s">
        <v>375</v>
      </c>
      <c r="H27" s="26" t="s">
        <v>376</v>
      </c>
      <c r="I27" s="26" t="s">
        <v>377</v>
      </c>
      <c r="J27" s="26" t="s">
        <v>378</v>
      </c>
      <c r="K27" s="18" t="s">
        <v>368</v>
      </c>
      <c r="L27" s="26" t="s">
        <v>420</v>
      </c>
      <c r="M27" s="26" t="s">
        <v>461</v>
      </c>
      <c r="N27" s="21" t="s">
        <v>54</v>
      </c>
      <c r="O27" s="20" t="s">
        <v>4</v>
      </c>
      <c r="P27" s="20" t="s">
        <v>4</v>
      </c>
      <c r="Q27" s="26" t="s">
        <v>444</v>
      </c>
      <c r="R27" s="19"/>
      <c r="S27" s="20" t="s">
        <v>4</v>
      </c>
      <c r="T27" s="19"/>
      <c r="U27" s="20" t="s">
        <v>4</v>
      </c>
      <c r="V27" s="26" t="s">
        <v>462</v>
      </c>
      <c r="W27" s="20" t="s">
        <v>4</v>
      </c>
      <c r="X27" s="20" t="s">
        <v>4</v>
      </c>
      <c r="Y27" s="20" t="s">
        <v>4</v>
      </c>
      <c r="Z27" s="20" t="s">
        <v>4</v>
      </c>
      <c r="AA27" s="27" t="s">
        <v>391</v>
      </c>
      <c r="AB27" s="17" t="s">
        <v>463</v>
      </c>
      <c r="AC27" s="29" t="s">
        <v>464</v>
      </c>
      <c r="AD27" s="24"/>
    </row>
    <row r="28">
      <c r="A28" s="25"/>
      <c r="B28" s="17" t="s">
        <v>465</v>
      </c>
      <c r="C28" s="18">
        <v>9.2949985E9</v>
      </c>
      <c r="D28" s="19"/>
      <c r="E28" s="22"/>
      <c r="F28" s="19"/>
      <c r="G28" s="19"/>
      <c r="H28" s="19"/>
      <c r="I28" s="19"/>
      <c r="J28" s="19"/>
      <c r="K28" s="18" t="s">
        <v>368</v>
      </c>
      <c r="L28" s="19"/>
      <c r="M28" s="19"/>
      <c r="N28" s="21" t="s">
        <v>23</v>
      </c>
      <c r="O28" s="22"/>
      <c r="P28" s="22"/>
      <c r="Q28" s="19"/>
      <c r="R28" s="19"/>
      <c r="S28" s="22"/>
      <c r="T28" s="19"/>
      <c r="U28" s="22"/>
      <c r="V28" s="19"/>
      <c r="W28" s="22"/>
      <c r="X28" s="22"/>
      <c r="Y28" s="22"/>
      <c r="Z28" s="22"/>
      <c r="AA28" s="23"/>
      <c r="AB28" s="17" t="s">
        <v>466</v>
      </c>
      <c r="AC28" s="29" t="s">
        <v>467</v>
      </c>
      <c r="AD28" s="24"/>
    </row>
    <row r="29">
      <c r="A29" s="25"/>
      <c r="B29" s="17" t="s">
        <v>53</v>
      </c>
      <c r="C29" s="18">
        <v>9.135100301E9</v>
      </c>
      <c r="D29" s="19"/>
      <c r="E29" s="22"/>
      <c r="F29" s="19"/>
      <c r="G29" s="19"/>
      <c r="H29" s="19"/>
      <c r="I29" s="19"/>
      <c r="J29" s="19"/>
      <c r="K29" s="18" t="s">
        <v>368</v>
      </c>
      <c r="L29" s="19"/>
      <c r="M29" s="19"/>
      <c r="N29" s="21" t="s">
        <v>27</v>
      </c>
      <c r="O29" s="22"/>
      <c r="P29" s="22"/>
      <c r="Q29" s="19"/>
      <c r="R29" s="19"/>
      <c r="S29" s="22"/>
      <c r="T29" s="19"/>
      <c r="U29" s="22"/>
      <c r="V29" s="19"/>
      <c r="W29" s="22"/>
      <c r="X29" s="22"/>
      <c r="Y29" s="22"/>
      <c r="Z29" s="22"/>
      <c r="AA29" s="23"/>
      <c r="AB29" s="17" t="s">
        <v>468</v>
      </c>
      <c r="AC29" s="24"/>
      <c r="AD29" s="24"/>
    </row>
    <row r="30">
      <c r="A30" s="25"/>
      <c r="B30" s="17" t="s">
        <v>469</v>
      </c>
      <c r="C30" s="18">
        <v>9.570553836E9</v>
      </c>
      <c r="D30" s="26">
        <v>19.0</v>
      </c>
      <c r="E30" s="20" t="s">
        <v>367</v>
      </c>
      <c r="F30" s="26" t="s">
        <v>382</v>
      </c>
      <c r="G30" s="26" t="s">
        <v>371</v>
      </c>
      <c r="H30" s="26" t="s">
        <v>383</v>
      </c>
      <c r="I30" s="26" t="s">
        <v>384</v>
      </c>
      <c r="J30" s="26" t="s">
        <v>378</v>
      </c>
      <c r="K30" s="18" t="s">
        <v>368</v>
      </c>
      <c r="L30" s="26" t="s">
        <v>470</v>
      </c>
      <c r="M30" s="26" t="s">
        <v>396</v>
      </c>
      <c r="N30" s="21" t="s">
        <v>9</v>
      </c>
      <c r="O30" s="20" t="s">
        <v>380</v>
      </c>
      <c r="P30" s="20" t="s">
        <v>380</v>
      </c>
      <c r="Q30" s="19"/>
      <c r="R30" s="19"/>
      <c r="S30" s="20" t="s">
        <v>380</v>
      </c>
      <c r="T30" s="19"/>
      <c r="U30" s="20" t="s">
        <v>380</v>
      </c>
      <c r="V30" s="19"/>
      <c r="W30" s="20" t="s">
        <v>380</v>
      </c>
      <c r="X30" s="20" t="s">
        <v>4</v>
      </c>
      <c r="Y30" s="20" t="s">
        <v>380</v>
      </c>
      <c r="Z30" s="20" t="s">
        <v>380</v>
      </c>
      <c r="AA30" s="27" t="s">
        <v>410</v>
      </c>
      <c r="AB30" s="28"/>
      <c r="AC30" s="24"/>
      <c r="AD30" s="24"/>
    </row>
    <row r="31">
      <c r="A31" s="25"/>
      <c r="B31" s="17" t="s">
        <v>471</v>
      </c>
      <c r="C31" s="18">
        <v>7.654176258E9</v>
      </c>
      <c r="D31" s="26">
        <v>32.0</v>
      </c>
      <c r="E31" s="22"/>
      <c r="F31" s="26" t="s">
        <v>472</v>
      </c>
      <c r="G31" s="26" t="s">
        <v>371</v>
      </c>
      <c r="H31" s="26" t="s">
        <v>383</v>
      </c>
      <c r="I31" s="26" t="s">
        <v>384</v>
      </c>
      <c r="J31" s="26" t="s">
        <v>378</v>
      </c>
      <c r="K31" s="18" t="s">
        <v>368</v>
      </c>
      <c r="L31" s="26" t="s">
        <v>470</v>
      </c>
      <c r="M31" s="26" t="s">
        <v>396</v>
      </c>
      <c r="N31" s="21" t="s">
        <v>9</v>
      </c>
      <c r="O31" s="20" t="s">
        <v>4</v>
      </c>
      <c r="P31" s="20" t="s">
        <v>380</v>
      </c>
      <c r="Q31" s="19"/>
      <c r="R31" s="19"/>
      <c r="S31" s="20" t="s">
        <v>380</v>
      </c>
      <c r="T31" s="19"/>
      <c r="U31" s="20" t="s">
        <v>380</v>
      </c>
      <c r="V31" s="19"/>
      <c r="W31" s="20" t="s">
        <v>4</v>
      </c>
      <c r="X31" s="20" t="s">
        <v>4</v>
      </c>
      <c r="Y31" s="20" t="s">
        <v>380</v>
      </c>
      <c r="Z31" s="20" t="s">
        <v>380</v>
      </c>
      <c r="AA31" s="27" t="s">
        <v>391</v>
      </c>
      <c r="AB31" s="17" t="s">
        <v>473</v>
      </c>
      <c r="AC31" s="24"/>
      <c r="AD31" s="24"/>
    </row>
    <row r="32">
      <c r="A32" s="25"/>
      <c r="B32" s="17" t="s">
        <v>474</v>
      </c>
      <c r="C32" s="18">
        <v>9.576419133E9</v>
      </c>
      <c r="D32" s="26">
        <v>21.0</v>
      </c>
      <c r="E32" s="22"/>
      <c r="F32" s="19"/>
      <c r="G32" s="19"/>
      <c r="H32" s="19"/>
      <c r="I32" s="19"/>
      <c r="J32" s="19"/>
      <c r="K32" s="18" t="s">
        <v>368</v>
      </c>
      <c r="L32" s="19"/>
      <c r="M32" s="19"/>
      <c r="N32" s="21" t="s">
        <v>9</v>
      </c>
      <c r="O32" s="22"/>
      <c r="P32" s="22"/>
      <c r="Q32" s="19"/>
      <c r="R32" s="19"/>
      <c r="S32" s="22"/>
      <c r="T32" s="19"/>
      <c r="U32" s="22"/>
      <c r="V32" s="19"/>
      <c r="W32" s="22"/>
      <c r="X32" s="22"/>
      <c r="Y32" s="22"/>
      <c r="Z32" s="22"/>
      <c r="AA32" s="27" t="s">
        <v>410</v>
      </c>
      <c r="AB32" s="17" t="s">
        <v>475</v>
      </c>
      <c r="AC32" s="24"/>
      <c r="AD32" s="24"/>
    </row>
    <row r="33">
      <c r="A33" s="25"/>
      <c r="B33" s="17" t="s">
        <v>476</v>
      </c>
      <c r="C33" s="18">
        <v>8.91924466E9</v>
      </c>
      <c r="D33" s="19"/>
      <c r="E33" s="22"/>
      <c r="F33" s="19"/>
      <c r="G33" s="19"/>
      <c r="H33" s="19"/>
      <c r="I33" s="19"/>
      <c r="J33" s="19"/>
      <c r="K33" s="18" t="s">
        <v>368</v>
      </c>
      <c r="L33" s="19"/>
      <c r="M33" s="19"/>
      <c r="N33" s="21" t="s">
        <v>30</v>
      </c>
      <c r="O33" s="22"/>
      <c r="P33" s="22"/>
      <c r="Q33" s="19"/>
      <c r="R33" s="19"/>
      <c r="S33" s="22"/>
      <c r="T33" s="19"/>
      <c r="U33" s="22"/>
      <c r="V33" s="19"/>
      <c r="W33" s="22"/>
      <c r="X33" s="22"/>
      <c r="Y33" s="22"/>
      <c r="Z33" s="22"/>
      <c r="AA33" s="23"/>
      <c r="AB33" s="28"/>
      <c r="AC33" s="24"/>
      <c r="AD33" s="24"/>
    </row>
    <row r="34">
      <c r="A34" s="25"/>
      <c r="B34" s="17" t="s">
        <v>477</v>
      </c>
      <c r="C34" s="18">
        <v>7.808552461E9</v>
      </c>
      <c r="D34" s="19"/>
      <c r="E34" s="22"/>
      <c r="F34" s="19"/>
      <c r="G34" s="19"/>
      <c r="H34" s="19"/>
      <c r="I34" s="19"/>
      <c r="J34" s="19"/>
      <c r="K34" s="18" t="s">
        <v>368</v>
      </c>
      <c r="L34" s="19"/>
      <c r="M34" s="19"/>
      <c r="N34" s="21" t="s">
        <v>30</v>
      </c>
      <c r="O34" s="22"/>
      <c r="P34" s="22"/>
      <c r="Q34" s="19"/>
      <c r="R34" s="19"/>
      <c r="S34" s="22"/>
      <c r="T34" s="19"/>
      <c r="U34" s="22"/>
      <c r="V34" s="19"/>
      <c r="W34" s="22"/>
      <c r="X34" s="22"/>
      <c r="Y34" s="22"/>
      <c r="Z34" s="22"/>
      <c r="AA34" s="23"/>
      <c r="AB34" s="28"/>
      <c r="AC34" s="24"/>
      <c r="AD34" s="24"/>
    </row>
    <row r="35">
      <c r="A35" s="25"/>
      <c r="B35" s="17" t="s">
        <v>50</v>
      </c>
      <c r="C35" s="18">
        <v>7.491049631E9</v>
      </c>
      <c r="D35" s="19"/>
      <c r="E35" s="22"/>
      <c r="F35" s="19"/>
      <c r="G35" s="19"/>
      <c r="H35" s="19"/>
      <c r="I35" s="19"/>
      <c r="J35" s="19"/>
      <c r="K35" s="18" t="s">
        <v>368</v>
      </c>
      <c r="L35" s="19"/>
      <c r="M35" s="19"/>
      <c r="N35" s="21" t="s">
        <v>27</v>
      </c>
      <c r="O35" s="22"/>
      <c r="P35" s="22"/>
      <c r="Q35" s="19"/>
      <c r="R35" s="19"/>
      <c r="S35" s="22"/>
      <c r="T35" s="19"/>
      <c r="U35" s="22"/>
      <c r="V35" s="19"/>
      <c r="W35" s="22"/>
      <c r="X35" s="22"/>
      <c r="Y35" s="22"/>
      <c r="Z35" s="22"/>
      <c r="AA35" s="23"/>
      <c r="AB35" s="17" t="s">
        <v>478</v>
      </c>
      <c r="AC35" s="24"/>
      <c r="AD35" s="24"/>
    </row>
    <row r="36">
      <c r="A36" s="25"/>
      <c r="B36" s="30" t="s">
        <v>479</v>
      </c>
      <c r="C36" s="18" t="s">
        <v>422</v>
      </c>
      <c r="D36" s="19"/>
      <c r="E36" s="22"/>
      <c r="F36" s="19"/>
      <c r="G36" s="19"/>
      <c r="H36" s="19"/>
      <c r="I36" s="19"/>
      <c r="J36" s="19"/>
      <c r="K36" s="18" t="s">
        <v>368</v>
      </c>
      <c r="L36" s="19"/>
      <c r="M36" s="19"/>
      <c r="N36" s="21" t="s">
        <v>30</v>
      </c>
      <c r="O36" s="22"/>
      <c r="P36" s="22"/>
      <c r="Q36" s="19"/>
      <c r="R36" s="19"/>
      <c r="S36" s="22"/>
      <c r="T36" s="19"/>
      <c r="U36" s="22"/>
      <c r="V36" s="19"/>
      <c r="W36" s="22"/>
      <c r="X36" s="22"/>
      <c r="Y36" s="22"/>
      <c r="Z36" s="22"/>
      <c r="AA36" s="23"/>
      <c r="AB36" s="28"/>
      <c r="AC36" s="24"/>
      <c r="AD36" s="24"/>
    </row>
    <row r="37">
      <c r="A37" s="25"/>
      <c r="B37" s="17" t="s">
        <v>480</v>
      </c>
      <c r="C37" s="18">
        <v>7.80949624E9</v>
      </c>
      <c r="D37" s="19"/>
      <c r="E37" s="22"/>
      <c r="F37" s="19"/>
      <c r="G37" s="19"/>
      <c r="H37" s="19"/>
      <c r="I37" s="19"/>
      <c r="J37" s="19"/>
      <c r="K37" s="18" t="s">
        <v>368</v>
      </c>
      <c r="L37" s="19"/>
      <c r="M37" s="19"/>
      <c r="N37" s="21" t="s">
        <v>30</v>
      </c>
      <c r="O37" s="22"/>
      <c r="P37" s="22"/>
      <c r="Q37" s="19"/>
      <c r="R37" s="19"/>
      <c r="S37" s="22"/>
      <c r="T37" s="19"/>
      <c r="U37" s="22"/>
      <c r="V37" s="19"/>
      <c r="W37" s="22"/>
      <c r="X37" s="22"/>
      <c r="Y37" s="22"/>
      <c r="Z37" s="22"/>
      <c r="AA37" s="23"/>
      <c r="AB37" s="28"/>
      <c r="AC37" s="24"/>
      <c r="AD37" s="24"/>
    </row>
    <row r="38">
      <c r="A38" s="25"/>
      <c r="B38" s="30" t="s">
        <v>481</v>
      </c>
      <c r="C38" s="18" t="s">
        <v>422</v>
      </c>
      <c r="D38" s="19"/>
      <c r="E38" s="22"/>
      <c r="F38" s="19"/>
      <c r="G38" s="19"/>
      <c r="H38" s="19"/>
      <c r="I38" s="19"/>
      <c r="J38" s="19"/>
      <c r="K38" s="18" t="s">
        <v>368</v>
      </c>
      <c r="L38" s="19"/>
      <c r="M38" s="19"/>
      <c r="N38" s="21" t="s">
        <v>30</v>
      </c>
      <c r="O38" s="22"/>
      <c r="P38" s="22"/>
      <c r="Q38" s="19"/>
      <c r="R38" s="19"/>
      <c r="S38" s="22"/>
      <c r="T38" s="19"/>
      <c r="U38" s="22"/>
      <c r="V38" s="19"/>
      <c r="W38" s="22"/>
      <c r="X38" s="22"/>
      <c r="Y38" s="22"/>
      <c r="Z38" s="22"/>
      <c r="AA38" s="23"/>
      <c r="AB38" s="28"/>
      <c r="AC38" s="24"/>
      <c r="AD38" s="24"/>
    </row>
    <row r="39">
      <c r="A39" s="25"/>
      <c r="B39" s="30" t="s">
        <v>482</v>
      </c>
      <c r="C39" s="18" t="s">
        <v>422</v>
      </c>
      <c r="D39" s="19"/>
      <c r="E39" s="22"/>
      <c r="F39" s="19"/>
      <c r="G39" s="19"/>
      <c r="H39" s="19"/>
      <c r="I39" s="19"/>
      <c r="J39" s="19"/>
      <c r="K39" s="18" t="s">
        <v>368</v>
      </c>
      <c r="L39" s="19"/>
      <c r="M39" s="19"/>
      <c r="N39" s="21" t="s">
        <v>30</v>
      </c>
      <c r="O39" s="22"/>
      <c r="P39" s="22"/>
      <c r="Q39" s="19"/>
      <c r="R39" s="19"/>
      <c r="S39" s="22"/>
      <c r="T39" s="19"/>
      <c r="U39" s="22"/>
      <c r="V39" s="19"/>
      <c r="W39" s="22"/>
      <c r="X39" s="22"/>
      <c r="Y39" s="22"/>
      <c r="Z39" s="22"/>
      <c r="AA39" s="23"/>
      <c r="AB39" s="28"/>
      <c r="AC39" s="24"/>
      <c r="AD39" s="24"/>
    </row>
    <row r="40">
      <c r="A40" s="25"/>
      <c r="B40" s="17" t="s">
        <v>483</v>
      </c>
      <c r="C40" s="18">
        <v>7.491938414E9</v>
      </c>
      <c r="D40" s="19"/>
      <c r="E40" s="22"/>
      <c r="F40" s="19"/>
      <c r="G40" s="19"/>
      <c r="H40" s="19"/>
      <c r="I40" s="19"/>
      <c r="J40" s="19"/>
      <c r="K40" s="18" t="s">
        <v>368</v>
      </c>
      <c r="L40" s="19"/>
      <c r="M40" s="19"/>
      <c r="N40" s="21" t="s">
        <v>30</v>
      </c>
      <c r="O40" s="22"/>
      <c r="P40" s="22"/>
      <c r="Q40" s="19"/>
      <c r="R40" s="19"/>
      <c r="S40" s="22"/>
      <c r="T40" s="19"/>
      <c r="U40" s="22"/>
      <c r="V40" s="19"/>
      <c r="W40" s="22"/>
      <c r="X40" s="22"/>
      <c r="Y40" s="22"/>
      <c r="Z40" s="22"/>
      <c r="AA40" s="23"/>
      <c r="AB40" s="28"/>
      <c r="AC40" s="24"/>
      <c r="AD40" s="24"/>
    </row>
    <row r="41">
      <c r="A41" s="25"/>
      <c r="B41" s="17" t="s">
        <v>484</v>
      </c>
      <c r="C41" s="18">
        <v>8.80944358E9</v>
      </c>
      <c r="D41" s="19"/>
      <c r="E41" s="20" t="s">
        <v>405</v>
      </c>
      <c r="F41" s="19"/>
      <c r="G41" s="19"/>
      <c r="H41" s="19"/>
      <c r="I41" s="19"/>
      <c r="J41" s="19"/>
      <c r="K41" s="18" t="s">
        <v>368</v>
      </c>
      <c r="L41" s="19"/>
      <c r="M41" s="19"/>
      <c r="N41" s="21" t="s">
        <v>30</v>
      </c>
      <c r="O41" s="22"/>
      <c r="P41" s="22"/>
      <c r="Q41" s="19"/>
      <c r="R41" s="19"/>
      <c r="S41" s="22"/>
      <c r="T41" s="19"/>
      <c r="U41" s="22"/>
      <c r="V41" s="19"/>
      <c r="W41" s="22"/>
      <c r="X41" s="22"/>
      <c r="Y41" s="22"/>
      <c r="Z41" s="22"/>
      <c r="AA41" s="23"/>
      <c r="AB41" s="17" t="s">
        <v>485</v>
      </c>
      <c r="AC41" s="29" t="s">
        <v>467</v>
      </c>
      <c r="AD41" s="24"/>
    </row>
    <row r="42">
      <c r="A42" s="25"/>
      <c r="B42" s="17" t="s">
        <v>486</v>
      </c>
      <c r="C42" s="18">
        <v>7.369038675E9</v>
      </c>
      <c r="D42" s="19"/>
      <c r="E42" s="22"/>
      <c r="F42" s="19"/>
      <c r="G42" s="19"/>
      <c r="H42" s="19"/>
      <c r="I42" s="19"/>
      <c r="J42" s="19"/>
      <c r="K42" s="18" t="s">
        <v>368</v>
      </c>
      <c r="L42" s="19"/>
      <c r="M42" s="19"/>
      <c r="N42" s="21" t="s">
        <v>30</v>
      </c>
      <c r="O42" s="22"/>
      <c r="P42" s="22"/>
      <c r="Q42" s="19"/>
      <c r="R42" s="19"/>
      <c r="S42" s="22"/>
      <c r="T42" s="19"/>
      <c r="U42" s="22"/>
      <c r="V42" s="19"/>
      <c r="W42" s="22"/>
      <c r="X42" s="22"/>
      <c r="Y42" s="22"/>
      <c r="Z42" s="22"/>
      <c r="AA42" s="23"/>
      <c r="AB42" s="17" t="s">
        <v>487</v>
      </c>
      <c r="AC42" s="29"/>
      <c r="AD42" s="29"/>
    </row>
    <row r="43">
      <c r="A43" s="25"/>
      <c r="B43" s="17" t="s">
        <v>276</v>
      </c>
      <c r="C43" s="18">
        <v>8.709443505E9</v>
      </c>
      <c r="D43" s="19"/>
      <c r="E43" s="22"/>
      <c r="F43" s="19"/>
      <c r="G43" s="19"/>
      <c r="H43" s="19"/>
      <c r="I43" s="19"/>
      <c r="J43" s="19"/>
      <c r="K43" s="18" t="s">
        <v>368</v>
      </c>
      <c r="L43" s="19"/>
      <c r="M43" s="19"/>
      <c r="N43" s="21" t="s">
        <v>9</v>
      </c>
      <c r="O43" s="22"/>
      <c r="P43" s="22"/>
      <c r="Q43" s="19"/>
      <c r="R43" s="19"/>
      <c r="S43" s="22"/>
      <c r="T43" s="19"/>
      <c r="U43" s="22"/>
      <c r="V43" s="19"/>
      <c r="W43" s="22"/>
      <c r="X43" s="22"/>
      <c r="Y43" s="22"/>
      <c r="Z43" s="22"/>
      <c r="AA43" s="23"/>
      <c r="AB43" s="28"/>
      <c r="AC43" s="29"/>
      <c r="AD43" s="29" t="s">
        <v>488</v>
      </c>
    </row>
    <row r="44">
      <c r="A44" s="25"/>
      <c r="B44" s="30" t="s">
        <v>489</v>
      </c>
      <c r="C44" s="18" t="s">
        <v>422</v>
      </c>
      <c r="D44" s="19"/>
      <c r="E44" s="22"/>
      <c r="F44" s="19"/>
      <c r="G44" s="19"/>
      <c r="H44" s="19"/>
      <c r="I44" s="19"/>
      <c r="J44" s="19"/>
      <c r="K44" s="18" t="s">
        <v>368</v>
      </c>
      <c r="L44" s="19"/>
      <c r="M44" s="19"/>
      <c r="N44" s="21" t="s">
        <v>30</v>
      </c>
      <c r="O44" s="22"/>
      <c r="P44" s="22"/>
      <c r="Q44" s="19"/>
      <c r="R44" s="19"/>
      <c r="S44" s="22"/>
      <c r="T44" s="19"/>
      <c r="U44" s="22"/>
      <c r="V44" s="19"/>
      <c r="W44" s="22"/>
      <c r="X44" s="22"/>
      <c r="Y44" s="22"/>
      <c r="Z44" s="22"/>
      <c r="AA44" s="23"/>
      <c r="AB44" s="28"/>
      <c r="AC44" s="24"/>
      <c r="AD44" s="24"/>
    </row>
    <row r="45">
      <c r="A45" s="25"/>
      <c r="B45" s="17" t="s">
        <v>490</v>
      </c>
      <c r="C45" s="18">
        <v>6.201760288E9</v>
      </c>
      <c r="D45" s="19"/>
      <c r="E45" s="22"/>
      <c r="F45" s="19"/>
      <c r="G45" s="19"/>
      <c r="H45" s="19"/>
      <c r="I45" s="19"/>
      <c r="J45" s="19"/>
      <c r="K45" s="18" t="s">
        <v>368</v>
      </c>
      <c r="L45" s="19"/>
      <c r="M45" s="19"/>
      <c r="N45" s="21" t="s">
        <v>27</v>
      </c>
      <c r="O45" s="22"/>
      <c r="P45" s="22"/>
      <c r="Q45" s="19"/>
      <c r="R45" s="19"/>
      <c r="S45" s="22"/>
      <c r="T45" s="19"/>
      <c r="U45" s="22"/>
      <c r="V45" s="19"/>
      <c r="W45" s="22"/>
      <c r="X45" s="22"/>
      <c r="Y45" s="22"/>
      <c r="Z45" s="22"/>
      <c r="AA45" s="23"/>
      <c r="AB45" s="17" t="s">
        <v>491</v>
      </c>
      <c r="AC45" s="29" t="s">
        <v>403</v>
      </c>
      <c r="AD45" s="24"/>
    </row>
    <row r="46">
      <c r="A46" s="25"/>
      <c r="B46" s="30" t="s">
        <v>492</v>
      </c>
      <c r="C46" s="18" t="s">
        <v>422</v>
      </c>
      <c r="D46" s="19"/>
      <c r="E46" s="22"/>
      <c r="F46" s="19"/>
      <c r="G46" s="19"/>
      <c r="H46" s="19"/>
      <c r="I46" s="19"/>
      <c r="J46" s="19"/>
      <c r="K46" s="18" t="s">
        <v>368</v>
      </c>
      <c r="L46" s="19"/>
      <c r="M46" s="19"/>
      <c r="N46" s="21" t="s">
        <v>30</v>
      </c>
      <c r="O46" s="22"/>
      <c r="P46" s="22"/>
      <c r="Q46" s="19"/>
      <c r="R46" s="19"/>
      <c r="S46" s="22"/>
      <c r="T46" s="19"/>
      <c r="U46" s="22"/>
      <c r="V46" s="19"/>
      <c r="W46" s="22"/>
      <c r="X46" s="22"/>
      <c r="Y46" s="22"/>
      <c r="Z46" s="22"/>
      <c r="AA46" s="23"/>
      <c r="AB46" s="28"/>
      <c r="AC46" s="24"/>
      <c r="AD46" s="24"/>
    </row>
    <row r="47">
      <c r="A47" s="25"/>
      <c r="B47" s="17" t="s">
        <v>151</v>
      </c>
      <c r="C47" s="18">
        <v>6.208773351E9</v>
      </c>
      <c r="D47" s="19"/>
      <c r="E47" s="22"/>
      <c r="F47" s="19"/>
      <c r="G47" s="19"/>
      <c r="H47" s="19"/>
      <c r="I47" s="19"/>
      <c r="J47" s="19"/>
      <c r="K47" s="18" t="s">
        <v>368</v>
      </c>
      <c r="L47" s="19"/>
      <c r="M47" s="19"/>
      <c r="N47" s="21" t="s">
        <v>30</v>
      </c>
      <c r="O47" s="22"/>
      <c r="P47" s="22"/>
      <c r="Q47" s="19"/>
      <c r="R47" s="19"/>
      <c r="S47" s="22"/>
      <c r="T47" s="19"/>
      <c r="U47" s="22"/>
      <c r="V47" s="19"/>
      <c r="W47" s="22"/>
      <c r="X47" s="22"/>
      <c r="Y47" s="22"/>
      <c r="Z47" s="22"/>
      <c r="AA47" s="23"/>
      <c r="AB47" s="17" t="s">
        <v>493</v>
      </c>
      <c r="AC47" s="24"/>
      <c r="AD47" s="24"/>
    </row>
    <row r="48">
      <c r="A48" s="25"/>
      <c r="B48" s="17" t="s">
        <v>494</v>
      </c>
      <c r="C48" s="18">
        <v>6.202824718E9</v>
      </c>
      <c r="D48" s="19"/>
      <c r="E48" s="22"/>
      <c r="F48" s="19"/>
      <c r="G48" s="19"/>
      <c r="H48" s="19"/>
      <c r="I48" s="19"/>
      <c r="J48" s="19"/>
      <c r="K48" s="18" t="s">
        <v>368</v>
      </c>
      <c r="L48" s="19"/>
      <c r="M48" s="19"/>
      <c r="N48" s="21" t="s">
        <v>30</v>
      </c>
      <c r="O48" s="22"/>
      <c r="P48" s="22"/>
      <c r="Q48" s="19"/>
      <c r="R48" s="19"/>
      <c r="S48" s="22"/>
      <c r="T48" s="19"/>
      <c r="U48" s="22"/>
      <c r="V48" s="19"/>
      <c r="W48" s="22"/>
      <c r="X48" s="22"/>
      <c r="Y48" s="22"/>
      <c r="Z48" s="22"/>
      <c r="AA48" s="23"/>
      <c r="AB48" s="17" t="s">
        <v>493</v>
      </c>
      <c r="AC48" s="24"/>
      <c r="AD48" s="24"/>
    </row>
    <row r="49">
      <c r="A49" s="31"/>
      <c r="B49" s="30" t="s">
        <v>495</v>
      </c>
      <c r="C49" s="18" t="s">
        <v>422</v>
      </c>
      <c r="D49" s="19"/>
      <c r="E49" s="22"/>
      <c r="F49" s="19"/>
      <c r="G49" s="19"/>
      <c r="H49" s="19"/>
      <c r="I49" s="19"/>
      <c r="J49" s="19"/>
      <c r="K49" s="18" t="s">
        <v>368</v>
      </c>
      <c r="L49" s="19"/>
      <c r="M49" s="19"/>
      <c r="N49" s="21" t="s">
        <v>30</v>
      </c>
      <c r="O49" s="22"/>
      <c r="P49" s="22"/>
      <c r="Q49" s="19"/>
      <c r="R49" s="19"/>
      <c r="S49" s="22"/>
      <c r="T49" s="19"/>
      <c r="U49" s="22"/>
      <c r="V49" s="19"/>
      <c r="W49" s="22"/>
      <c r="X49" s="22"/>
      <c r="Y49" s="22"/>
      <c r="Z49" s="22"/>
      <c r="AA49" s="23"/>
      <c r="AB49" s="28"/>
      <c r="AC49" s="24"/>
      <c r="AD49" s="24"/>
    </row>
    <row r="50">
      <c r="A50" s="32"/>
      <c r="B50" s="33"/>
      <c r="C50" s="34"/>
      <c r="K50" s="34"/>
      <c r="N50" s="34"/>
      <c r="AB50" s="33"/>
      <c r="AC50" s="24"/>
      <c r="AD50" s="24"/>
    </row>
    <row r="51">
      <c r="A51" s="16" t="s">
        <v>496</v>
      </c>
      <c r="B51" s="17" t="s">
        <v>195</v>
      </c>
      <c r="C51" s="17">
        <v>7.00455198E8</v>
      </c>
      <c r="D51" s="19"/>
      <c r="E51" s="22"/>
      <c r="F51" s="19"/>
      <c r="G51" s="19"/>
      <c r="H51" s="19"/>
      <c r="I51" s="19"/>
      <c r="J51" s="19"/>
      <c r="K51" s="18" t="s">
        <v>497</v>
      </c>
      <c r="L51" s="19"/>
      <c r="M51" s="19"/>
      <c r="N51" s="21" t="s">
        <v>30</v>
      </c>
      <c r="O51" s="22"/>
      <c r="P51" s="22"/>
      <c r="Q51" s="19"/>
      <c r="R51" s="19"/>
      <c r="S51" s="22"/>
      <c r="T51" s="19"/>
      <c r="U51" s="22"/>
      <c r="V51" s="19"/>
      <c r="W51" s="22"/>
      <c r="X51" s="22"/>
      <c r="Y51" s="22"/>
      <c r="Z51" s="22"/>
      <c r="AA51" s="23"/>
      <c r="AB51" s="28"/>
      <c r="AC51" s="24"/>
      <c r="AD51" s="24"/>
    </row>
    <row r="52">
      <c r="A52" s="25"/>
      <c r="B52" s="17" t="s">
        <v>498</v>
      </c>
      <c r="C52" s="17">
        <v>7.070520956E9</v>
      </c>
      <c r="D52" s="26">
        <v>42.0</v>
      </c>
      <c r="E52" s="20" t="s">
        <v>367</v>
      </c>
      <c r="F52" s="26" t="s">
        <v>499</v>
      </c>
      <c r="G52" s="19"/>
      <c r="H52" s="26" t="s">
        <v>500</v>
      </c>
      <c r="I52" s="26" t="s">
        <v>501</v>
      </c>
      <c r="J52" s="26" t="s">
        <v>497</v>
      </c>
      <c r="K52" s="18" t="s">
        <v>497</v>
      </c>
      <c r="L52" s="26" t="s">
        <v>502</v>
      </c>
      <c r="M52" s="26" t="s">
        <v>503</v>
      </c>
      <c r="N52" s="21" t="s">
        <v>9</v>
      </c>
      <c r="O52" s="20" t="s">
        <v>4</v>
      </c>
      <c r="P52" s="20" t="s">
        <v>4</v>
      </c>
      <c r="Q52" s="19"/>
      <c r="R52" s="19"/>
      <c r="S52" s="20" t="s">
        <v>380</v>
      </c>
      <c r="T52" s="19"/>
      <c r="U52" s="20" t="s">
        <v>4</v>
      </c>
      <c r="V52" s="19"/>
      <c r="W52" s="20" t="s">
        <v>4</v>
      </c>
      <c r="X52" s="20" t="s">
        <v>4</v>
      </c>
      <c r="Y52" s="20" t="s">
        <v>4</v>
      </c>
      <c r="Z52" s="20" t="s">
        <v>4</v>
      </c>
      <c r="AA52" s="27" t="s">
        <v>391</v>
      </c>
      <c r="AB52" s="17" t="s">
        <v>504</v>
      </c>
      <c r="AC52" s="24"/>
      <c r="AD52" s="24"/>
    </row>
    <row r="53">
      <c r="A53" s="25"/>
      <c r="B53" s="17" t="s">
        <v>505</v>
      </c>
      <c r="C53" s="17">
        <v>8.828075239E9</v>
      </c>
      <c r="D53" s="26">
        <v>42.0</v>
      </c>
      <c r="E53" s="20" t="s">
        <v>405</v>
      </c>
      <c r="F53" s="26" t="s">
        <v>506</v>
      </c>
      <c r="G53" s="26" t="s">
        <v>375</v>
      </c>
      <c r="H53" s="26" t="s">
        <v>507</v>
      </c>
      <c r="I53" s="19"/>
      <c r="J53" s="26" t="s">
        <v>508</v>
      </c>
      <c r="K53" s="18" t="s">
        <v>497</v>
      </c>
      <c r="L53" s="26" t="s">
        <v>508</v>
      </c>
      <c r="M53" s="26" t="s">
        <v>508</v>
      </c>
      <c r="N53" s="21" t="s">
        <v>9</v>
      </c>
      <c r="O53" s="20" t="s">
        <v>4</v>
      </c>
      <c r="P53" s="20" t="s">
        <v>4</v>
      </c>
      <c r="Q53" s="26" t="s">
        <v>444</v>
      </c>
      <c r="R53" s="19"/>
      <c r="S53" s="20" t="s">
        <v>4</v>
      </c>
      <c r="T53" s="19"/>
      <c r="U53" s="20" t="s">
        <v>4</v>
      </c>
      <c r="V53" s="19"/>
      <c r="W53" s="20" t="s">
        <v>4</v>
      </c>
      <c r="X53" s="20" t="s">
        <v>4</v>
      </c>
      <c r="Y53" s="20" t="s">
        <v>4</v>
      </c>
      <c r="Z53" s="20" t="s">
        <v>4</v>
      </c>
      <c r="AA53" s="27" t="s">
        <v>391</v>
      </c>
      <c r="AB53" s="17"/>
      <c r="AC53" s="17" t="s">
        <v>509</v>
      </c>
      <c r="AD53" s="24"/>
    </row>
    <row r="54">
      <c r="A54" s="25"/>
      <c r="B54" s="17" t="s">
        <v>510</v>
      </c>
      <c r="C54" s="17">
        <v>7.970485898E9</v>
      </c>
      <c r="D54" s="26">
        <v>35.0</v>
      </c>
      <c r="E54" s="22"/>
      <c r="F54" s="26" t="s">
        <v>511</v>
      </c>
      <c r="G54" s="26" t="s">
        <v>371</v>
      </c>
      <c r="H54" s="26" t="s">
        <v>512</v>
      </c>
      <c r="I54" s="19"/>
      <c r="J54" s="26" t="s">
        <v>508</v>
      </c>
      <c r="K54" s="18" t="s">
        <v>497</v>
      </c>
      <c r="L54" s="26" t="s">
        <v>508</v>
      </c>
      <c r="M54" s="26" t="s">
        <v>508</v>
      </c>
      <c r="N54" s="21" t="s">
        <v>9</v>
      </c>
      <c r="O54" s="20" t="s">
        <v>4</v>
      </c>
      <c r="P54" s="20" t="s">
        <v>380</v>
      </c>
      <c r="Q54" s="19"/>
      <c r="R54" s="19"/>
      <c r="S54" s="20" t="s">
        <v>380</v>
      </c>
      <c r="T54" s="19"/>
      <c r="U54" s="20" t="s">
        <v>4</v>
      </c>
      <c r="V54" s="26" t="s">
        <v>513</v>
      </c>
      <c r="W54" s="20" t="s">
        <v>4</v>
      </c>
      <c r="X54" s="20" t="s">
        <v>4</v>
      </c>
      <c r="Y54" s="20" t="s">
        <v>380</v>
      </c>
      <c r="Z54" s="20" t="s">
        <v>4</v>
      </c>
      <c r="AA54" s="27" t="s">
        <v>391</v>
      </c>
      <c r="AB54" s="17" t="s">
        <v>514</v>
      </c>
      <c r="AC54" s="24"/>
      <c r="AD54" s="24"/>
    </row>
    <row r="55">
      <c r="A55" s="25"/>
      <c r="B55" s="17" t="s">
        <v>515</v>
      </c>
      <c r="C55" s="17">
        <v>8.508984552E9</v>
      </c>
      <c r="D55" s="19"/>
      <c r="E55" s="20" t="s">
        <v>367</v>
      </c>
      <c r="F55" s="19"/>
      <c r="G55" s="19"/>
      <c r="H55" s="19"/>
      <c r="I55" s="19"/>
      <c r="J55" s="19"/>
      <c r="K55" s="18" t="s">
        <v>497</v>
      </c>
      <c r="L55" s="19"/>
      <c r="M55" s="19"/>
      <c r="N55" s="21" t="s">
        <v>27</v>
      </c>
      <c r="O55" s="22"/>
      <c r="P55" s="22"/>
      <c r="Q55" s="19"/>
      <c r="R55" s="19"/>
      <c r="S55" s="22"/>
      <c r="T55" s="19"/>
      <c r="U55" s="22"/>
      <c r="V55" s="19"/>
      <c r="W55" s="22"/>
      <c r="X55" s="22"/>
      <c r="Y55" s="22"/>
      <c r="Z55" s="22"/>
      <c r="AA55" s="23"/>
      <c r="AB55" s="17" t="s">
        <v>516</v>
      </c>
      <c r="AC55" s="24"/>
      <c r="AD55" s="24"/>
    </row>
    <row r="56">
      <c r="A56" s="25"/>
      <c r="B56" s="17" t="s">
        <v>517</v>
      </c>
      <c r="C56" s="17">
        <v>9.801298771E9</v>
      </c>
      <c r="D56" s="26">
        <v>52.0</v>
      </c>
      <c r="E56" s="20" t="s">
        <v>367</v>
      </c>
      <c r="F56" s="26" t="s">
        <v>441</v>
      </c>
      <c r="G56" s="26" t="s">
        <v>518</v>
      </c>
      <c r="H56" s="26" t="s">
        <v>407</v>
      </c>
      <c r="I56" s="19"/>
      <c r="J56" s="26" t="s">
        <v>508</v>
      </c>
      <c r="K56" s="18" t="s">
        <v>497</v>
      </c>
      <c r="L56" s="26" t="s">
        <v>508</v>
      </c>
      <c r="M56" s="26" t="s">
        <v>519</v>
      </c>
      <c r="N56" s="21" t="s">
        <v>9</v>
      </c>
      <c r="O56" s="20" t="s">
        <v>4</v>
      </c>
      <c r="P56" s="20" t="s">
        <v>4</v>
      </c>
      <c r="Q56" s="26" t="s">
        <v>520</v>
      </c>
      <c r="R56" s="19"/>
      <c r="S56" s="20" t="s">
        <v>4</v>
      </c>
      <c r="T56" s="19"/>
      <c r="U56" s="20" t="s">
        <v>4</v>
      </c>
      <c r="V56" s="19"/>
      <c r="W56" s="20" t="s">
        <v>4</v>
      </c>
      <c r="X56" s="20" t="s">
        <v>4</v>
      </c>
      <c r="Y56" s="20" t="s">
        <v>380</v>
      </c>
      <c r="Z56" s="20" t="s">
        <v>4</v>
      </c>
      <c r="AA56" s="27" t="s">
        <v>391</v>
      </c>
      <c r="AB56" s="17"/>
      <c r="AC56" s="17" t="s">
        <v>521</v>
      </c>
      <c r="AD56" s="24"/>
    </row>
    <row r="57">
      <c r="A57" s="25"/>
      <c r="B57" s="17" t="s">
        <v>522</v>
      </c>
      <c r="C57" s="17">
        <v>6.201226233E9</v>
      </c>
      <c r="D57" s="26">
        <v>28.0</v>
      </c>
      <c r="E57" s="20" t="s">
        <v>367</v>
      </c>
      <c r="F57" s="26" t="s">
        <v>429</v>
      </c>
      <c r="G57" s="19"/>
      <c r="H57" s="19"/>
      <c r="I57" s="26" t="s">
        <v>523</v>
      </c>
      <c r="J57" s="19"/>
      <c r="K57" s="18" t="s">
        <v>497</v>
      </c>
      <c r="L57" s="26" t="s">
        <v>524</v>
      </c>
      <c r="M57" s="26" t="s">
        <v>525</v>
      </c>
      <c r="N57" s="21" t="s">
        <v>9</v>
      </c>
      <c r="O57" s="20" t="s">
        <v>4</v>
      </c>
      <c r="P57" s="20" t="s">
        <v>380</v>
      </c>
      <c r="Q57" s="19"/>
      <c r="R57" s="19"/>
      <c r="S57" s="20" t="s">
        <v>4</v>
      </c>
      <c r="T57" s="19"/>
      <c r="U57" s="20" t="s">
        <v>380</v>
      </c>
      <c r="V57" s="19"/>
      <c r="W57" s="20" t="s">
        <v>4</v>
      </c>
      <c r="X57" s="20" t="s">
        <v>4</v>
      </c>
      <c r="Y57" s="20" t="s">
        <v>4</v>
      </c>
      <c r="Z57" s="20" t="s">
        <v>4</v>
      </c>
      <c r="AA57" s="27" t="s">
        <v>391</v>
      </c>
      <c r="AB57" s="17" t="s">
        <v>504</v>
      </c>
      <c r="AC57" s="24"/>
      <c r="AD57" s="24"/>
    </row>
    <row r="58">
      <c r="A58" s="25"/>
      <c r="B58" s="17" t="s">
        <v>526</v>
      </c>
      <c r="C58" s="17">
        <v>6.29942425E9</v>
      </c>
      <c r="D58" s="26">
        <v>18.0</v>
      </c>
      <c r="E58" s="20" t="s">
        <v>367</v>
      </c>
      <c r="F58" s="26" t="s">
        <v>382</v>
      </c>
      <c r="G58" s="26" t="s">
        <v>518</v>
      </c>
      <c r="H58" s="26" t="s">
        <v>376</v>
      </c>
      <c r="I58" s="26" t="s">
        <v>527</v>
      </c>
      <c r="J58" s="26" t="s">
        <v>508</v>
      </c>
      <c r="K58" s="18" t="s">
        <v>497</v>
      </c>
      <c r="L58" s="26" t="s">
        <v>508</v>
      </c>
      <c r="M58" s="26" t="s">
        <v>528</v>
      </c>
      <c r="N58" s="21" t="s">
        <v>9</v>
      </c>
      <c r="O58" s="20" t="s">
        <v>4</v>
      </c>
      <c r="P58" s="20" t="s">
        <v>380</v>
      </c>
      <c r="Q58" s="19"/>
      <c r="R58" s="19"/>
      <c r="S58" s="20" t="s">
        <v>4</v>
      </c>
      <c r="T58" s="19"/>
      <c r="U58" s="20" t="s">
        <v>380</v>
      </c>
      <c r="V58" s="19"/>
      <c r="W58" s="20" t="s">
        <v>4</v>
      </c>
      <c r="X58" s="20" t="s">
        <v>4</v>
      </c>
      <c r="Y58" s="20" t="s">
        <v>380</v>
      </c>
      <c r="Z58" s="20" t="s">
        <v>4</v>
      </c>
      <c r="AA58" s="27" t="s">
        <v>391</v>
      </c>
      <c r="AB58" s="17"/>
      <c r="AC58" s="17" t="s">
        <v>509</v>
      </c>
      <c r="AD58" s="24"/>
    </row>
    <row r="59">
      <c r="A59" s="25"/>
      <c r="B59" s="17" t="s">
        <v>529</v>
      </c>
      <c r="C59" s="17">
        <v>7.004567973E9</v>
      </c>
      <c r="D59" s="26">
        <v>22.0</v>
      </c>
      <c r="E59" s="20" t="s">
        <v>367</v>
      </c>
      <c r="F59" s="26" t="s">
        <v>382</v>
      </c>
      <c r="G59" s="26" t="s">
        <v>375</v>
      </c>
      <c r="H59" s="26" t="s">
        <v>376</v>
      </c>
      <c r="I59" s="26" t="s">
        <v>384</v>
      </c>
      <c r="J59" s="26" t="s">
        <v>508</v>
      </c>
      <c r="K59" s="18" t="s">
        <v>497</v>
      </c>
      <c r="L59" s="26" t="s">
        <v>508</v>
      </c>
      <c r="M59" s="26" t="s">
        <v>508</v>
      </c>
      <c r="N59" s="21" t="s">
        <v>9</v>
      </c>
      <c r="O59" s="20" t="s">
        <v>4</v>
      </c>
      <c r="P59" s="20" t="s">
        <v>4</v>
      </c>
      <c r="Q59" s="26" t="s">
        <v>444</v>
      </c>
      <c r="R59" s="19"/>
      <c r="S59" s="20" t="s">
        <v>4</v>
      </c>
      <c r="T59" s="19"/>
      <c r="U59" s="20" t="s">
        <v>4</v>
      </c>
      <c r="V59" s="19"/>
      <c r="W59" s="20" t="s">
        <v>4</v>
      </c>
      <c r="X59" s="20" t="s">
        <v>4</v>
      </c>
      <c r="Y59" s="20" t="s">
        <v>4</v>
      </c>
      <c r="Z59" s="20" t="s">
        <v>4</v>
      </c>
      <c r="AA59" s="27" t="s">
        <v>391</v>
      </c>
      <c r="AB59" s="28"/>
      <c r="AC59" s="29" t="s">
        <v>509</v>
      </c>
      <c r="AD59" s="24"/>
    </row>
    <row r="60">
      <c r="A60" s="25"/>
      <c r="B60" s="17" t="s">
        <v>530</v>
      </c>
      <c r="C60" s="17">
        <v>9.110185905E9</v>
      </c>
      <c r="D60" s="26">
        <v>27.0</v>
      </c>
      <c r="E60" s="20" t="s">
        <v>367</v>
      </c>
      <c r="F60" s="26" t="s">
        <v>382</v>
      </c>
      <c r="G60" s="26" t="s">
        <v>375</v>
      </c>
      <c r="H60" s="26" t="s">
        <v>407</v>
      </c>
      <c r="I60" s="19"/>
      <c r="J60" s="26" t="s">
        <v>508</v>
      </c>
      <c r="K60" s="18" t="s">
        <v>497</v>
      </c>
      <c r="L60" s="26" t="s">
        <v>531</v>
      </c>
      <c r="M60" s="26" t="s">
        <v>532</v>
      </c>
      <c r="N60" s="21" t="s">
        <v>9</v>
      </c>
      <c r="O60" s="20" t="s">
        <v>4</v>
      </c>
      <c r="P60" s="20" t="s">
        <v>380</v>
      </c>
      <c r="Q60" s="19"/>
      <c r="R60" s="19"/>
      <c r="S60" s="20" t="s">
        <v>4</v>
      </c>
      <c r="T60" s="19"/>
      <c r="U60" s="20" t="s">
        <v>4</v>
      </c>
      <c r="V60" s="19"/>
      <c r="W60" s="20" t="s">
        <v>4</v>
      </c>
      <c r="X60" s="20" t="s">
        <v>4</v>
      </c>
      <c r="Y60" s="20" t="s">
        <v>380</v>
      </c>
      <c r="Z60" s="22"/>
      <c r="AA60" s="27" t="s">
        <v>391</v>
      </c>
      <c r="AB60" s="28"/>
      <c r="AC60" s="29" t="s">
        <v>533</v>
      </c>
      <c r="AD60" s="24"/>
    </row>
    <row r="61">
      <c r="A61" s="25"/>
      <c r="B61" s="17" t="s">
        <v>534</v>
      </c>
      <c r="C61" s="17">
        <v>7.070082432E9</v>
      </c>
      <c r="D61" s="19"/>
      <c r="E61" s="20" t="s">
        <v>367</v>
      </c>
      <c r="F61" s="19"/>
      <c r="G61" s="19"/>
      <c r="H61" s="19"/>
      <c r="I61" s="19"/>
      <c r="J61" s="19"/>
      <c r="K61" s="18" t="s">
        <v>497</v>
      </c>
      <c r="L61" s="19"/>
      <c r="M61" s="19"/>
      <c r="N61" s="35"/>
      <c r="O61" s="22"/>
      <c r="P61" s="22"/>
      <c r="Q61" s="19"/>
      <c r="R61" s="19"/>
      <c r="S61" s="22"/>
      <c r="T61" s="19"/>
      <c r="U61" s="22"/>
      <c r="V61" s="19"/>
      <c r="W61" s="22"/>
      <c r="X61" s="22"/>
      <c r="Y61" s="22"/>
      <c r="Z61" s="22"/>
      <c r="AA61" s="23"/>
      <c r="AB61" s="28"/>
      <c r="AC61" s="24"/>
      <c r="AD61" s="24"/>
    </row>
    <row r="62">
      <c r="A62" s="25"/>
      <c r="B62" s="17" t="s">
        <v>535</v>
      </c>
      <c r="C62" s="17">
        <v>9.955332296E9</v>
      </c>
      <c r="D62" s="26">
        <v>35.0</v>
      </c>
      <c r="E62" s="20" t="s">
        <v>367</v>
      </c>
      <c r="F62" s="26" t="s">
        <v>536</v>
      </c>
      <c r="G62" s="26" t="s">
        <v>371</v>
      </c>
      <c r="H62" s="26" t="s">
        <v>383</v>
      </c>
      <c r="I62" s="26" t="s">
        <v>523</v>
      </c>
      <c r="J62" s="26" t="s">
        <v>508</v>
      </c>
      <c r="K62" s="18" t="s">
        <v>497</v>
      </c>
      <c r="L62" s="26" t="s">
        <v>537</v>
      </c>
      <c r="M62" s="26" t="s">
        <v>538</v>
      </c>
      <c r="N62" s="21" t="s">
        <v>9</v>
      </c>
      <c r="O62" s="20" t="s">
        <v>4</v>
      </c>
      <c r="P62" s="20" t="s">
        <v>4</v>
      </c>
      <c r="Q62" s="26" t="s">
        <v>539</v>
      </c>
      <c r="R62" s="19"/>
      <c r="S62" s="20" t="s">
        <v>4</v>
      </c>
      <c r="T62" s="19"/>
      <c r="U62" s="20" t="s">
        <v>4</v>
      </c>
      <c r="V62" s="26" t="s">
        <v>540</v>
      </c>
      <c r="W62" s="20" t="s">
        <v>4</v>
      </c>
      <c r="X62" s="20" t="s">
        <v>4</v>
      </c>
      <c r="Y62" s="20" t="s">
        <v>4</v>
      </c>
      <c r="Z62" s="20" t="s">
        <v>4</v>
      </c>
      <c r="AA62" s="27" t="s">
        <v>391</v>
      </c>
      <c r="AB62" s="17" t="s">
        <v>514</v>
      </c>
      <c r="AC62" s="24"/>
      <c r="AD62" s="24"/>
    </row>
    <row r="63">
      <c r="A63" s="25"/>
      <c r="B63" s="17" t="s">
        <v>541</v>
      </c>
      <c r="C63" s="17">
        <v>8.969737119E9</v>
      </c>
      <c r="D63" s="19"/>
      <c r="E63" s="22"/>
      <c r="F63" s="19"/>
      <c r="G63" s="19"/>
      <c r="H63" s="19"/>
      <c r="I63" s="19"/>
      <c r="J63" s="19"/>
      <c r="K63" s="18" t="s">
        <v>497</v>
      </c>
      <c r="L63" s="19"/>
      <c r="M63" s="19"/>
      <c r="N63" s="21" t="s">
        <v>23</v>
      </c>
      <c r="O63" s="22"/>
      <c r="P63" s="22"/>
      <c r="Q63" s="19"/>
      <c r="R63" s="19"/>
      <c r="S63" s="22"/>
      <c r="T63" s="19"/>
      <c r="U63" s="22"/>
      <c r="V63" s="19"/>
      <c r="W63" s="22"/>
      <c r="X63" s="22"/>
      <c r="Y63" s="22"/>
      <c r="Z63" s="22"/>
      <c r="AA63" s="23"/>
      <c r="AB63" s="28"/>
      <c r="AC63" s="29" t="s">
        <v>542</v>
      </c>
      <c r="AD63" s="24"/>
    </row>
    <row r="64">
      <c r="A64" s="25"/>
      <c r="B64" s="17" t="s">
        <v>543</v>
      </c>
      <c r="C64" s="17">
        <v>7.763985955E9</v>
      </c>
      <c r="D64" s="26">
        <v>25.0</v>
      </c>
      <c r="E64" s="20" t="s">
        <v>367</v>
      </c>
      <c r="F64" s="26" t="s">
        <v>370</v>
      </c>
      <c r="G64" s="26" t="s">
        <v>371</v>
      </c>
      <c r="H64" s="26" t="s">
        <v>407</v>
      </c>
      <c r="I64" s="26" t="s">
        <v>544</v>
      </c>
      <c r="J64" s="19"/>
      <c r="K64" s="18" t="s">
        <v>497</v>
      </c>
      <c r="L64" s="26" t="s">
        <v>545</v>
      </c>
      <c r="M64" s="26" t="s">
        <v>538</v>
      </c>
      <c r="N64" s="21" t="s">
        <v>9</v>
      </c>
      <c r="O64" s="20" t="s">
        <v>4</v>
      </c>
      <c r="P64" s="20" t="s">
        <v>4</v>
      </c>
      <c r="Q64" s="26" t="s">
        <v>546</v>
      </c>
      <c r="R64" s="19"/>
      <c r="S64" s="20" t="s">
        <v>380</v>
      </c>
      <c r="T64" s="19"/>
      <c r="U64" s="20" t="s">
        <v>4</v>
      </c>
      <c r="V64" s="19"/>
      <c r="W64" s="22"/>
      <c r="X64" s="22"/>
      <c r="Y64" s="22"/>
      <c r="Z64" s="22"/>
      <c r="AA64" s="23"/>
      <c r="AB64" s="28"/>
      <c r="AC64" s="24"/>
      <c r="AD64" s="24"/>
    </row>
    <row r="65">
      <c r="A65" s="25"/>
      <c r="B65" s="17" t="s">
        <v>547</v>
      </c>
      <c r="C65" s="17">
        <v>7.541864152E9</v>
      </c>
      <c r="D65" s="19"/>
      <c r="E65" s="22"/>
      <c r="F65" s="19"/>
      <c r="G65" s="19"/>
      <c r="H65" s="19"/>
      <c r="I65" s="19"/>
      <c r="J65" s="19"/>
      <c r="K65" s="18" t="s">
        <v>497</v>
      </c>
      <c r="L65" s="19"/>
      <c r="M65" s="19"/>
      <c r="N65" s="21" t="s">
        <v>23</v>
      </c>
      <c r="O65" s="22"/>
      <c r="P65" s="22"/>
      <c r="Q65" s="19"/>
      <c r="R65" s="19"/>
      <c r="S65" s="22"/>
      <c r="T65" s="19"/>
      <c r="U65" s="22"/>
      <c r="V65" s="19"/>
      <c r="W65" s="20" t="s">
        <v>4</v>
      </c>
      <c r="X65" s="20" t="s">
        <v>4</v>
      </c>
      <c r="Y65" s="20" t="s">
        <v>4</v>
      </c>
      <c r="Z65" s="20" t="s">
        <v>4</v>
      </c>
      <c r="AA65" s="27" t="s">
        <v>391</v>
      </c>
      <c r="AB65" s="17" t="s">
        <v>504</v>
      </c>
      <c r="AC65" s="24"/>
      <c r="AD65" s="24"/>
    </row>
    <row r="66">
      <c r="A66" s="25"/>
      <c r="B66" s="17" t="s">
        <v>548</v>
      </c>
      <c r="C66" s="17">
        <v>7.25074877E9</v>
      </c>
      <c r="D66" s="26">
        <v>39.0</v>
      </c>
      <c r="E66" s="20" t="s">
        <v>367</v>
      </c>
      <c r="F66" s="26" t="s">
        <v>441</v>
      </c>
      <c r="G66" s="26" t="s">
        <v>549</v>
      </c>
      <c r="H66" s="26" t="s">
        <v>550</v>
      </c>
      <c r="I66" s="26" t="s">
        <v>551</v>
      </c>
      <c r="J66" s="26" t="s">
        <v>508</v>
      </c>
      <c r="K66" s="18" t="s">
        <v>497</v>
      </c>
      <c r="L66" s="26" t="s">
        <v>545</v>
      </c>
      <c r="M66" s="26" t="s">
        <v>552</v>
      </c>
      <c r="N66" s="21" t="s">
        <v>9</v>
      </c>
      <c r="O66" s="20" t="s">
        <v>4</v>
      </c>
      <c r="P66" s="20" t="s">
        <v>380</v>
      </c>
      <c r="Q66" s="19"/>
      <c r="R66" s="19"/>
      <c r="S66" s="20" t="s">
        <v>380</v>
      </c>
      <c r="T66" s="19"/>
      <c r="U66" s="20" t="s">
        <v>380</v>
      </c>
      <c r="V66" s="19"/>
      <c r="W66" s="20" t="s">
        <v>4</v>
      </c>
      <c r="X66" s="20" t="s">
        <v>4</v>
      </c>
      <c r="Y66" s="20" t="s">
        <v>4</v>
      </c>
      <c r="Z66" s="20" t="s">
        <v>4</v>
      </c>
      <c r="AA66" s="27" t="s">
        <v>391</v>
      </c>
      <c r="AB66" s="17" t="s">
        <v>514</v>
      </c>
      <c r="AC66" s="24"/>
      <c r="AD66" s="24"/>
    </row>
    <row r="67">
      <c r="A67" s="25"/>
      <c r="B67" s="17" t="s">
        <v>553</v>
      </c>
      <c r="C67" s="17">
        <v>8.757904358E9</v>
      </c>
      <c r="D67" s="26">
        <v>30.0</v>
      </c>
      <c r="E67" s="20" t="s">
        <v>367</v>
      </c>
      <c r="F67" s="26" t="s">
        <v>554</v>
      </c>
      <c r="G67" s="19"/>
      <c r="H67" s="26" t="s">
        <v>407</v>
      </c>
      <c r="I67" s="26" t="s">
        <v>544</v>
      </c>
      <c r="J67" s="19"/>
      <c r="K67" s="18" t="s">
        <v>497</v>
      </c>
      <c r="L67" s="26" t="s">
        <v>497</v>
      </c>
      <c r="M67" s="26" t="s">
        <v>555</v>
      </c>
      <c r="N67" s="21" t="s">
        <v>9</v>
      </c>
      <c r="O67" s="20" t="s">
        <v>4</v>
      </c>
      <c r="P67" s="20" t="s">
        <v>380</v>
      </c>
      <c r="Q67" s="19"/>
      <c r="R67" s="19"/>
      <c r="S67" s="20" t="s">
        <v>380</v>
      </c>
      <c r="T67" s="19"/>
      <c r="U67" s="20" t="s">
        <v>380</v>
      </c>
      <c r="V67" s="19"/>
      <c r="W67" s="20" t="s">
        <v>4</v>
      </c>
      <c r="X67" s="20" t="s">
        <v>4</v>
      </c>
      <c r="Y67" s="20" t="s">
        <v>4</v>
      </c>
      <c r="Z67" s="20" t="s">
        <v>4</v>
      </c>
      <c r="AA67" s="27" t="s">
        <v>391</v>
      </c>
      <c r="AB67" s="17" t="s">
        <v>504</v>
      </c>
      <c r="AC67" s="24"/>
      <c r="AD67" s="24"/>
    </row>
    <row r="68">
      <c r="A68" s="25"/>
      <c r="B68" s="17" t="s">
        <v>556</v>
      </c>
      <c r="C68" s="17">
        <v>9.128325958E9</v>
      </c>
      <c r="D68" s="26">
        <v>36.0</v>
      </c>
      <c r="E68" s="20" t="s">
        <v>367</v>
      </c>
      <c r="F68" s="26" t="s">
        <v>557</v>
      </c>
      <c r="G68" s="19"/>
      <c r="H68" s="26" t="s">
        <v>407</v>
      </c>
      <c r="I68" s="26" t="s">
        <v>544</v>
      </c>
      <c r="J68" s="19"/>
      <c r="K68" s="18" t="s">
        <v>497</v>
      </c>
      <c r="L68" s="26" t="s">
        <v>497</v>
      </c>
      <c r="M68" s="26" t="s">
        <v>558</v>
      </c>
      <c r="N68" s="21" t="s">
        <v>9</v>
      </c>
      <c r="O68" s="20" t="s">
        <v>4</v>
      </c>
      <c r="P68" s="20" t="s">
        <v>4</v>
      </c>
      <c r="Q68" s="26" t="s">
        <v>388</v>
      </c>
      <c r="R68" s="19"/>
      <c r="S68" s="20" t="s">
        <v>4</v>
      </c>
      <c r="T68" s="19"/>
      <c r="U68" s="20" t="s">
        <v>4</v>
      </c>
      <c r="V68" s="19"/>
      <c r="W68" s="20" t="s">
        <v>4</v>
      </c>
      <c r="X68" s="20" t="s">
        <v>4</v>
      </c>
      <c r="Y68" s="20" t="s">
        <v>4</v>
      </c>
      <c r="Z68" s="20" t="s">
        <v>4</v>
      </c>
      <c r="AA68" s="27" t="s">
        <v>391</v>
      </c>
      <c r="AB68" s="17" t="s">
        <v>504</v>
      </c>
      <c r="AC68" s="24"/>
      <c r="AD68" s="24"/>
    </row>
    <row r="69">
      <c r="A69" s="25"/>
      <c r="B69" s="17" t="s">
        <v>559</v>
      </c>
      <c r="C69" s="17">
        <v>7.292840205E9</v>
      </c>
      <c r="D69" s="26">
        <v>40.0</v>
      </c>
      <c r="E69" s="20" t="s">
        <v>367</v>
      </c>
      <c r="F69" s="26" t="s">
        <v>560</v>
      </c>
      <c r="G69" s="19"/>
      <c r="H69" s="26" t="s">
        <v>458</v>
      </c>
      <c r="I69" s="19"/>
      <c r="J69" s="19"/>
      <c r="K69" s="18" t="s">
        <v>497</v>
      </c>
      <c r="L69" s="26" t="s">
        <v>497</v>
      </c>
      <c r="M69" s="26" t="s">
        <v>558</v>
      </c>
      <c r="N69" s="21" t="s">
        <v>9</v>
      </c>
      <c r="O69" s="20" t="s">
        <v>4</v>
      </c>
      <c r="P69" s="20" t="s">
        <v>4</v>
      </c>
      <c r="Q69" s="26" t="s">
        <v>388</v>
      </c>
      <c r="R69" s="19"/>
      <c r="S69" s="20" t="s">
        <v>4</v>
      </c>
      <c r="T69" s="26" t="s">
        <v>561</v>
      </c>
      <c r="U69" s="20" t="s">
        <v>380</v>
      </c>
      <c r="V69" s="19"/>
      <c r="W69" s="20" t="s">
        <v>4</v>
      </c>
      <c r="X69" s="20" t="s">
        <v>4</v>
      </c>
      <c r="Y69" s="20" t="s">
        <v>4</v>
      </c>
      <c r="Z69" s="20" t="s">
        <v>4</v>
      </c>
      <c r="AA69" s="27" t="s">
        <v>391</v>
      </c>
      <c r="AB69" s="17" t="s">
        <v>504</v>
      </c>
      <c r="AC69" s="24"/>
      <c r="AD69" s="24"/>
    </row>
    <row r="70">
      <c r="A70" s="25"/>
      <c r="B70" s="17" t="s">
        <v>562</v>
      </c>
      <c r="C70" s="17">
        <v>7.781044868E9</v>
      </c>
      <c r="D70" s="26">
        <v>43.0</v>
      </c>
      <c r="E70" s="20" t="s">
        <v>367</v>
      </c>
      <c r="F70" s="26" t="s">
        <v>406</v>
      </c>
      <c r="G70" s="19"/>
      <c r="H70" s="19"/>
      <c r="I70" s="26" t="s">
        <v>563</v>
      </c>
      <c r="J70" s="19"/>
      <c r="K70" s="18" t="s">
        <v>497</v>
      </c>
      <c r="L70" s="26" t="s">
        <v>497</v>
      </c>
      <c r="M70" s="26" t="s">
        <v>558</v>
      </c>
      <c r="N70" s="21" t="s">
        <v>9</v>
      </c>
      <c r="O70" s="20" t="s">
        <v>4</v>
      </c>
      <c r="P70" s="20" t="s">
        <v>4</v>
      </c>
      <c r="Q70" s="26" t="s">
        <v>388</v>
      </c>
      <c r="R70" s="19"/>
      <c r="S70" s="20" t="s">
        <v>380</v>
      </c>
      <c r="T70" s="19"/>
      <c r="U70" s="20" t="s">
        <v>4</v>
      </c>
      <c r="V70" s="19"/>
      <c r="W70" s="20" t="s">
        <v>4</v>
      </c>
      <c r="X70" s="20" t="s">
        <v>4</v>
      </c>
      <c r="Y70" s="20" t="s">
        <v>4</v>
      </c>
      <c r="Z70" s="20" t="s">
        <v>4</v>
      </c>
      <c r="AA70" s="27" t="s">
        <v>391</v>
      </c>
      <c r="AB70" s="17" t="s">
        <v>504</v>
      </c>
      <c r="AC70" s="24"/>
      <c r="AD70" s="24"/>
    </row>
    <row r="71">
      <c r="A71" s="25"/>
      <c r="B71" s="17" t="s">
        <v>564</v>
      </c>
      <c r="C71" s="17">
        <v>9.852224295E9</v>
      </c>
      <c r="D71" s="26">
        <v>28.0</v>
      </c>
      <c r="E71" s="20" t="s">
        <v>367</v>
      </c>
      <c r="F71" s="26" t="s">
        <v>370</v>
      </c>
      <c r="G71" s="19"/>
      <c r="H71" s="26" t="s">
        <v>383</v>
      </c>
      <c r="I71" s="19"/>
      <c r="J71" s="19"/>
      <c r="K71" s="18" t="s">
        <v>497</v>
      </c>
      <c r="L71" s="19"/>
      <c r="M71" s="26" t="s">
        <v>565</v>
      </c>
      <c r="N71" s="21" t="s">
        <v>9</v>
      </c>
      <c r="O71" s="20" t="s">
        <v>4</v>
      </c>
      <c r="P71" s="20" t="s">
        <v>4</v>
      </c>
      <c r="Q71" s="26" t="s">
        <v>388</v>
      </c>
      <c r="R71" s="19"/>
      <c r="S71" s="22"/>
      <c r="T71" s="19"/>
      <c r="U71" s="22"/>
      <c r="V71" s="19"/>
      <c r="W71" s="22"/>
      <c r="X71" s="22"/>
      <c r="Y71" s="22"/>
      <c r="Z71" s="22"/>
      <c r="AA71" s="23"/>
      <c r="AB71" s="28"/>
      <c r="AC71" s="24"/>
      <c r="AD71" s="24"/>
    </row>
    <row r="72">
      <c r="A72" s="25"/>
      <c r="B72" s="17" t="s">
        <v>566</v>
      </c>
      <c r="C72" s="17">
        <v>9.771957573E9</v>
      </c>
      <c r="D72" s="19"/>
      <c r="E72" s="22"/>
      <c r="F72" s="19"/>
      <c r="G72" s="19"/>
      <c r="H72" s="19"/>
      <c r="I72" s="19"/>
      <c r="J72" s="19"/>
      <c r="K72" s="18" t="s">
        <v>497</v>
      </c>
      <c r="L72" s="19"/>
      <c r="M72" s="19"/>
      <c r="N72" s="21" t="s">
        <v>27</v>
      </c>
      <c r="O72" s="22"/>
      <c r="P72" s="22"/>
      <c r="Q72" s="19"/>
      <c r="R72" s="19"/>
      <c r="S72" s="22"/>
      <c r="T72" s="19"/>
      <c r="U72" s="22"/>
      <c r="V72" s="19"/>
      <c r="W72" s="22"/>
      <c r="X72" s="22"/>
      <c r="Y72" s="22"/>
      <c r="Z72" s="22"/>
      <c r="AA72" s="23"/>
      <c r="AB72" s="28"/>
      <c r="AC72" s="24"/>
      <c r="AD72" s="24"/>
    </row>
    <row r="73">
      <c r="A73" s="25"/>
      <c r="B73" s="17" t="s">
        <v>567</v>
      </c>
      <c r="C73" s="17">
        <v>9.852081425E9</v>
      </c>
      <c r="D73" s="19"/>
      <c r="E73" s="22"/>
      <c r="F73" s="19"/>
      <c r="G73" s="19"/>
      <c r="H73" s="19"/>
      <c r="I73" s="19"/>
      <c r="J73" s="19"/>
      <c r="K73" s="18" t="s">
        <v>497</v>
      </c>
      <c r="L73" s="19"/>
      <c r="M73" s="19"/>
      <c r="N73" s="21" t="s">
        <v>9</v>
      </c>
      <c r="O73" s="22"/>
      <c r="P73" s="22"/>
      <c r="Q73" s="19"/>
      <c r="R73" s="19"/>
      <c r="S73" s="22"/>
      <c r="T73" s="19"/>
      <c r="U73" s="22"/>
      <c r="V73" s="19"/>
      <c r="W73" s="22"/>
      <c r="X73" s="22"/>
      <c r="Y73" s="22"/>
      <c r="Z73" s="22"/>
      <c r="AA73" s="23"/>
      <c r="AB73" s="17" t="s">
        <v>568</v>
      </c>
      <c r="AC73" s="24"/>
      <c r="AD73" s="24"/>
    </row>
    <row r="74">
      <c r="A74" s="25"/>
      <c r="B74" s="17" t="s">
        <v>569</v>
      </c>
      <c r="C74" s="17">
        <v>8.084996655E9</v>
      </c>
      <c r="D74" s="19"/>
      <c r="E74" s="22"/>
      <c r="F74" s="19"/>
      <c r="G74" s="19"/>
      <c r="H74" s="19"/>
      <c r="I74" s="19"/>
      <c r="J74" s="19"/>
      <c r="K74" s="18" t="s">
        <v>497</v>
      </c>
      <c r="L74" s="19"/>
      <c r="M74" s="19"/>
      <c r="N74" s="21" t="s">
        <v>23</v>
      </c>
      <c r="O74" s="22"/>
      <c r="P74" s="22"/>
      <c r="Q74" s="19"/>
      <c r="R74" s="19"/>
      <c r="S74" s="22"/>
      <c r="T74" s="19"/>
      <c r="U74" s="22"/>
      <c r="V74" s="19"/>
      <c r="W74" s="22"/>
      <c r="X74" s="22"/>
      <c r="Y74" s="22"/>
      <c r="Z74" s="22"/>
      <c r="AA74" s="23"/>
      <c r="AB74" s="17" t="s">
        <v>570</v>
      </c>
      <c r="AC74" s="24"/>
      <c r="AD74" s="24"/>
    </row>
    <row r="75">
      <c r="A75" s="31"/>
      <c r="B75" s="17" t="s">
        <v>571</v>
      </c>
      <c r="C75" s="17">
        <v>8.969253849E9</v>
      </c>
      <c r="D75" s="26">
        <v>28.0</v>
      </c>
      <c r="E75" s="20" t="s">
        <v>367</v>
      </c>
      <c r="F75" s="26" t="s">
        <v>382</v>
      </c>
      <c r="G75" s="19"/>
      <c r="H75" s="26" t="s">
        <v>383</v>
      </c>
      <c r="I75" s="26" t="s">
        <v>572</v>
      </c>
      <c r="J75" s="19"/>
      <c r="K75" s="18" t="s">
        <v>497</v>
      </c>
      <c r="L75" s="26" t="s">
        <v>573</v>
      </c>
      <c r="M75" s="26" t="s">
        <v>574</v>
      </c>
      <c r="N75" s="21" t="s">
        <v>9</v>
      </c>
      <c r="O75" s="20" t="s">
        <v>4</v>
      </c>
      <c r="P75" s="20" t="s">
        <v>380</v>
      </c>
      <c r="Q75" s="19"/>
      <c r="R75" s="19"/>
      <c r="S75" s="20" t="s">
        <v>4</v>
      </c>
      <c r="T75" s="19"/>
      <c r="U75" s="20" t="s">
        <v>4</v>
      </c>
      <c r="V75" s="19"/>
      <c r="W75" s="20" t="s">
        <v>4</v>
      </c>
      <c r="X75" s="20" t="s">
        <v>4</v>
      </c>
      <c r="Y75" s="20" t="s">
        <v>4</v>
      </c>
      <c r="Z75" s="20" t="s">
        <v>4</v>
      </c>
      <c r="AA75" s="27" t="s">
        <v>391</v>
      </c>
      <c r="AB75" s="17" t="s">
        <v>504</v>
      </c>
      <c r="AC75" s="24"/>
      <c r="AD75" s="24"/>
    </row>
    <row r="76">
      <c r="A76" s="16" t="s">
        <v>496</v>
      </c>
      <c r="B76" s="36" t="s">
        <v>575</v>
      </c>
      <c r="K76" s="34"/>
      <c r="N76" s="34"/>
      <c r="AB76" s="33"/>
      <c r="AC76" s="24"/>
      <c r="AD76" s="24"/>
    </row>
    <row r="77">
      <c r="A77" s="25"/>
      <c r="K77" s="34"/>
      <c r="N77" s="34"/>
      <c r="AB77" s="33"/>
      <c r="AC77" s="24"/>
      <c r="AD77" s="24"/>
    </row>
    <row r="78">
      <c r="A78" s="25"/>
      <c r="B78" s="37" t="s">
        <v>576</v>
      </c>
      <c r="C78" s="17">
        <v>9.103990159E9</v>
      </c>
      <c r="D78" s="26">
        <v>42.0</v>
      </c>
      <c r="E78" s="20" t="s">
        <v>367</v>
      </c>
      <c r="F78" s="26" t="s">
        <v>577</v>
      </c>
      <c r="G78" s="26" t="s">
        <v>371</v>
      </c>
      <c r="H78" s="26" t="s">
        <v>383</v>
      </c>
      <c r="I78" s="26" t="s">
        <v>578</v>
      </c>
      <c r="J78" s="26" t="s">
        <v>508</v>
      </c>
      <c r="K78" s="18" t="s">
        <v>497</v>
      </c>
      <c r="L78" s="26" t="s">
        <v>508</v>
      </c>
      <c r="M78" s="26" t="s">
        <v>579</v>
      </c>
      <c r="N78" s="21" t="s">
        <v>9</v>
      </c>
      <c r="O78" s="20" t="s">
        <v>4</v>
      </c>
      <c r="P78" s="20" t="s">
        <v>4</v>
      </c>
      <c r="Q78" s="26" t="s">
        <v>580</v>
      </c>
      <c r="R78" s="26" t="s">
        <v>581</v>
      </c>
      <c r="S78" s="20" t="s">
        <v>4</v>
      </c>
      <c r="T78" s="26" t="s">
        <v>582</v>
      </c>
      <c r="U78" s="20" t="s">
        <v>4</v>
      </c>
      <c r="V78" s="26" t="s">
        <v>540</v>
      </c>
      <c r="W78" s="20" t="s">
        <v>4</v>
      </c>
      <c r="X78" s="20" t="s">
        <v>4</v>
      </c>
      <c r="Y78" s="20" t="s">
        <v>4</v>
      </c>
      <c r="Z78" s="20" t="s">
        <v>4</v>
      </c>
      <c r="AA78" s="27" t="s">
        <v>391</v>
      </c>
      <c r="AB78" s="17" t="s">
        <v>514</v>
      </c>
      <c r="AC78" s="24"/>
      <c r="AD78" s="24"/>
    </row>
    <row r="79">
      <c r="A79" s="25"/>
      <c r="B79" s="37" t="s">
        <v>583</v>
      </c>
      <c r="C79" s="17">
        <v>7.738043744E9</v>
      </c>
      <c r="D79" s="19"/>
      <c r="E79" s="22"/>
      <c r="F79" s="19"/>
      <c r="G79" s="19"/>
      <c r="H79" s="19"/>
      <c r="I79" s="19"/>
      <c r="J79" s="19"/>
      <c r="K79" s="18" t="s">
        <v>497</v>
      </c>
      <c r="L79" s="19"/>
      <c r="M79" s="19"/>
      <c r="N79" s="21" t="s">
        <v>23</v>
      </c>
      <c r="O79" s="22"/>
      <c r="P79" s="22"/>
      <c r="Q79" s="19"/>
      <c r="R79" s="19"/>
      <c r="S79" s="22"/>
      <c r="T79" s="19"/>
      <c r="U79" s="22"/>
      <c r="V79" s="19"/>
      <c r="W79" s="22"/>
      <c r="X79" s="22"/>
      <c r="Y79" s="22"/>
      <c r="Z79" s="22"/>
      <c r="AA79" s="23"/>
      <c r="AB79" s="17" t="s">
        <v>570</v>
      </c>
      <c r="AC79" s="24"/>
      <c r="AD79" s="24"/>
    </row>
    <row r="80">
      <c r="A80" s="25"/>
      <c r="B80" s="37" t="s">
        <v>584</v>
      </c>
      <c r="C80" s="17">
        <v>8.804210544E9</v>
      </c>
      <c r="D80" s="26">
        <v>24.0</v>
      </c>
      <c r="E80" s="20" t="s">
        <v>367</v>
      </c>
      <c r="F80" s="26" t="s">
        <v>585</v>
      </c>
      <c r="G80" s="26" t="s">
        <v>375</v>
      </c>
      <c r="H80" s="26" t="s">
        <v>383</v>
      </c>
      <c r="I80" s="26" t="s">
        <v>384</v>
      </c>
      <c r="J80" s="26" t="s">
        <v>508</v>
      </c>
      <c r="K80" s="18" t="s">
        <v>497</v>
      </c>
      <c r="L80" s="26" t="s">
        <v>508</v>
      </c>
      <c r="M80" s="26" t="s">
        <v>586</v>
      </c>
      <c r="N80" s="21" t="s">
        <v>9</v>
      </c>
      <c r="O80" s="20" t="s">
        <v>4</v>
      </c>
      <c r="P80" s="20" t="s">
        <v>4</v>
      </c>
      <c r="Q80" s="26" t="s">
        <v>580</v>
      </c>
      <c r="R80" s="26" t="s">
        <v>587</v>
      </c>
      <c r="S80" s="20" t="s">
        <v>4</v>
      </c>
      <c r="T80" s="26" t="s">
        <v>540</v>
      </c>
      <c r="U80" s="20" t="s">
        <v>4</v>
      </c>
      <c r="V80" s="26" t="s">
        <v>540</v>
      </c>
      <c r="W80" s="20" t="s">
        <v>4</v>
      </c>
      <c r="X80" s="20" t="s">
        <v>4</v>
      </c>
      <c r="Y80" s="20" t="s">
        <v>4</v>
      </c>
      <c r="Z80" s="20" t="s">
        <v>4</v>
      </c>
      <c r="AA80" s="27" t="s">
        <v>391</v>
      </c>
      <c r="AB80" s="17" t="s">
        <v>514</v>
      </c>
      <c r="AC80" s="24"/>
      <c r="AD80" s="24"/>
    </row>
    <row r="81">
      <c r="A81" s="25"/>
      <c r="B81" s="37" t="s">
        <v>588</v>
      </c>
      <c r="C81" s="17">
        <v>9.13505143E9</v>
      </c>
      <c r="D81" s="19"/>
      <c r="E81" s="22"/>
      <c r="F81" s="19"/>
      <c r="G81" s="19"/>
      <c r="H81" s="19"/>
      <c r="I81" s="19"/>
      <c r="J81" s="19"/>
      <c r="K81" s="18" t="s">
        <v>497</v>
      </c>
      <c r="L81" s="19"/>
      <c r="M81" s="19"/>
      <c r="N81" s="21" t="s">
        <v>54</v>
      </c>
      <c r="O81" s="22"/>
      <c r="P81" s="22"/>
      <c r="Q81" s="19"/>
      <c r="R81" s="19"/>
      <c r="S81" s="22"/>
      <c r="T81" s="19"/>
      <c r="U81" s="22"/>
      <c r="V81" s="19"/>
      <c r="W81" s="22"/>
      <c r="X81" s="22"/>
      <c r="Y81" s="22"/>
      <c r="Z81" s="22"/>
      <c r="AA81" s="23"/>
      <c r="AB81" s="28"/>
      <c r="AC81" s="24"/>
      <c r="AD81" s="24"/>
    </row>
    <row r="82">
      <c r="A82" s="25"/>
      <c r="B82" s="37" t="s">
        <v>589</v>
      </c>
      <c r="C82" s="17">
        <v>7.479995605E9</v>
      </c>
      <c r="D82" s="19"/>
      <c r="E82" s="22"/>
      <c r="F82" s="19"/>
      <c r="G82" s="19"/>
      <c r="H82" s="19"/>
      <c r="I82" s="19"/>
      <c r="J82" s="19"/>
      <c r="K82" s="18" t="s">
        <v>497</v>
      </c>
      <c r="L82" s="19"/>
      <c r="M82" s="19"/>
      <c r="N82" s="21" t="s">
        <v>23</v>
      </c>
      <c r="O82" s="22"/>
      <c r="P82" s="22"/>
      <c r="Q82" s="19"/>
      <c r="R82" s="19"/>
      <c r="S82" s="22"/>
      <c r="T82" s="19"/>
      <c r="U82" s="22"/>
      <c r="V82" s="19"/>
      <c r="W82" s="22"/>
      <c r="X82" s="22"/>
      <c r="Y82" s="22"/>
      <c r="Z82" s="22"/>
      <c r="AA82" s="23"/>
      <c r="AB82" s="17" t="s">
        <v>570</v>
      </c>
      <c r="AC82" s="24"/>
      <c r="AD82" s="24"/>
    </row>
    <row r="83">
      <c r="A83" s="25"/>
      <c r="B83" s="37" t="s">
        <v>590</v>
      </c>
      <c r="C83" s="17">
        <v>9.9342563E9</v>
      </c>
      <c r="D83" s="26">
        <v>22.0</v>
      </c>
      <c r="E83" s="20" t="s">
        <v>367</v>
      </c>
      <c r="F83" s="26" t="s">
        <v>429</v>
      </c>
      <c r="G83" s="19"/>
      <c r="H83" s="26" t="s">
        <v>591</v>
      </c>
      <c r="I83" s="26" t="s">
        <v>544</v>
      </c>
      <c r="J83" s="26" t="s">
        <v>497</v>
      </c>
      <c r="K83" s="18" t="s">
        <v>497</v>
      </c>
      <c r="L83" s="26" t="s">
        <v>573</v>
      </c>
      <c r="M83" s="26" t="s">
        <v>574</v>
      </c>
      <c r="N83" s="21" t="s">
        <v>9</v>
      </c>
      <c r="O83" s="20" t="s">
        <v>4</v>
      </c>
      <c r="P83" s="20" t="s">
        <v>4</v>
      </c>
      <c r="Q83" s="19"/>
      <c r="R83" s="19"/>
      <c r="S83" s="20" t="s">
        <v>4</v>
      </c>
      <c r="T83" s="19"/>
      <c r="U83" s="20" t="s">
        <v>4</v>
      </c>
      <c r="V83" s="38"/>
      <c r="W83" s="20" t="s">
        <v>4</v>
      </c>
      <c r="X83" s="20" t="s">
        <v>4</v>
      </c>
      <c r="Y83" s="20" t="s">
        <v>4</v>
      </c>
      <c r="Z83" s="20" t="s">
        <v>4</v>
      </c>
      <c r="AA83" s="27" t="s">
        <v>391</v>
      </c>
      <c r="AB83" s="17" t="s">
        <v>504</v>
      </c>
      <c r="AC83" s="24"/>
      <c r="AD83" s="24"/>
    </row>
    <row r="84">
      <c r="A84" s="25"/>
      <c r="B84" s="37" t="s">
        <v>567</v>
      </c>
      <c r="C84" s="17">
        <v>8.521122172E9</v>
      </c>
      <c r="D84" s="19"/>
      <c r="E84" s="22"/>
      <c r="F84" s="19"/>
      <c r="G84" s="19"/>
      <c r="H84" s="19"/>
      <c r="I84" s="19"/>
      <c r="J84" s="19"/>
      <c r="K84" s="18" t="s">
        <v>497</v>
      </c>
      <c r="L84" s="19"/>
      <c r="M84" s="19"/>
      <c r="N84" s="21" t="s">
        <v>27</v>
      </c>
      <c r="O84" s="22"/>
      <c r="P84" s="22"/>
      <c r="Q84" s="19"/>
      <c r="R84" s="19"/>
      <c r="S84" s="22"/>
      <c r="T84" s="19"/>
      <c r="U84" s="22"/>
      <c r="V84" s="26"/>
      <c r="W84" s="22"/>
      <c r="X84" s="22"/>
      <c r="Y84" s="22"/>
      <c r="Z84" s="22"/>
      <c r="AA84" s="23"/>
      <c r="AB84" s="17" t="s">
        <v>592</v>
      </c>
      <c r="AC84" s="24"/>
      <c r="AD84" s="24"/>
    </row>
    <row r="85">
      <c r="A85" s="25"/>
      <c r="B85" s="37" t="s">
        <v>593</v>
      </c>
      <c r="C85" s="17">
        <v>9.53469605E9</v>
      </c>
      <c r="D85" s="26">
        <v>37.0</v>
      </c>
      <c r="E85" s="20" t="s">
        <v>367</v>
      </c>
      <c r="F85" s="26" t="s">
        <v>429</v>
      </c>
      <c r="G85" s="19"/>
      <c r="H85" s="26" t="s">
        <v>418</v>
      </c>
      <c r="I85" s="19"/>
      <c r="J85" s="19"/>
      <c r="K85" s="18" t="s">
        <v>497</v>
      </c>
      <c r="L85" s="26" t="s">
        <v>545</v>
      </c>
      <c r="M85" s="26" t="s">
        <v>594</v>
      </c>
      <c r="N85" s="21" t="s">
        <v>9</v>
      </c>
      <c r="O85" s="20" t="s">
        <v>4</v>
      </c>
      <c r="P85" s="20" t="s">
        <v>380</v>
      </c>
      <c r="Q85" s="19"/>
      <c r="R85" s="19"/>
      <c r="S85" s="20" t="s">
        <v>4</v>
      </c>
      <c r="T85" s="19"/>
      <c r="U85" s="20" t="s">
        <v>4</v>
      </c>
      <c r="V85" s="26" t="s">
        <v>595</v>
      </c>
      <c r="W85" s="20" t="s">
        <v>4</v>
      </c>
      <c r="X85" s="20" t="s">
        <v>4</v>
      </c>
      <c r="Y85" s="20" t="s">
        <v>4</v>
      </c>
      <c r="Z85" s="20" t="s">
        <v>4</v>
      </c>
      <c r="AA85" s="27" t="s">
        <v>391</v>
      </c>
      <c r="AB85" s="17" t="s">
        <v>504</v>
      </c>
      <c r="AC85" s="24"/>
      <c r="AD85" s="24"/>
    </row>
    <row r="86">
      <c r="A86" s="25"/>
      <c r="B86" s="37" t="s">
        <v>596</v>
      </c>
      <c r="C86" s="17">
        <v>8.929720779E9</v>
      </c>
      <c r="D86" s="19"/>
      <c r="E86" s="22"/>
      <c r="F86" s="19"/>
      <c r="G86" s="19"/>
      <c r="H86" s="19"/>
      <c r="I86" s="19"/>
      <c r="J86" s="19"/>
      <c r="K86" s="18" t="s">
        <v>497</v>
      </c>
      <c r="L86" s="19"/>
      <c r="M86" s="19"/>
      <c r="N86" s="21" t="s">
        <v>9</v>
      </c>
      <c r="O86" s="22"/>
      <c r="P86" s="22"/>
      <c r="Q86" s="19"/>
      <c r="R86" s="19"/>
      <c r="S86" s="22"/>
      <c r="T86" s="19"/>
      <c r="U86" s="22"/>
      <c r="V86" s="26"/>
      <c r="W86" s="22"/>
      <c r="X86" s="22"/>
      <c r="Y86" s="22"/>
      <c r="Z86" s="22"/>
      <c r="AA86" s="23"/>
      <c r="AB86" s="17" t="s">
        <v>597</v>
      </c>
      <c r="AC86" s="24"/>
      <c r="AD86" s="24"/>
    </row>
    <row r="87">
      <c r="A87" s="25"/>
      <c r="B87" s="37" t="s">
        <v>598</v>
      </c>
      <c r="C87" s="17">
        <v>9.525720217E9</v>
      </c>
      <c r="D87" s="19"/>
      <c r="E87" s="22"/>
      <c r="F87" s="19"/>
      <c r="G87" s="19"/>
      <c r="H87" s="19"/>
      <c r="I87" s="19"/>
      <c r="J87" s="19"/>
      <c r="K87" s="18" t="s">
        <v>497</v>
      </c>
      <c r="L87" s="19"/>
      <c r="M87" s="19"/>
      <c r="N87" s="21" t="s">
        <v>27</v>
      </c>
      <c r="O87" s="22"/>
      <c r="P87" s="22"/>
      <c r="Q87" s="19"/>
      <c r="R87" s="19"/>
      <c r="S87" s="22"/>
      <c r="T87" s="19"/>
      <c r="U87" s="22"/>
      <c r="V87" s="26"/>
      <c r="W87" s="22"/>
      <c r="X87" s="22"/>
      <c r="Y87" s="22"/>
      <c r="Z87" s="22"/>
      <c r="AA87" s="23"/>
      <c r="AB87" s="17" t="s">
        <v>592</v>
      </c>
      <c r="AC87" s="24"/>
      <c r="AD87" s="24"/>
    </row>
    <row r="88">
      <c r="A88" s="25"/>
      <c r="B88" s="37" t="s">
        <v>599</v>
      </c>
      <c r="C88" s="17">
        <v>7.247446652E9</v>
      </c>
      <c r="D88" s="26">
        <v>25.0</v>
      </c>
      <c r="E88" s="20" t="s">
        <v>367</v>
      </c>
      <c r="F88" s="26" t="s">
        <v>600</v>
      </c>
      <c r="G88" s="26" t="s">
        <v>601</v>
      </c>
      <c r="H88" s="26" t="s">
        <v>458</v>
      </c>
      <c r="I88" s="26" t="s">
        <v>383</v>
      </c>
      <c r="J88" s="19"/>
      <c r="K88" s="18" t="s">
        <v>497</v>
      </c>
      <c r="L88" s="19"/>
      <c r="M88" s="19"/>
      <c r="N88" s="21" t="s">
        <v>54</v>
      </c>
      <c r="O88" s="22"/>
      <c r="P88" s="22"/>
      <c r="Q88" s="19"/>
      <c r="R88" s="19"/>
      <c r="S88" s="22"/>
      <c r="T88" s="19"/>
      <c r="U88" s="22"/>
      <c r="V88" s="26"/>
      <c r="W88" s="22"/>
      <c r="X88" s="22"/>
      <c r="Y88" s="22"/>
      <c r="Z88" s="22"/>
      <c r="AA88" s="23"/>
      <c r="AB88" s="17" t="s">
        <v>602</v>
      </c>
      <c r="AC88" s="24"/>
      <c r="AD88" s="24"/>
    </row>
    <row r="89">
      <c r="A89" s="25"/>
      <c r="B89" s="37" t="s">
        <v>603</v>
      </c>
      <c r="C89" s="17">
        <v>7.781044868E9</v>
      </c>
      <c r="D89" s="19"/>
      <c r="E89" s="22"/>
      <c r="F89" s="19"/>
      <c r="G89" s="19"/>
      <c r="H89" s="19"/>
      <c r="I89" s="19"/>
      <c r="J89" s="19"/>
      <c r="K89" s="18" t="s">
        <v>497</v>
      </c>
      <c r="L89" s="19"/>
      <c r="M89" s="19"/>
      <c r="N89" s="21" t="s">
        <v>30</v>
      </c>
      <c r="O89" s="22"/>
      <c r="P89" s="22"/>
      <c r="Q89" s="19"/>
      <c r="R89" s="19"/>
      <c r="S89" s="22"/>
      <c r="T89" s="19"/>
      <c r="U89" s="22"/>
      <c r="V89" s="26"/>
      <c r="W89" s="22"/>
      <c r="X89" s="22"/>
      <c r="Y89" s="22"/>
      <c r="Z89" s="22"/>
      <c r="AA89" s="23"/>
      <c r="AB89" s="28"/>
      <c r="AC89" s="24"/>
      <c r="AD89" s="24"/>
    </row>
    <row r="90">
      <c r="A90" s="31"/>
      <c r="B90" s="37" t="s">
        <v>604</v>
      </c>
      <c r="C90" s="17">
        <v>9.792522955E9</v>
      </c>
      <c r="D90" s="26">
        <v>35.0</v>
      </c>
      <c r="E90" s="20" t="s">
        <v>367</v>
      </c>
      <c r="F90" s="26" t="s">
        <v>462</v>
      </c>
      <c r="G90" s="19"/>
      <c r="H90" s="26" t="s">
        <v>458</v>
      </c>
      <c r="I90" s="19"/>
      <c r="J90" s="19"/>
      <c r="K90" s="18" t="s">
        <v>497</v>
      </c>
      <c r="L90" s="26" t="s">
        <v>524</v>
      </c>
      <c r="M90" s="26" t="s">
        <v>605</v>
      </c>
      <c r="N90" s="21" t="s">
        <v>9</v>
      </c>
      <c r="O90" s="20" t="s">
        <v>380</v>
      </c>
      <c r="P90" s="20" t="s">
        <v>380</v>
      </c>
      <c r="Q90" s="19"/>
      <c r="R90" s="19"/>
      <c r="S90" s="20" t="s">
        <v>4</v>
      </c>
      <c r="T90" s="19"/>
      <c r="U90" s="20" t="s">
        <v>4</v>
      </c>
      <c r="V90" s="26"/>
      <c r="W90" s="20" t="s">
        <v>4</v>
      </c>
      <c r="X90" s="20" t="s">
        <v>4</v>
      </c>
      <c r="Y90" s="20" t="s">
        <v>4</v>
      </c>
      <c r="Z90" s="20" t="s">
        <v>4</v>
      </c>
      <c r="AA90" s="27" t="s">
        <v>391</v>
      </c>
      <c r="AB90" s="17" t="s">
        <v>504</v>
      </c>
      <c r="AC90" s="24"/>
      <c r="AD90" s="24"/>
    </row>
    <row r="91">
      <c r="A91" s="32"/>
      <c r="B91" s="33"/>
      <c r="C91" s="34"/>
      <c r="K91" s="34"/>
      <c r="N91" s="34"/>
      <c r="V91" s="39"/>
      <c r="AB91" s="33"/>
      <c r="AC91" s="24"/>
      <c r="AD91" s="24"/>
    </row>
    <row r="92">
      <c r="A92" s="40" t="s">
        <v>606</v>
      </c>
      <c r="B92" s="17" t="s">
        <v>373</v>
      </c>
      <c r="C92" s="17">
        <v>7.091332065E9</v>
      </c>
      <c r="D92" s="26">
        <v>31.0</v>
      </c>
      <c r="E92" s="20" t="s">
        <v>367</v>
      </c>
      <c r="F92" s="26" t="s">
        <v>429</v>
      </c>
      <c r="G92" s="19"/>
      <c r="H92" s="26"/>
      <c r="I92" s="26" t="s">
        <v>607</v>
      </c>
      <c r="J92" s="19"/>
      <c r="K92" s="18" t="s">
        <v>608</v>
      </c>
      <c r="L92" s="26" t="s">
        <v>609</v>
      </c>
      <c r="M92" s="26" t="s">
        <v>610</v>
      </c>
      <c r="N92" s="21" t="s">
        <v>9</v>
      </c>
      <c r="O92" s="20" t="s">
        <v>4</v>
      </c>
      <c r="P92" s="20" t="s">
        <v>4</v>
      </c>
      <c r="Q92" s="19"/>
      <c r="R92" s="19"/>
      <c r="S92" s="20" t="s">
        <v>4</v>
      </c>
      <c r="T92" s="26" t="s">
        <v>611</v>
      </c>
      <c r="U92" s="20" t="s">
        <v>4</v>
      </c>
      <c r="V92" s="26"/>
      <c r="W92" s="26" t="s">
        <v>612</v>
      </c>
      <c r="X92" s="20" t="s">
        <v>4</v>
      </c>
      <c r="Y92" s="20" t="s">
        <v>4</v>
      </c>
      <c r="Z92" s="20" t="s">
        <v>4</v>
      </c>
      <c r="AA92" s="26" t="s">
        <v>391</v>
      </c>
      <c r="AB92" s="28"/>
      <c r="AC92" s="24"/>
      <c r="AD92" s="24"/>
    </row>
    <row r="93">
      <c r="A93" s="25"/>
      <c r="B93" s="17" t="s">
        <v>613</v>
      </c>
      <c r="C93" s="17">
        <v>7.488751378E9</v>
      </c>
      <c r="D93" s="26">
        <v>31.0</v>
      </c>
      <c r="E93" s="20" t="s">
        <v>367</v>
      </c>
      <c r="F93" s="26" t="s">
        <v>441</v>
      </c>
      <c r="G93" s="26" t="s">
        <v>375</v>
      </c>
      <c r="H93" s="26" t="s">
        <v>383</v>
      </c>
      <c r="I93" s="26" t="s">
        <v>377</v>
      </c>
      <c r="J93" s="26" t="s">
        <v>614</v>
      </c>
      <c r="K93" s="18" t="s">
        <v>608</v>
      </c>
      <c r="L93" s="26" t="s">
        <v>614</v>
      </c>
      <c r="M93" s="26" t="s">
        <v>615</v>
      </c>
      <c r="N93" s="21" t="s">
        <v>9</v>
      </c>
      <c r="O93" s="20" t="s">
        <v>4</v>
      </c>
      <c r="P93" s="20" t="s">
        <v>4</v>
      </c>
      <c r="Q93" s="19"/>
      <c r="R93" s="19"/>
      <c r="S93" s="20" t="s">
        <v>4</v>
      </c>
      <c r="T93" s="19"/>
      <c r="U93" s="20" t="s">
        <v>4</v>
      </c>
      <c r="V93" s="26"/>
      <c r="W93" s="26" t="s">
        <v>616</v>
      </c>
      <c r="X93" s="20" t="s">
        <v>4</v>
      </c>
      <c r="Y93" s="20" t="s">
        <v>4</v>
      </c>
      <c r="Z93" s="20" t="s">
        <v>4</v>
      </c>
      <c r="AA93" s="26" t="s">
        <v>391</v>
      </c>
      <c r="AB93" s="17"/>
      <c r="AC93" s="24"/>
      <c r="AD93" s="24"/>
    </row>
    <row r="94">
      <c r="A94" s="25"/>
      <c r="B94" s="17" t="s">
        <v>173</v>
      </c>
      <c r="C94" s="17">
        <v>8.873613785E9</v>
      </c>
      <c r="D94" s="26">
        <v>25.0</v>
      </c>
      <c r="E94" s="20" t="s">
        <v>367</v>
      </c>
      <c r="F94" s="26" t="s">
        <v>554</v>
      </c>
      <c r="G94" s="19"/>
      <c r="H94" s="19"/>
      <c r="I94" s="26" t="s">
        <v>544</v>
      </c>
      <c r="J94" s="19"/>
      <c r="K94" s="18" t="s">
        <v>608</v>
      </c>
      <c r="L94" s="26" t="s">
        <v>609</v>
      </c>
      <c r="M94" s="26" t="s">
        <v>617</v>
      </c>
      <c r="N94" s="21" t="s">
        <v>9</v>
      </c>
      <c r="O94" s="20" t="s">
        <v>4</v>
      </c>
      <c r="P94" s="20" t="s">
        <v>380</v>
      </c>
      <c r="Q94" s="19"/>
      <c r="R94" s="19"/>
      <c r="S94" s="20" t="s">
        <v>4</v>
      </c>
      <c r="T94" s="26" t="s">
        <v>561</v>
      </c>
      <c r="U94" s="20" t="s">
        <v>4</v>
      </c>
      <c r="V94" s="26" t="s">
        <v>618</v>
      </c>
      <c r="W94" s="26" t="s">
        <v>616</v>
      </c>
      <c r="X94" s="20" t="s">
        <v>4</v>
      </c>
      <c r="Y94" s="20" t="s">
        <v>4</v>
      </c>
      <c r="Z94" s="20" t="s">
        <v>4</v>
      </c>
      <c r="AA94" s="26" t="s">
        <v>391</v>
      </c>
      <c r="AB94" s="28"/>
      <c r="AC94" s="24"/>
      <c r="AD94" s="24"/>
    </row>
    <row r="95">
      <c r="A95" s="25"/>
      <c r="B95" s="17" t="s">
        <v>619</v>
      </c>
      <c r="C95" s="17">
        <v>9.631229048E9</v>
      </c>
      <c r="D95" s="26">
        <v>65.0</v>
      </c>
      <c r="E95" s="20" t="s">
        <v>367</v>
      </c>
      <c r="F95" s="26" t="s">
        <v>577</v>
      </c>
      <c r="G95" s="26" t="s">
        <v>371</v>
      </c>
      <c r="H95" s="26" t="s">
        <v>383</v>
      </c>
      <c r="I95" s="26" t="s">
        <v>383</v>
      </c>
      <c r="J95" s="26" t="s">
        <v>620</v>
      </c>
      <c r="K95" s="18" t="s">
        <v>608</v>
      </c>
      <c r="L95" s="26" t="s">
        <v>621</v>
      </c>
      <c r="M95" s="26" t="s">
        <v>622</v>
      </c>
      <c r="N95" s="21" t="s">
        <v>9</v>
      </c>
      <c r="O95" s="20" t="s">
        <v>4</v>
      </c>
      <c r="P95" s="20" t="s">
        <v>4</v>
      </c>
      <c r="Q95" s="26" t="s">
        <v>580</v>
      </c>
      <c r="R95" s="26" t="s">
        <v>587</v>
      </c>
      <c r="S95" s="20" t="s">
        <v>4</v>
      </c>
      <c r="T95" s="26" t="s">
        <v>540</v>
      </c>
      <c r="U95" s="20" t="s">
        <v>4</v>
      </c>
      <c r="V95" s="26" t="s">
        <v>623</v>
      </c>
      <c r="W95" s="26" t="s">
        <v>616</v>
      </c>
      <c r="X95" s="20" t="s">
        <v>4</v>
      </c>
      <c r="Y95" s="20" t="s">
        <v>4</v>
      </c>
      <c r="Z95" s="20" t="s">
        <v>4</v>
      </c>
      <c r="AA95" s="26" t="s">
        <v>391</v>
      </c>
      <c r="AB95" s="17"/>
      <c r="AC95" s="24"/>
      <c r="AD95" s="24"/>
    </row>
    <row r="96">
      <c r="A96" s="25"/>
      <c r="B96" s="17" t="s">
        <v>624</v>
      </c>
      <c r="C96" s="17">
        <v>7.033959812E9</v>
      </c>
      <c r="D96" s="26">
        <v>23.0</v>
      </c>
      <c r="E96" s="20" t="s">
        <v>367</v>
      </c>
      <c r="F96" s="26" t="s">
        <v>382</v>
      </c>
      <c r="G96" s="26" t="s">
        <v>625</v>
      </c>
      <c r="H96" s="26" t="s">
        <v>383</v>
      </c>
      <c r="I96" s="26" t="s">
        <v>626</v>
      </c>
      <c r="J96" s="26" t="s">
        <v>627</v>
      </c>
      <c r="K96" s="18" t="s">
        <v>608</v>
      </c>
      <c r="L96" s="26" t="s">
        <v>627</v>
      </c>
      <c r="M96" s="26" t="s">
        <v>628</v>
      </c>
      <c r="N96" s="21" t="s">
        <v>9</v>
      </c>
      <c r="O96" s="20" t="s">
        <v>4</v>
      </c>
      <c r="P96" s="20" t="s">
        <v>4</v>
      </c>
      <c r="Q96" s="26" t="s">
        <v>580</v>
      </c>
      <c r="R96" s="19"/>
      <c r="S96" s="20" t="s">
        <v>380</v>
      </c>
      <c r="T96" s="19"/>
      <c r="U96" s="20" t="s">
        <v>380</v>
      </c>
      <c r="V96" s="26"/>
      <c r="W96" s="26" t="s">
        <v>616</v>
      </c>
      <c r="X96" s="20" t="s">
        <v>4</v>
      </c>
      <c r="Y96" s="20" t="s">
        <v>380</v>
      </c>
      <c r="Z96" s="20" t="s">
        <v>4</v>
      </c>
      <c r="AA96" s="26" t="s">
        <v>391</v>
      </c>
      <c r="AB96" s="17"/>
      <c r="AC96" s="24"/>
      <c r="AD96" s="24"/>
    </row>
    <row r="97">
      <c r="A97" s="25"/>
      <c r="B97" s="17" t="s">
        <v>58</v>
      </c>
      <c r="C97" s="17">
        <v>7.543966608E9</v>
      </c>
      <c r="D97" s="26">
        <v>25.0</v>
      </c>
      <c r="E97" s="20" t="s">
        <v>367</v>
      </c>
      <c r="F97" s="19"/>
      <c r="G97" s="19"/>
      <c r="H97" s="19"/>
      <c r="I97" s="19"/>
      <c r="J97" s="19"/>
      <c r="K97" s="18" t="s">
        <v>608</v>
      </c>
      <c r="L97" s="19"/>
      <c r="M97" s="19"/>
      <c r="N97" s="21" t="s">
        <v>13</v>
      </c>
      <c r="O97" s="22"/>
      <c r="P97" s="22"/>
      <c r="Q97" s="19"/>
      <c r="R97" s="19"/>
      <c r="S97" s="22"/>
      <c r="T97" s="19"/>
      <c r="U97" s="22"/>
      <c r="V97" s="19"/>
      <c r="W97" s="19"/>
      <c r="X97" s="22"/>
      <c r="Y97" s="22"/>
      <c r="Z97" s="22"/>
      <c r="AA97" s="19"/>
      <c r="AB97" s="28"/>
      <c r="AC97" s="24"/>
      <c r="AD97" s="24"/>
    </row>
    <row r="98">
      <c r="A98" s="25"/>
      <c r="B98" s="17" t="s">
        <v>629</v>
      </c>
      <c r="C98" s="17">
        <v>8.757752901E9</v>
      </c>
      <c r="D98" s="26">
        <v>24.0</v>
      </c>
      <c r="E98" s="20" t="s">
        <v>367</v>
      </c>
      <c r="F98" s="26" t="s">
        <v>600</v>
      </c>
      <c r="G98" s="19"/>
      <c r="H98" s="19"/>
      <c r="I98" s="26" t="s">
        <v>384</v>
      </c>
      <c r="J98" s="19"/>
      <c r="K98" s="18" t="s">
        <v>608</v>
      </c>
      <c r="L98" s="26" t="s">
        <v>609</v>
      </c>
      <c r="M98" s="26" t="s">
        <v>610</v>
      </c>
      <c r="N98" s="21" t="s">
        <v>9</v>
      </c>
      <c r="O98" s="20" t="s">
        <v>4</v>
      </c>
      <c r="P98" s="20" t="s">
        <v>380</v>
      </c>
      <c r="Q98" s="19"/>
      <c r="R98" s="19"/>
      <c r="S98" s="20" t="s">
        <v>4</v>
      </c>
      <c r="T98" s="26" t="s">
        <v>630</v>
      </c>
      <c r="U98" s="20" t="s">
        <v>380</v>
      </c>
      <c r="V98" s="19"/>
      <c r="W98" s="26" t="s">
        <v>616</v>
      </c>
      <c r="X98" s="20" t="s">
        <v>4</v>
      </c>
      <c r="Y98" s="20" t="s">
        <v>4</v>
      </c>
      <c r="Z98" s="20" t="s">
        <v>4</v>
      </c>
      <c r="AA98" s="26" t="s">
        <v>391</v>
      </c>
      <c r="AB98" s="28"/>
      <c r="AC98" s="24"/>
      <c r="AD98" s="24"/>
    </row>
    <row r="99">
      <c r="A99" s="25"/>
      <c r="B99" s="17" t="s">
        <v>49</v>
      </c>
      <c r="C99" s="17">
        <v>8.340511206E9</v>
      </c>
      <c r="D99" s="19"/>
      <c r="E99" s="22"/>
      <c r="F99" s="19"/>
      <c r="G99" s="19"/>
      <c r="H99" s="19"/>
      <c r="I99" s="19"/>
      <c r="J99" s="19"/>
      <c r="K99" s="18" t="s">
        <v>608</v>
      </c>
      <c r="L99" s="19"/>
      <c r="M99" s="19"/>
      <c r="N99" s="21" t="s">
        <v>27</v>
      </c>
      <c r="O99" s="22"/>
      <c r="P99" s="22"/>
      <c r="Q99" s="19"/>
      <c r="R99" s="19"/>
      <c r="S99" s="22"/>
      <c r="T99" s="19"/>
      <c r="U99" s="22"/>
      <c r="V99" s="19"/>
      <c r="W99" s="19"/>
      <c r="X99" s="22"/>
      <c r="Y99" s="20"/>
      <c r="Z99" s="22"/>
      <c r="AA99" s="19"/>
      <c r="AB99" s="17"/>
      <c r="AC99" s="24"/>
      <c r="AD99" s="24"/>
    </row>
    <row r="100">
      <c r="A100" s="25"/>
      <c r="B100" s="17" t="s">
        <v>631</v>
      </c>
      <c r="C100" s="17">
        <v>7.484042954E9</v>
      </c>
      <c r="D100" s="26">
        <v>47.0</v>
      </c>
      <c r="E100" s="22"/>
      <c r="F100" s="26" t="s">
        <v>429</v>
      </c>
      <c r="G100" s="19"/>
      <c r="H100" s="19"/>
      <c r="I100" s="26" t="s">
        <v>632</v>
      </c>
      <c r="J100" s="19"/>
      <c r="K100" s="18" t="s">
        <v>608</v>
      </c>
      <c r="L100" s="26" t="s">
        <v>609</v>
      </c>
      <c r="M100" s="26" t="s">
        <v>610</v>
      </c>
      <c r="N100" s="21" t="s">
        <v>9</v>
      </c>
      <c r="O100" s="20" t="s">
        <v>4</v>
      </c>
      <c r="P100" s="22"/>
      <c r="Q100" s="19"/>
      <c r="R100" s="19"/>
      <c r="S100" s="20" t="s">
        <v>380</v>
      </c>
      <c r="T100" s="19"/>
      <c r="U100" s="20" t="s">
        <v>4</v>
      </c>
      <c r="V100" s="26" t="s">
        <v>633</v>
      </c>
      <c r="W100" s="26" t="s">
        <v>612</v>
      </c>
      <c r="X100" s="20" t="s">
        <v>4</v>
      </c>
      <c r="Y100" s="20" t="s">
        <v>4</v>
      </c>
      <c r="Z100" s="20" t="s">
        <v>4</v>
      </c>
      <c r="AA100" s="26" t="s">
        <v>391</v>
      </c>
      <c r="AB100" s="28"/>
      <c r="AC100" s="24"/>
      <c r="AD100" s="24"/>
    </row>
    <row r="101">
      <c r="A101" s="25"/>
      <c r="B101" s="17" t="s">
        <v>634</v>
      </c>
      <c r="C101" s="17">
        <v>9.835600213E9</v>
      </c>
      <c r="D101" s="26">
        <v>34.0</v>
      </c>
      <c r="E101" s="20" t="s">
        <v>405</v>
      </c>
      <c r="F101" s="26" t="s">
        <v>429</v>
      </c>
      <c r="G101" s="26" t="s">
        <v>371</v>
      </c>
      <c r="H101" s="26" t="s">
        <v>383</v>
      </c>
      <c r="I101" s="26" t="s">
        <v>384</v>
      </c>
      <c r="J101" s="26" t="s">
        <v>627</v>
      </c>
      <c r="K101" s="18" t="s">
        <v>608</v>
      </c>
      <c r="L101" s="26" t="s">
        <v>609</v>
      </c>
      <c r="M101" s="26" t="s">
        <v>610</v>
      </c>
      <c r="N101" s="21" t="s">
        <v>9</v>
      </c>
      <c r="O101" s="20" t="s">
        <v>4</v>
      </c>
      <c r="P101" s="20" t="s">
        <v>380</v>
      </c>
      <c r="Q101" s="19"/>
      <c r="R101" s="19"/>
      <c r="S101" s="20" t="s">
        <v>380</v>
      </c>
      <c r="T101" s="19"/>
      <c r="U101" s="20" t="s">
        <v>380</v>
      </c>
      <c r="V101" s="19"/>
      <c r="W101" s="26" t="s">
        <v>616</v>
      </c>
      <c r="X101" s="20" t="s">
        <v>4</v>
      </c>
      <c r="Y101" s="20" t="s">
        <v>380</v>
      </c>
      <c r="Z101" s="20" t="s">
        <v>380</v>
      </c>
      <c r="AA101" s="26" t="s">
        <v>391</v>
      </c>
      <c r="AB101" s="17"/>
      <c r="AC101" s="24"/>
      <c r="AD101" s="24"/>
    </row>
    <row r="102">
      <c r="A102" s="25"/>
      <c r="B102" s="17" t="s">
        <v>635</v>
      </c>
      <c r="C102" s="17">
        <v>9.504143372E9</v>
      </c>
      <c r="D102" s="26">
        <v>35.0</v>
      </c>
      <c r="E102" s="20" t="s">
        <v>405</v>
      </c>
      <c r="F102" s="26" t="s">
        <v>636</v>
      </c>
      <c r="G102" s="26" t="s">
        <v>375</v>
      </c>
      <c r="H102" s="26" t="s">
        <v>637</v>
      </c>
      <c r="I102" s="26" t="s">
        <v>638</v>
      </c>
      <c r="J102" s="26" t="s">
        <v>639</v>
      </c>
      <c r="K102" s="18" t="s">
        <v>608</v>
      </c>
      <c r="L102" s="26" t="s">
        <v>640</v>
      </c>
      <c r="M102" s="26" t="s">
        <v>641</v>
      </c>
      <c r="N102" s="21" t="s">
        <v>9</v>
      </c>
      <c r="O102" s="20" t="s">
        <v>4</v>
      </c>
      <c r="P102" s="20" t="s">
        <v>4</v>
      </c>
      <c r="Q102" s="19"/>
      <c r="R102" s="19"/>
      <c r="S102" s="20" t="s">
        <v>4</v>
      </c>
      <c r="T102" s="19"/>
      <c r="U102" s="20" t="s">
        <v>4</v>
      </c>
      <c r="V102" s="26" t="s">
        <v>642</v>
      </c>
      <c r="W102" s="26" t="s">
        <v>616</v>
      </c>
      <c r="X102" s="20" t="s">
        <v>4</v>
      </c>
      <c r="Y102" s="20" t="s">
        <v>380</v>
      </c>
      <c r="Z102" s="20" t="s">
        <v>4</v>
      </c>
      <c r="AA102" s="26" t="s">
        <v>391</v>
      </c>
      <c r="AB102" s="28"/>
      <c r="AC102" s="24"/>
      <c r="AD102" s="24"/>
    </row>
    <row r="103">
      <c r="A103" s="25"/>
      <c r="B103" s="17" t="s">
        <v>643</v>
      </c>
      <c r="C103" s="17">
        <v>6.206365883E9</v>
      </c>
      <c r="D103" s="26">
        <v>21.0</v>
      </c>
      <c r="E103" s="20" t="s">
        <v>367</v>
      </c>
      <c r="F103" s="26" t="s">
        <v>441</v>
      </c>
      <c r="G103" s="26" t="s">
        <v>375</v>
      </c>
      <c r="H103" s="26" t="s">
        <v>407</v>
      </c>
      <c r="I103" s="26" t="s">
        <v>544</v>
      </c>
      <c r="J103" s="26" t="s">
        <v>639</v>
      </c>
      <c r="K103" s="18" t="s">
        <v>608</v>
      </c>
      <c r="L103" s="26" t="s">
        <v>644</v>
      </c>
      <c r="M103" s="26" t="s">
        <v>645</v>
      </c>
      <c r="N103" s="21" t="s">
        <v>9</v>
      </c>
      <c r="O103" s="20" t="s">
        <v>4</v>
      </c>
      <c r="P103" s="20" t="s">
        <v>380</v>
      </c>
      <c r="Q103" s="19"/>
      <c r="R103" s="19"/>
      <c r="S103" s="20" t="s">
        <v>4</v>
      </c>
      <c r="T103" s="19"/>
      <c r="U103" s="20" t="s">
        <v>4</v>
      </c>
      <c r="V103" s="26" t="s">
        <v>646</v>
      </c>
      <c r="W103" s="26" t="s">
        <v>616</v>
      </c>
      <c r="X103" s="20" t="s">
        <v>4</v>
      </c>
      <c r="Y103" s="20" t="s">
        <v>4</v>
      </c>
      <c r="Z103" s="20" t="s">
        <v>4</v>
      </c>
      <c r="AA103" s="26" t="s">
        <v>391</v>
      </c>
      <c r="AB103" s="17"/>
      <c r="AC103" s="24"/>
      <c r="AD103" s="24"/>
    </row>
    <row r="104">
      <c r="A104" s="25"/>
      <c r="B104" s="17" t="s">
        <v>58</v>
      </c>
      <c r="C104" s="17">
        <v>9.508083254E9</v>
      </c>
      <c r="D104" s="26">
        <v>26.0</v>
      </c>
      <c r="E104" s="20" t="s">
        <v>367</v>
      </c>
      <c r="F104" s="26" t="s">
        <v>374</v>
      </c>
      <c r="G104" s="26" t="s">
        <v>647</v>
      </c>
      <c r="H104" s="26" t="s">
        <v>418</v>
      </c>
      <c r="I104" s="26" t="s">
        <v>648</v>
      </c>
      <c r="J104" s="26" t="s">
        <v>639</v>
      </c>
      <c r="K104" s="18" t="s">
        <v>608</v>
      </c>
      <c r="L104" s="26" t="s">
        <v>644</v>
      </c>
      <c r="M104" s="26" t="s">
        <v>645</v>
      </c>
      <c r="N104" s="21" t="s">
        <v>9</v>
      </c>
      <c r="O104" s="20" t="s">
        <v>4</v>
      </c>
      <c r="P104" s="20" t="s">
        <v>4</v>
      </c>
      <c r="Q104" s="19"/>
      <c r="R104" s="19"/>
      <c r="S104" s="20" t="s">
        <v>380</v>
      </c>
      <c r="T104" s="19"/>
      <c r="U104" s="20" t="s">
        <v>380</v>
      </c>
      <c r="V104" s="19"/>
      <c r="W104" s="26" t="s">
        <v>612</v>
      </c>
      <c r="X104" s="20" t="s">
        <v>4</v>
      </c>
      <c r="Y104" s="20" t="s">
        <v>4</v>
      </c>
      <c r="Z104" s="20" t="s">
        <v>4</v>
      </c>
      <c r="AA104" s="26" t="s">
        <v>391</v>
      </c>
      <c r="AB104" s="17"/>
      <c r="AC104" s="24"/>
      <c r="AD104" s="24"/>
    </row>
    <row r="105">
      <c r="A105" s="25"/>
      <c r="B105" s="17" t="s">
        <v>649</v>
      </c>
      <c r="C105" s="17">
        <v>8.002066561E9</v>
      </c>
      <c r="D105" s="26">
        <v>24.0</v>
      </c>
      <c r="E105" s="22"/>
      <c r="F105" s="26" t="s">
        <v>370</v>
      </c>
      <c r="G105" s="19"/>
      <c r="H105" s="19"/>
      <c r="I105" s="26" t="s">
        <v>384</v>
      </c>
      <c r="J105" s="19"/>
      <c r="K105" s="18" t="s">
        <v>608</v>
      </c>
      <c r="L105" s="26" t="s">
        <v>609</v>
      </c>
      <c r="M105" s="26" t="s">
        <v>610</v>
      </c>
      <c r="N105" s="21" t="s">
        <v>9</v>
      </c>
      <c r="O105" s="20" t="s">
        <v>4</v>
      </c>
      <c r="P105" s="20" t="s">
        <v>380</v>
      </c>
      <c r="Q105" s="19"/>
      <c r="R105" s="19"/>
      <c r="S105" s="20" t="s">
        <v>4</v>
      </c>
      <c r="T105" s="26" t="s">
        <v>611</v>
      </c>
      <c r="U105" s="20" t="s">
        <v>4</v>
      </c>
      <c r="V105" s="26" t="s">
        <v>561</v>
      </c>
      <c r="W105" s="26" t="s">
        <v>612</v>
      </c>
      <c r="X105" s="20" t="s">
        <v>4</v>
      </c>
      <c r="Y105" s="20" t="s">
        <v>4</v>
      </c>
      <c r="Z105" s="20" t="s">
        <v>4</v>
      </c>
      <c r="AA105" s="26" t="s">
        <v>391</v>
      </c>
      <c r="AB105" s="28"/>
      <c r="AC105" s="24"/>
      <c r="AD105" s="24"/>
    </row>
    <row r="106">
      <c r="A106" s="25"/>
      <c r="B106" s="17" t="s">
        <v>650</v>
      </c>
      <c r="C106" s="17">
        <v>6.204318716E9</v>
      </c>
      <c r="D106" s="26">
        <v>45.0</v>
      </c>
      <c r="E106" s="20" t="s">
        <v>367</v>
      </c>
      <c r="F106" s="26" t="s">
        <v>577</v>
      </c>
      <c r="G106" s="26" t="s">
        <v>371</v>
      </c>
      <c r="H106" s="26" t="s">
        <v>383</v>
      </c>
      <c r="I106" s="26" t="s">
        <v>384</v>
      </c>
      <c r="J106" s="26" t="s">
        <v>627</v>
      </c>
      <c r="K106" s="18" t="s">
        <v>608</v>
      </c>
      <c r="L106" s="26" t="s">
        <v>609</v>
      </c>
      <c r="M106" s="26" t="s">
        <v>610</v>
      </c>
      <c r="N106" s="21" t="s">
        <v>9</v>
      </c>
      <c r="O106" s="20" t="s">
        <v>4</v>
      </c>
      <c r="P106" s="20" t="s">
        <v>4</v>
      </c>
      <c r="Q106" s="26" t="s">
        <v>651</v>
      </c>
      <c r="R106" s="26" t="s">
        <v>652</v>
      </c>
      <c r="S106" s="20" t="s">
        <v>4</v>
      </c>
      <c r="T106" s="26" t="s">
        <v>540</v>
      </c>
      <c r="U106" s="20" t="s">
        <v>380</v>
      </c>
      <c r="V106" s="19"/>
      <c r="W106" s="26" t="s">
        <v>616</v>
      </c>
      <c r="X106" s="20" t="s">
        <v>4</v>
      </c>
      <c r="Y106" s="20" t="s">
        <v>380</v>
      </c>
      <c r="Z106" s="20" t="s">
        <v>4</v>
      </c>
      <c r="AA106" s="26" t="s">
        <v>391</v>
      </c>
      <c r="AB106" s="17"/>
      <c r="AC106" s="24"/>
      <c r="AD106" s="24"/>
    </row>
    <row r="107">
      <c r="A107" s="25"/>
      <c r="B107" s="17" t="s">
        <v>653</v>
      </c>
      <c r="C107" s="17">
        <v>8.79756424E9</v>
      </c>
      <c r="D107" s="19"/>
      <c r="E107" s="22"/>
      <c r="F107" s="19"/>
      <c r="G107" s="19"/>
      <c r="H107" s="19"/>
      <c r="I107" s="19"/>
      <c r="J107" s="19"/>
      <c r="K107" s="18" t="s">
        <v>608</v>
      </c>
      <c r="L107" s="19"/>
      <c r="M107" s="19"/>
      <c r="N107" s="21" t="s">
        <v>13</v>
      </c>
      <c r="O107" s="22"/>
      <c r="P107" s="22"/>
      <c r="Q107" s="19"/>
      <c r="R107" s="19"/>
      <c r="S107" s="22"/>
      <c r="T107" s="19"/>
      <c r="U107" s="22"/>
      <c r="V107" s="19"/>
      <c r="W107" s="19"/>
      <c r="X107" s="22"/>
      <c r="Y107" s="22"/>
      <c r="Z107" s="22"/>
      <c r="AA107" s="19"/>
      <c r="AB107" s="17"/>
      <c r="AC107" s="24"/>
      <c r="AD107" s="24"/>
    </row>
    <row r="108">
      <c r="A108" s="25"/>
      <c r="B108" s="17" t="s">
        <v>654</v>
      </c>
      <c r="C108" s="17">
        <v>8.294945134E9</v>
      </c>
      <c r="D108" s="26">
        <v>40.0</v>
      </c>
      <c r="E108" s="20" t="s">
        <v>367</v>
      </c>
      <c r="F108" s="26" t="s">
        <v>499</v>
      </c>
      <c r="G108" s="19"/>
      <c r="H108" s="19"/>
      <c r="I108" s="26" t="s">
        <v>648</v>
      </c>
      <c r="J108" s="19"/>
      <c r="K108" s="18" t="s">
        <v>608</v>
      </c>
      <c r="L108" s="26" t="s">
        <v>609</v>
      </c>
      <c r="M108" s="26" t="s">
        <v>610</v>
      </c>
      <c r="N108" s="21" t="s">
        <v>9</v>
      </c>
      <c r="O108" s="20" t="s">
        <v>4</v>
      </c>
      <c r="P108" s="20" t="s">
        <v>4</v>
      </c>
      <c r="Q108" s="26" t="s">
        <v>499</v>
      </c>
      <c r="R108" s="19"/>
      <c r="S108" s="20" t="s">
        <v>4</v>
      </c>
      <c r="T108" s="26" t="s">
        <v>611</v>
      </c>
      <c r="U108" s="20" t="s">
        <v>4</v>
      </c>
      <c r="V108" s="19"/>
      <c r="W108" s="26" t="s">
        <v>612</v>
      </c>
      <c r="X108" s="20" t="s">
        <v>4</v>
      </c>
      <c r="Y108" s="20" t="s">
        <v>4</v>
      </c>
      <c r="Z108" s="20" t="s">
        <v>4</v>
      </c>
      <c r="AA108" s="26" t="s">
        <v>391</v>
      </c>
      <c r="AB108" s="28"/>
      <c r="AC108" s="24"/>
      <c r="AD108" s="24"/>
    </row>
    <row r="109">
      <c r="A109" s="25"/>
      <c r="B109" s="17" t="s">
        <v>655</v>
      </c>
      <c r="C109" s="17">
        <v>8.80419021E9</v>
      </c>
      <c r="D109" s="19"/>
      <c r="E109" s="22"/>
      <c r="F109" s="19"/>
      <c r="G109" s="19"/>
      <c r="H109" s="19"/>
      <c r="I109" s="19"/>
      <c r="J109" s="19"/>
      <c r="K109" s="18" t="s">
        <v>608</v>
      </c>
      <c r="L109" s="19"/>
      <c r="M109" s="19"/>
      <c r="N109" s="21" t="s">
        <v>13</v>
      </c>
      <c r="O109" s="22"/>
      <c r="P109" s="22"/>
      <c r="Q109" s="19"/>
      <c r="R109" s="19"/>
      <c r="S109" s="22"/>
      <c r="T109" s="19"/>
      <c r="U109" s="22"/>
      <c r="V109" s="19"/>
      <c r="W109" s="19"/>
      <c r="X109" s="22"/>
      <c r="Y109" s="22"/>
      <c r="Z109" s="22"/>
      <c r="AA109" s="19"/>
      <c r="AB109" s="17"/>
      <c r="AC109" s="24"/>
      <c r="AD109" s="24"/>
    </row>
    <row r="110">
      <c r="A110" s="25"/>
      <c r="B110" s="17" t="s">
        <v>656</v>
      </c>
      <c r="C110" s="17">
        <v>9.199540939E9</v>
      </c>
      <c r="D110" s="19"/>
      <c r="E110" s="22"/>
      <c r="F110" s="19"/>
      <c r="G110" s="19"/>
      <c r="H110" s="19"/>
      <c r="I110" s="19"/>
      <c r="J110" s="19"/>
      <c r="K110" s="18" t="s">
        <v>608</v>
      </c>
      <c r="L110" s="19"/>
      <c r="M110" s="19"/>
      <c r="N110" s="21" t="s">
        <v>54</v>
      </c>
      <c r="O110" s="22"/>
      <c r="P110" s="22"/>
      <c r="Q110" s="19"/>
      <c r="R110" s="19"/>
      <c r="S110" s="22"/>
      <c r="T110" s="19"/>
      <c r="U110" s="22"/>
      <c r="V110" s="19"/>
      <c r="W110" s="19"/>
      <c r="X110" s="22"/>
      <c r="Y110" s="22"/>
      <c r="Z110" s="22"/>
      <c r="AA110" s="19"/>
      <c r="AB110" s="17"/>
      <c r="AC110" s="24"/>
      <c r="AD110" s="24"/>
    </row>
    <row r="111">
      <c r="A111" s="25"/>
      <c r="B111" s="17" t="s">
        <v>657</v>
      </c>
      <c r="C111" s="17">
        <v>9.771000297E9</v>
      </c>
      <c r="D111" s="26">
        <v>34.0</v>
      </c>
      <c r="E111" s="22"/>
      <c r="F111" s="26" t="s">
        <v>600</v>
      </c>
      <c r="G111" s="19"/>
      <c r="H111" s="19"/>
      <c r="I111" s="26" t="s">
        <v>384</v>
      </c>
      <c r="J111" s="19"/>
      <c r="K111" s="18" t="s">
        <v>608</v>
      </c>
      <c r="L111" s="26" t="s">
        <v>609</v>
      </c>
      <c r="M111" s="26" t="s">
        <v>658</v>
      </c>
      <c r="N111" s="21" t="s">
        <v>9</v>
      </c>
      <c r="O111" s="20" t="s">
        <v>4</v>
      </c>
      <c r="P111" s="20" t="s">
        <v>4</v>
      </c>
      <c r="Q111" s="26" t="s">
        <v>659</v>
      </c>
      <c r="R111" s="19"/>
      <c r="S111" s="20" t="s">
        <v>4</v>
      </c>
      <c r="T111" s="26" t="s">
        <v>660</v>
      </c>
      <c r="U111" s="20" t="s">
        <v>4</v>
      </c>
      <c r="V111" s="26" t="s">
        <v>618</v>
      </c>
      <c r="W111" s="26" t="s">
        <v>612</v>
      </c>
      <c r="X111" s="20" t="s">
        <v>4</v>
      </c>
      <c r="Y111" s="20" t="s">
        <v>4</v>
      </c>
      <c r="Z111" s="20" t="s">
        <v>4</v>
      </c>
      <c r="AA111" s="26" t="s">
        <v>391</v>
      </c>
      <c r="AB111" s="28"/>
      <c r="AC111" s="24"/>
      <c r="AD111" s="24"/>
    </row>
    <row r="112">
      <c r="A112" s="25"/>
      <c r="B112" s="17" t="s">
        <v>661</v>
      </c>
      <c r="C112" s="17">
        <v>6.207930631E9</v>
      </c>
      <c r="D112" s="19"/>
      <c r="E112" s="22"/>
      <c r="F112" s="19"/>
      <c r="G112" s="19"/>
      <c r="H112" s="19"/>
      <c r="I112" s="19"/>
      <c r="J112" s="19"/>
      <c r="K112" s="18" t="s">
        <v>608</v>
      </c>
      <c r="L112" s="19"/>
      <c r="M112" s="19"/>
      <c r="N112" s="21" t="s">
        <v>27</v>
      </c>
      <c r="O112" s="22"/>
      <c r="P112" s="22"/>
      <c r="Q112" s="19"/>
      <c r="R112" s="19"/>
      <c r="S112" s="22"/>
      <c r="T112" s="19"/>
      <c r="U112" s="22"/>
      <c r="V112" s="19"/>
      <c r="W112" s="19"/>
      <c r="X112" s="22"/>
      <c r="Y112" s="22"/>
      <c r="Z112" s="22"/>
      <c r="AA112" s="26"/>
      <c r="AB112" s="17"/>
      <c r="AC112" s="24"/>
      <c r="AD112" s="24"/>
    </row>
    <row r="113">
      <c r="A113" s="25"/>
      <c r="B113" s="17" t="s">
        <v>629</v>
      </c>
      <c r="C113" s="17">
        <v>6.207930631E9</v>
      </c>
      <c r="D113" s="19"/>
      <c r="E113" s="22"/>
      <c r="F113" s="19"/>
      <c r="G113" s="19"/>
      <c r="H113" s="19"/>
      <c r="I113" s="19"/>
      <c r="J113" s="19"/>
      <c r="K113" s="18" t="s">
        <v>608</v>
      </c>
      <c r="L113" s="19"/>
      <c r="M113" s="19"/>
      <c r="N113" s="21" t="s">
        <v>23</v>
      </c>
      <c r="O113" s="22"/>
      <c r="P113" s="22"/>
      <c r="Q113" s="19"/>
      <c r="R113" s="19"/>
      <c r="S113" s="22"/>
      <c r="T113" s="19"/>
      <c r="U113" s="22"/>
      <c r="V113" s="19"/>
      <c r="W113" s="19"/>
      <c r="X113" s="22"/>
      <c r="Y113" s="22"/>
      <c r="Z113" s="22"/>
      <c r="AA113" s="19"/>
      <c r="AB113" s="17"/>
      <c r="AC113" s="24"/>
      <c r="AD113" s="24"/>
    </row>
    <row r="114">
      <c r="A114" s="31"/>
      <c r="B114" s="41" t="s">
        <v>662</v>
      </c>
      <c r="C114" s="41">
        <v>8.294946091E9</v>
      </c>
      <c r="D114" s="42">
        <v>40.0</v>
      </c>
      <c r="E114" s="43" t="s">
        <v>367</v>
      </c>
      <c r="F114" s="42" t="s">
        <v>374</v>
      </c>
      <c r="G114" s="42" t="s">
        <v>375</v>
      </c>
      <c r="H114" s="42" t="s">
        <v>663</v>
      </c>
      <c r="I114" s="42" t="s">
        <v>377</v>
      </c>
      <c r="J114" s="42" t="s">
        <v>639</v>
      </c>
      <c r="K114" s="18" t="s">
        <v>608</v>
      </c>
      <c r="L114" s="42" t="s">
        <v>644</v>
      </c>
      <c r="M114" s="42" t="s">
        <v>664</v>
      </c>
      <c r="N114" s="44" t="s">
        <v>9</v>
      </c>
      <c r="O114" s="43" t="s">
        <v>4</v>
      </c>
      <c r="P114" s="45"/>
      <c r="Q114" s="46"/>
      <c r="R114" s="46"/>
      <c r="S114" s="43" t="s">
        <v>4</v>
      </c>
      <c r="T114" s="46"/>
      <c r="U114" s="43" t="s">
        <v>4</v>
      </c>
      <c r="V114" s="46"/>
      <c r="W114" s="42" t="s">
        <v>616</v>
      </c>
      <c r="X114" s="43" t="s">
        <v>4</v>
      </c>
      <c r="Y114" s="43" t="s">
        <v>4</v>
      </c>
      <c r="Z114" s="43" t="s">
        <v>4</v>
      </c>
      <c r="AA114" s="42" t="s">
        <v>391</v>
      </c>
      <c r="AB114" s="41"/>
      <c r="AC114" s="24"/>
      <c r="AD114" s="24"/>
    </row>
    <row r="115">
      <c r="A115" s="40" t="s">
        <v>606</v>
      </c>
      <c r="B115" s="36" t="s">
        <v>575</v>
      </c>
      <c r="K115" s="34"/>
      <c r="N115" s="34"/>
      <c r="AB115" s="33"/>
      <c r="AC115" s="24"/>
      <c r="AD115" s="24"/>
    </row>
    <row r="116">
      <c r="A116" s="25"/>
      <c r="K116" s="34"/>
      <c r="N116" s="34"/>
      <c r="AB116" s="33"/>
      <c r="AC116" s="24"/>
      <c r="AD116" s="24"/>
    </row>
    <row r="117">
      <c r="A117" s="25"/>
      <c r="B117" s="47" t="s">
        <v>665</v>
      </c>
      <c r="C117" s="47">
        <v>9.534652604E9</v>
      </c>
      <c r="D117" s="48">
        <v>17.0</v>
      </c>
      <c r="E117" s="43" t="s">
        <v>367</v>
      </c>
      <c r="F117" s="48" t="s">
        <v>370</v>
      </c>
      <c r="G117" s="49"/>
      <c r="H117" s="49"/>
      <c r="I117" s="48" t="s">
        <v>666</v>
      </c>
      <c r="J117" s="49"/>
      <c r="K117" s="18" t="s">
        <v>608</v>
      </c>
      <c r="L117" s="48" t="s">
        <v>609</v>
      </c>
      <c r="M117" s="48" t="s">
        <v>610</v>
      </c>
      <c r="N117" s="44" t="s">
        <v>9</v>
      </c>
      <c r="O117" s="43" t="s">
        <v>4</v>
      </c>
      <c r="P117" s="43" t="s">
        <v>380</v>
      </c>
      <c r="Q117" s="49"/>
      <c r="R117" s="49"/>
      <c r="S117" s="43" t="s">
        <v>380</v>
      </c>
      <c r="T117" s="49"/>
      <c r="U117" s="43" t="s">
        <v>380</v>
      </c>
      <c r="V117" s="49"/>
      <c r="W117" s="42" t="s">
        <v>612</v>
      </c>
      <c r="X117" s="43" t="s">
        <v>4</v>
      </c>
      <c r="Y117" s="43" t="s">
        <v>4</v>
      </c>
      <c r="Z117" s="43" t="s">
        <v>4</v>
      </c>
      <c r="AA117" s="42" t="s">
        <v>391</v>
      </c>
      <c r="AB117" s="50"/>
      <c r="AC117" s="24"/>
      <c r="AD117" s="24"/>
    </row>
    <row r="118">
      <c r="A118" s="25"/>
      <c r="B118" s="17" t="s">
        <v>667</v>
      </c>
      <c r="C118" s="17">
        <v>9.102776486E9</v>
      </c>
      <c r="D118" s="26">
        <v>35.0</v>
      </c>
      <c r="E118" s="43" t="s">
        <v>367</v>
      </c>
      <c r="F118" s="26" t="s">
        <v>668</v>
      </c>
      <c r="G118" s="19"/>
      <c r="H118" s="19"/>
      <c r="I118" s="26" t="s">
        <v>544</v>
      </c>
      <c r="J118" s="19"/>
      <c r="K118" s="18" t="s">
        <v>608</v>
      </c>
      <c r="L118" s="26" t="s">
        <v>609</v>
      </c>
      <c r="M118" s="26" t="s">
        <v>610</v>
      </c>
      <c r="N118" s="44" t="s">
        <v>9</v>
      </c>
      <c r="O118" s="43" t="s">
        <v>4</v>
      </c>
      <c r="P118" s="43" t="s">
        <v>380</v>
      </c>
      <c r="Q118" s="19"/>
      <c r="R118" s="19"/>
      <c r="S118" s="43" t="s">
        <v>4</v>
      </c>
      <c r="T118" s="26" t="s">
        <v>660</v>
      </c>
      <c r="U118" s="43" t="s">
        <v>4</v>
      </c>
      <c r="V118" s="26" t="s">
        <v>618</v>
      </c>
      <c r="W118" s="42" t="s">
        <v>616</v>
      </c>
      <c r="X118" s="43" t="s">
        <v>4</v>
      </c>
      <c r="Y118" s="43" t="s">
        <v>4</v>
      </c>
      <c r="Z118" s="43" t="s">
        <v>4</v>
      </c>
      <c r="AA118" s="42" t="s">
        <v>391</v>
      </c>
      <c r="AB118" s="28"/>
      <c r="AC118" s="24"/>
      <c r="AD118" s="24"/>
    </row>
    <row r="119">
      <c r="A119" s="25"/>
      <c r="B119" s="17" t="s">
        <v>24</v>
      </c>
      <c r="C119" s="17">
        <v>7.06199243E9</v>
      </c>
      <c r="D119" s="26">
        <v>52.0</v>
      </c>
      <c r="E119" s="45"/>
      <c r="F119" s="26" t="s">
        <v>557</v>
      </c>
      <c r="G119" s="19"/>
      <c r="H119" s="19"/>
      <c r="I119" s="26" t="s">
        <v>669</v>
      </c>
      <c r="J119" s="19"/>
      <c r="K119" s="18" t="s">
        <v>608</v>
      </c>
      <c r="L119" s="26" t="s">
        <v>609</v>
      </c>
      <c r="M119" s="26" t="s">
        <v>610</v>
      </c>
      <c r="N119" s="44" t="s">
        <v>9</v>
      </c>
      <c r="O119" s="45"/>
      <c r="P119" s="43" t="s">
        <v>380</v>
      </c>
      <c r="Q119" s="19"/>
      <c r="R119" s="19"/>
      <c r="S119" s="43" t="s">
        <v>380</v>
      </c>
      <c r="T119" s="19"/>
      <c r="U119" s="43" t="s">
        <v>380</v>
      </c>
      <c r="V119" s="19"/>
      <c r="W119" s="42" t="s">
        <v>612</v>
      </c>
      <c r="X119" s="43" t="s">
        <v>4</v>
      </c>
      <c r="Y119" s="43" t="s">
        <v>4</v>
      </c>
      <c r="Z119" s="43" t="s">
        <v>4</v>
      </c>
      <c r="AA119" s="42" t="s">
        <v>391</v>
      </c>
      <c r="AB119" s="28"/>
      <c r="AC119" s="24"/>
      <c r="AD119" s="24"/>
    </row>
    <row r="120">
      <c r="A120" s="25"/>
      <c r="B120" s="17" t="s">
        <v>653</v>
      </c>
      <c r="C120" s="17">
        <v>8.310324048E9</v>
      </c>
      <c r="D120" s="26">
        <v>32.0</v>
      </c>
      <c r="E120" s="43" t="s">
        <v>367</v>
      </c>
      <c r="F120" s="26" t="s">
        <v>441</v>
      </c>
      <c r="G120" s="26" t="s">
        <v>371</v>
      </c>
      <c r="H120" s="26" t="s">
        <v>383</v>
      </c>
      <c r="I120" s="26" t="s">
        <v>384</v>
      </c>
      <c r="J120" s="26" t="s">
        <v>627</v>
      </c>
      <c r="K120" s="18" t="s">
        <v>608</v>
      </c>
      <c r="L120" s="26" t="s">
        <v>609</v>
      </c>
      <c r="M120" s="26" t="s">
        <v>658</v>
      </c>
      <c r="N120" s="44" t="s">
        <v>9</v>
      </c>
      <c r="O120" s="43" t="s">
        <v>4</v>
      </c>
      <c r="P120" s="43" t="s">
        <v>4</v>
      </c>
      <c r="Q120" s="26" t="s">
        <v>659</v>
      </c>
      <c r="R120" s="26" t="s">
        <v>652</v>
      </c>
      <c r="S120" s="43" t="s">
        <v>380</v>
      </c>
      <c r="T120" s="19"/>
      <c r="U120" s="43" t="s">
        <v>380</v>
      </c>
      <c r="V120" s="19"/>
      <c r="W120" s="42" t="s">
        <v>616</v>
      </c>
      <c r="X120" s="43" t="s">
        <v>4</v>
      </c>
      <c r="Y120" s="43" t="s">
        <v>4</v>
      </c>
      <c r="Z120" s="43" t="s">
        <v>4</v>
      </c>
      <c r="AA120" s="42" t="s">
        <v>391</v>
      </c>
      <c r="AB120" s="17"/>
      <c r="AC120" s="24"/>
      <c r="AD120" s="24"/>
    </row>
    <row r="121">
      <c r="A121" s="25"/>
      <c r="B121" s="17" t="s">
        <v>670</v>
      </c>
      <c r="C121" s="17">
        <v>7.654158771E9</v>
      </c>
      <c r="D121" s="26">
        <v>35.0</v>
      </c>
      <c r="E121" s="43" t="s">
        <v>367</v>
      </c>
      <c r="F121" s="26" t="s">
        <v>557</v>
      </c>
      <c r="G121" s="19"/>
      <c r="H121" s="19"/>
      <c r="I121" s="19"/>
      <c r="J121" s="19"/>
      <c r="K121" s="18" t="s">
        <v>608</v>
      </c>
      <c r="L121" s="19"/>
      <c r="M121" s="19"/>
      <c r="N121" s="44" t="s">
        <v>27</v>
      </c>
      <c r="O121" s="45"/>
      <c r="P121" s="45"/>
      <c r="Q121" s="19"/>
      <c r="R121" s="19"/>
      <c r="S121" s="45"/>
      <c r="T121" s="19"/>
      <c r="U121" s="45"/>
      <c r="V121" s="19"/>
      <c r="W121" s="46"/>
      <c r="X121" s="45"/>
      <c r="Y121" s="45"/>
      <c r="Z121" s="45"/>
      <c r="AA121" s="46"/>
      <c r="AB121" s="28"/>
      <c r="AC121" s="24"/>
      <c r="AD121" s="24"/>
    </row>
    <row r="122">
      <c r="A122" s="25"/>
      <c r="B122" s="17" t="s">
        <v>671</v>
      </c>
      <c r="C122" s="17">
        <v>7.257812106E9</v>
      </c>
      <c r="D122" s="26">
        <v>36.0</v>
      </c>
      <c r="E122" s="45"/>
      <c r="F122" s="26" t="s">
        <v>557</v>
      </c>
      <c r="G122" s="19"/>
      <c r="H122" s="19"/>
      <c r="I122" s="26" t="s">
        <v>384</v>
      </c>
      <c r="J122" s="19"/>
      <c r="K122" s="18" t="s">
        <v>608</v>
      </c>
      <c r="L122" s="26" t="s">
        <v>609</v>
      </c>
      <c r="M122" s="26" t="s">
        <v>658</v>
      </c>
      <c r="N122" s="44" t="s">
        <v>9</v>
      </c>
      <c r="O122" s="43" t="s">
        <v>4</v>
      </c>
      <c r="P122" s="43" t="s">
        <v>4</v>
      </c>
      <c r="Q122" s="26" t="s">
        <v>388</v>
      </c>
      <c r="R122" s="19"/>
      <c r="S122" s="43" t="s">
        <v>4</v>
      </c>
      <c r="T122" s="26" t="s">
        <v>611</v>
      </c>
      <c r="U122" s="43" t="s">
        <v>4</v>
      </c>
      <c r="V122" s="26" t="s">
        <v>618</v>
      </c>
      <c r="W122" s="42" t="s">
        <v>616</v>
      </c>
      <c r="X122" s="43" t="s">
        <v>4</v>
      </c>
      <c r="Y122" s="43" t="s">
        <v>4</v>
      </c>
      <c r="Z122" s="43" t="s">
        <v>4</v>
      </c>
      <c r="AA122" s="42" t="s">
        <v>391</v>
      </c>
      <c r="AB122" s="28"/>
      <c r="AC122" s="24"/>
      <c r="AD122" s="24"/>
    </row>
    <row r="123">
      <c r="A123" s="25"/>
      <c r="B123" s="17" t="s">
        <v>239</v>
      </c>
      <c r="C123" s="17">
        <v>9.065589656E9</v>
      </c>
      <c r="D123" s="19"/>
      <c r="E123" s="45"/>
      <c r="F123" s="19"/>
      <c r="G123" s="19"/>
      <c r="H123" s="19"/>
      <c r="I123" s="19"/>
      <c r="J123" s="19"/>
      <c r="K123" s="18" t="s">
        <v>608</v>
      </c>
      <c r="L123" s="19"/>
      <c r="M123" s="19"/>
      <c r="N123" s="44" t="s">
        <v>13</v>
      </c>
      <c r="O123" s="45"/>
      <c r="P123" s="45"/>
      <c r="Q123" s="19"/>
      <c r="R123" s="19"/>
      <c r="S123" s="45"/>
      <c r="T123" s="19"/>
      <c r="U123" s="45"/>
      <c r="V123" s="19"/>
      <c r="W123" s="46"/>
      <c r="X123" s="45"/>
      <c r="Y123" s="45"/>
      <c r="Z123" s="45"/>
      <c r="AA123" s="46"/>
      <c r="AB123" s="17"/>
      <c r="AC123" s="24"/>
      <c r="AD123" s="24"/>
    </row>
    <row r="124">
      <c r="A124" s="25"/>
      <c r="B124" s="17" t="s">
        <v>276</v>
      </c>
      <c r="C124" s="17">
        <v>7.762887398E9</v>
      </c>
      <c r="D124" s="26">
        <v>34.0</v>
      </c>
      <c r="E124" s="45"/>
      <c r="F124" s="26" t="s">
        <v>557</v>
      </c>
      <c r="G124" s="19"/>
      <c r="H124" s="19"/>
      <c r="I124" s="26" t="s">
        <v>384</v>
      </c>
      <c r="J124" s="19"/>
      <c r="K124" s="18" t="s">
        <v>608</v>
      </c>
      <c r="L124" s="26" t="s">
        <v>609</v>
      </c>
      <c r="M124" s="26" t="s">
        <v>658</v>
      </c>
      <c r="N124" s="44" t="s">
        <v>9</v>
      </c>
      <c r="O124" s="43" t="s">
        <v>4</v>
      </c>
      <c r="P124" s="43" t="s">
        <v>4</v>
      </c>
      <c r="Q124" s="26" t="s">
        <v>388</v>
      </c>
      <c r="R124" s="19"/>
      <c r="S124" s="43" t="s">
        <v>4</v>
      </c>
      <c r="T124" s="26" t="s">
        <v>672</v>
      </c>
      <c r="U124" s="43" t="s">
        <v>4</v>
      </c>
      <c r="V124" s="19"/>
      <c r="W124" s="42" t="s">
        <v>612</v>
      </c>
      <c r="X124" s="43" t="s">
        <v>4</v>
      </c>
      <c r="Y124" s="43" t="s">
        <v>4</v>
      </c>
      <c r="Z124" s="43" t="s">
        <v>4</v>
      </c>
      <c r="AA124" s="42" t="s">
        <v>391</v>
      </c>
      <c r="AB124" s="28"/>
      <c r="AC124" s="24"/>
      <c r="AD124" s="24"/>
    </row>
    <row r="125">
      <c r="A125" s="25"/>
      <c r="B125" s="17" t="s">
        <v>673</v>
      </c>
      <c r="C125" s="17">
        <v>8.905077729E9</v>
      </c>
      <c r="D125" s="19"/>
      <c r="E125" s="45"/>
      <c r="F125" s="19"/>
      <c r="G125" s="19"/>
      <c r="H125" s="19"/>
      <c r="I125" s="19"/>
      <c r="J125" s="19"/>
      <c r="K125" s="18" t="s">
        <v>608</v>
      </c>
      <c r="L125" s="19"/>
      <c r="M125" s="19"/>
      <c r="N125" s="44" t="s">
        <v>13</v>
      </c>
      <c r="O125" s="45"/>
      <c r="P125" s="45"/>
      <c r="Q125" s="19"/>
      <c r="R125" s="19"/>
      <c r="S125" s="45"/>
      <c r="T125" s="19"/>
      <c r="U125" s="45"/>
      <c r="V125" s="19"/>
      <c r="W125" s="46"/>
      <c r="X125" s="45"/>
      <c r="Y125" s="45"/>
      <c r="Z125" s="45"/>
      <c r="AA125" s="46"/>
      <c r="AB125" s="17"/>
      <c r="AC125" s="24"/>
      <c r="AD125" s="24"/>
    </row>
    <row r="126">
      <c r="A126" s="25"/>
      <c r="B126" s="17" t="s">
        <v>276</v>
      </c>
      <c r="C126" s="17">
        <v>9.525781036E9</v>
      </c>
      <c r="D126" s="19"/>
      <c r="E126" s="45"/>
      <c r="F126" s="19"/>
      <c r="G126" s="19"/>
      <c r="H126" s="19"/>
      <c r="I126" s="19"/>
      <c r="J126" s="19"/>
      <c r="K126" s="18" t="s">
        <v>608</v>
      </c>
      <c r="L126" s="19"/>
      <c r="M126" s="19"/>
      <c r="N126" s="44" t="s">
        <v>27</v>
      </c>
      <c r="O126" s="45"/>
      <c r="P126" s="45"/>
      <c r="Q126" s="19"/>
      <c r="R126" s="19"/>
      <c r="S126" s="45"/>
      <c r="T126" s="19"/>
      <c r="U126" s="45"/>
      <c r="V126" s="19"/>
      <c r="W126" s="46"/>
      <c r="X126" s="45"/>
      <c r="Y126" s="45"/>
      <c r="Z126" s="45"/>
      <c r="AA126" s="46"/>
      <c r="AB126" s="17"/>
      <c r="AC126" s="24"/>
      <c r="AD126" s="24"/>
    </row>
    <row r="127">
      <c r="A127" s="25"/>
      <c r="B127" s="17" t="s">
        <v>670</v>
      </c>
      <c r="C127" s="17">
        <v>8.873195113E9</v>
      </c>
      <c r="D127" s="19"/>
      <c r="E127" s="45"/>
      <c r="F127" s="19"/>
      <c r="G127" s="19"/>
      <c r="H127" s="19"/>
      <c r="I127" s="19"/>
      <c r="J127" s="19"/>
      <c r="K127" s="18" t="s">
        <v>608</v>
      </c>
      <c r="L127" s="19"/>
      <c r="M127" s="19"/>
      <c r="N127" s="44" t="s">
        <v>13</v>
      </c>
      <c r="O127" s="45"/>
      <c r="P127" s="45"/>
      <c r="Q127" s="19"/>
      <c r="R127" s="19"/>
      <c r="S127" s="45"/>
      <c r="T127" s="19"/>
      <c r="U127" s="45"/>
      <c r="V127" s="19"/>
      <c r="W127" s="46"/>
      <c r="X127" s="45"/>
      <c r="Y127" s="45"/>
      <c r="Z127" s="45"/>
      <c r="AA127" s="46"/>
      <c r="AB127" s="28"/>
      <c r="AC127" s="24"/>
      <c r="AD127" s="24"/>
    </row>
    <row r="128">
      <c r="A128" s="25"/>
      <c r="B128" s="17" t="s">
        <v>674</v>
      </c>
      <c r="C128" s="17">
        <v>8.298775638E9</v>
      </c>
      <c r="D128" s="26">
        <v>55.0</v>
      </c>
      <c r="E128" s="43" t="s">
        <v>367</v>
      </c>
      <c r="F128" s="26" t="s">
        <v>429</v>
      </c>
      <c r="G128" s="19"/>
      <c r="H128" s="19"/>
      <c r="I128" s="26" t="s">
        <v>675</v>
      </c>
      <c r="J128" s="19"/>
      <c r="K128" s="18" t="s">
        <v>608</v>
      </c>
      <c r="L128" s="26" t="s">
        <v>676</v>
      </c>
      <c r="M128" s="26" t="s">
        <v>658</v>
      </c>
      <c r="N128" s="44" t="s">
        <v>9</v>
      </c>
      <c r="O128" s="43" t="s">
        <v>4</v>
      </c>
      <c r="P128" s="43" t="s">
        <v>4</v>
      </c>
      <c r="Q128" s="19"/>
      <c r="R128" s="19"/>
      <c r="S128" s="43" t="s">
        <v>4</v>
      </c>
      <c r="T128" s="26" t="s">
        <v>672</v>
      </c>
      <c r="U128" s="43" t="s">
        <v>4</v>
      </c>
      <c r="V128" s="19"/>
      <c r="W128" s="42" t="s">
        <v>616</v>
      </c>
      <c r="X128" s="43" t="s">
        <v>4</v>
      </c>
      <c r="Y128" s="43" t="s">
        <v>4</v>
      </c>
      <c r="Z128" s="43" t="s">
        <v>4</v>
      </c>
      <c r="AA128" s="42" t="s">
        <v>391</v>
      </c>
      <c r="AB128" s="28"/>
      <c r="AC128" s="24"/>
      <c r="AD128" s="24"/>
    </row>
    <row r="129">
      <c r="A129" s="25"/>
      <c r="B129" s="17" t="s">
        <v>677</v>
      </c>
      <c r="C129" s="17">
        <v>6.203893706E9</v>
      </c>
      <c r="D129" s="26">
        <v>18.0</v>
      </c>
      <c r="E129" s="43" t="s">
        <v>367</v>
      </c>
      <c r="F129" s="26" t="s">
        <v>370</v>
      </c>
      <c r="G129" s="19"/>
      <c r="H129" s="19"/>
      <c r="I129" s="26" t="s">
        <v>384</v>
      </c>
      <c r="J129" s="19"/>
      <c r="K129" s="18" t="s">
        <v>608</v>
      </c>
      <c r="L129" s="26" t="s">
        <v>609</v>
      </c>
      <c r="M129" s="26" t="s">
        <v>658</v>
      </c>
      <c r="N129" s="44" t="s">
        <v>9</v>
      </c>
      <c r="O129" s="43" t="s">
        <v>4</v>
      </c>
      <c r="P129" s="43" t="s">
        <v>380</v>
      </c>
      <c r="Q129" s="19"/>
      <c r="R129" s="19"/>
      <c r="S129" s="43" t="s">
        <v>4</v>
      </c>
      <c r="T129" s="26" t="s">
        <v>611</v>
      </c>
      <c r="U129" s="45"/>
      <c r="V129" s="26" t="s">
        <v>678</v>
      </c>
      <c r="W129" s="42" t="s">
        <v>616</v>
      </c>
      <c r="X129" s="43" t="s">
        <v>4</v>
      </c>
      <c r="Y129" s="43" t="s">
        <v>4</v>
      </c>
      <c r="Z129" s="43" t="s">
        <v>4</v>
      </c>
      <c r="AA129" s="42" t="s">
        <v>391</v>
      </c>
      <c r="AB129" s="28"/>
      <c r="AC129" s="24"/>
      <c r="AD129" s="24"/>
    </row>
    <row r="130">
      <c r="A130" s="25"/>
      <c r="B130" s="17" t="s">
        <v>679</v>
      </c>
      <c r="C130" s="17">
        <v>9.973524417E9</v>
      </c>
      <c r="D130" s="19"/>
      <c r="E130" s="45"/>
      <c r="F130" s="19"/>
      <c r="G130" s="19"/>
      <c r="H130" s="19"/>
      <c r="I130" s="19"/>
      <c r="J130" s="19"/>
      <c r="K130" s="18" t="s">
        <v>608</v>
      </c>
      <c r="L130" s="19"/>
      <c r="M130" s="19"/>
      <c r="N130" s="44" t="s">
        <v>27</v>
      </c>
      <c r="O130" s="45"/>
      <c r="P130" s="45"/>
      <c r="Q130" s="19"/>
      <c r="R130" s="19"/>
      <c r="S130" s="45"/>
      <c r="T130" s="19"/>
      <c r="U130" s="45"/>
      <c r="V130" s="19"/>
      <c r="W130" s="46"/>
      <c r="X130" s="45"/>
      <c r="Y130" s="45"/>
      <c r="Z130" s="45"/>
      <c r="AA130" s="46"/>
      <c r="AB130" s="28"/>
      <c r="AC130" s="24"/>
      <c r="AD130" s="24"/>
    </row>
    <row r="131">
      <c r="A131" s="25"/>
      <c r="B131" s="17" t="s">
        <v>680</v>
      </c>
      <c r="C131" s="17">
        <v>7.782069133E9</v>
      </c>
      <c r="D131" s="19"/>
      <c r="E131" s="45"/>
      <c r="F131" s="19"/>
      <c r="G131" s="19"/>
      <c r="H131" s="19"/>
      <c r="I131" s="19"/>
      <c r="J131" s="19"/>
      <c r="K131" s="18" t="s">
        <v>608</v>
      </c>
      <c r="L131" s="19"/>
      <c r="M131" s="19"/>
      <c r="N131" s="44" t="s">
        <v>13</v>
      </c>
      <c r="O131" s="45"/>
      <c r="P131" s="45"/>
      <c r="Q131" s="19"/>
      <c r="R131" s="19"/>
      <c r="S131" s="45"/>
      <c r="T131" s="19"/>
      <c r="U131" s="45"/>
      <c r="V131" s="19"/>
      <c r="W131" s="46"/>
      <c r="X131" s="45"/>
      <c r="Y131" s="45"/>
      <c r="Z131" s="45"/>
      <c r="AA131" s="46"/>
      <c r="AB131" s="17"/>
      <c r="AC131" s="24"/>
      <c r="AD131" s="24"/>
    </row>
    <row r="132">
      <c r="A132" s="25"/>
      <c r="B132" s="17" t="s">
        <v>53</v>
      </c>
      <c r="C132" s="17">
        <v>9.065585658E9</v>
      </c>
      <c r="D132" s="26">
        <v>25.0</v>
      </c>
      <c r="E132" s="45"/>
      <c r="F132" s="26" t="s">
        <v>370</v>
      </c>
      <c r="G132" s="19"/>
      <c r="H132" s="19"/>
      <c r="I132" s="26" t="s">
        <v>377</v>
      </c>
      <c r="J132" s="19"/>
      <c r="K132" s="18" t="s">
        <v>608</v>
      </c>
      <c r="L132" s="26" t="s">
        <v>609</v>
      </c>
      <c r="M132" s="26" t="s">
        <v>610</v>
      </c>
      <c r="N132" s="44" t="s">
        <v>9</v>
      </c>
      <c r="O132" s="43" t="s">
        <v>4</v>
      </c>
      <c r="P132" s="45"/>
      <c r="Q132" s="19"/>
      <c r="R132" s="19"/>
      <c r="S132" s="43" t="s">
        <v>380</v>
      </c>
      <c r="T132" s="19"/>
      <c r="U132" s="43" t="s">
        <v>4</v>
      </c>
      <c r="V132" s="19"/>
      <c r="W132" s="42" t="s">
        <v>616</v>
      </c>
      <c r="X132" s="43" t="s">
        <v>4</v>
      </c>
      <c r="Y132" s="43" t="s">
        <v>4</v>
      </c>
      <c r="Z132" s="43" t="s">
        <v>4</v>
      </c>
      <c r="AA132" s="42" t="s">
        <v>391</v>
      </c>
      <c r="AB132" s="28"/>
      <c r="AC132" s="24"/>
      <c r="AD132" s="24"/>
    </row>
    <row r="133">
      <c r="A133" s="25"/>
      <c r="B133" s="17" t="s">
        <v>681</v>
      </c>
      <c r="C133" s="17">
        <v>9955.0</v>
      </c>
      <c r="D133" s="19"/>
      <c r="E133" s="45"/>
      <c r="F133" s="19"/>
      <c r="G133" s="19"/>
      <c r="H133" s="19"/>
      <c r="I133" s="19"/>
      <c r="J133" s="19"/>
      <c r="K133" s="18" t="s">
        <v>608</v>
      </c>
      <c r="L133" s="19"/>
      <c r="M133" s="19"/>
      <c r="N133" s="44" t="s">
        <v>30</v>
      </c>
      <c r="O133" s="45"/>
      <c r="P133" s="45"/>
      <c r="Q133" s="19"/>
      <c r="R133" s="19"/>
      <c r="S133" s="45"/>
      <c r="T133" s="19"/>
      <c r="U133" s="45"/>
      <c r="V133" s="19"/>
      <c r="W133" s="46"/>
      <c r="X133" s="45"/>
      <c r="Y133" s="45"/>
      <c r="Z133" s="45"/>
      <c r="AA133" s="46"/>
      <c r="AB133" s="28"/>
      <c r="AC133" s="24"/>
      <c r="AD133" s="24"/>
    </row>
    <row r="134">
      <c r="A134" s="31"/>
      <c r="B134" s="17" t="s">
        <v>284</v>
      </c>
      <c r="C134" s="17">
        <v>7.939896002E9</v>
      </c>
      <c r="D134" s="19"/>
      <c r="E134" s="45"/>
      <c r="F134" s="19"/>
      <c r="G134" s="19"/>
      <c r="H134" s="19"/>
      <c r="I134" s="19"/>
      <c r="J134" s="19"/>
      <c r="K134" s="18" t="s">
        <v>608</v>
      </c>
      <c r="L134" s="19"/>
      <c r="M134" s="19"/>
      <c r="N134" s="44" t="s">
        <v>30</v>
      </c>
      <c r="O134" s="45"/>
      <c r="P134" s="45"/>
      <c r="Q134" s="19"/>
      <c r="R134" s="19"/>
      <c r="S134" s="45"/>
      <c r="T134" s="19"/>
      <c r="U134" s="45"/>
      <c r="V134" s="19"/>
      <c r="W134" s="46"/>
      <c r="X134" s="45"/>
      <c r="Y134" s="45"/>
      <c r="Z134" s="45"/>
      <c r="AA134" s="46"/>
      <c r="AB134" s="17"/>
      <c r="AC134" s="24"/>
      <c r="AD134" s="24"/>
    </row>
    <row r="135">
      <c r="A135" s="32"/>
      <c r="B135" s="33"/>
      <c r="C135" s="34"/>
      <c r="K135" s="34"/>
      <c r="N135" s="34"/>
      <c r="AB135" s="33"/>
      <c r="AC135" s="24"/>
      <c r="AD135" s="24"/>
    </row>
    <row r="136">
      <c r="A136" s="16" t="s">
        <v>682</v>
      </c>
      <c r="B136" s="17" t="s">
        <v>683</v>
      </c>
      <c r="C136" s="17">
        <v>7.2506631E9</v>
      </c>
      <c r="D136" s="26">
        <v>28.0</v>
      </c>
      <c r="E136" s="20" t="s">
        <v>367</v>
      </c>
      <c r="F136" s="26" t="s">
        <v>429</v>
      </c>
      <c r="G136" s="19"/>
      <c r="H136" s="19"/>
      <c r="I136" s="26" t="s">
        <v>408</v>
      </c>
      <c r="J136" s="26" t="s">
        <v>684</v>
      </c>
      <c r="K136" s="18" t="s">
        <v>685</v>
      </c>
      <c r="L136" s="26" t="s">
        <v>685</v>
      </c>
      <c r="M136" s="26" t="s">
        <v>686</v>
      </c>
      <c r="N136" s="21" t="s">
        <v>9</v>
      </c>
      <c r="O136" s="20" t="s">
        <v>4</v>
      </c>
      <c r="P136" s="20" t="s">
        <v>4</v>
      </c>
      <c r="Q136" s="26" t="s">
        <v>659</v>
      </c>
      <c r="R136" s="19"/>
      <c r="S136" s="20" t="s">
        <v>4</v>
      </c>
      <c r="T136" s="26" t="s">
        <v>687</v>
      </c>
      <c r="U136" s="20" t="s">
        <v>380</v>
      </c>
      <c r="V136" s="19"/>
      <c r="W136" s="26" t="s">
        <v>612</v>
      </c>
      <c r="X136" s="20" t="s">
        <v>4</v>
      </c>
      <c r="Y136" s="20" t="s">
        <v>4</v>
      </c>
      <c r="Z136" s="20" t="s">
        <v>4</v>
      </c>
      <c r="AA136" s="26" t="s">
        <v>391</v>
      </c>
      <c r="AB136" s="19"/>
      <c r="AC136" s="24"/>
      <c r="AD136" s="24"/>
    </row>
    <row r="137">
      <c r="A137" s="25"/>
      <c r="B137" s="17" t="s">
        <v>688</v>
      </c>
      <c r="C137" s="17">
        <v>9.771560886E9</v>
      </c>
      <c r="D137" s="26">
        <v>66.0</v>
      </c>
      <c r="E137" s="20" t="s">
        <v>367</v>
      </c>
      <c r="F137" s="26" t="s">
        <v>689</v>
      </c>
      <c r="G137" s="19"/>
      <c r="H137" s="19"/>
      <c r="I137" s="26" t="s">
        <v>523</v>
      </c>
      <c r="J137" s="26" t="s">
        <v>684</v>
      </c>
      <c r="K137" s="18" t="s">
        <v>685</v>
      </c>
      <c r="L137" s="26" t="s">
        <v>685</v>
      </c>
      <c r="M137" s="26" t="s">
        <v>686</v>
      </c>
      <c r="N137" s="21" t="s">
        <v>9</v>
      </c>
      <c r="O137" s="20" t="s">
        <v>4</v>
      </c>
      <c r="P137" s="20" t="s">
        <v>4</v>
      </c>
      <c r="Q137" s="26" t="s">
        <v>659</v>
      </c>
      <c r="R137" s="19"/>
      <c r="S137" s="20" t="s">
        <v>4</v>
      </c>
      <c r="T137" s="26" t="s">
        <v>660</v>
      </c>
      <c r="U137" s="20" t="s">
        <v>380</v>
      </c>
      <c r="V137" s="19"/>
      <c r="W137" s="26" t="s">
        <v>612</v>
      </c>
      <c r="X137" s="20" t="s">
        <v>4</v>
      </c>
      <c r="Y137" s="20" t="s">
        <v>4</v>
      </c>
      <c r="Z137" s="20" t="s">
        <v>4</v>
      </c>
      <c r="AA137" s="26" t="s">
        <v>391</v>
      </c>
      <c r="AB137" s="19"/>
      <c r="AC137" s="24"/>
      <c r="AD137" s="24"/>
    </row>
    <row r="138">
      <c r="A138" s="25"/>
      <c r="B138" s="17" t="s">
        <v>690</v>
      </c>
      <c r="C138" s="17">
        <v>8.521056237E9</v>
      </c>
      <c r="D138" s="26">
        <v>50.0</v>
      </c>
      <c r="E138" s="20" t="s">
        <v>367</v>
      </c>
      <c r="F138" s="26" t="s">
        <v>441</v>
      </c>
      <c r="G138" s="26" t="s">
        <v>551</v>
      </c>
      <c r="H138" s="19"/>
      <c r="I138" s="26" t="s">
        <v>551</v>
      </c>
      <c r="J138" s="26" t="s">
        <v>691</v>
      </c>
      <c r="K138" s="18" t="s">
        <v>692</v>
      </c>
      <c r="L138" s="26" t="s">
        <v>685</v>
      </c>
      <c r="M138" s="26" t="s">
        <v>686</v>
      </c>
      <c r="N138" s="21" t="s">
        <v>9</v>
      </c>
      <c r="O138" s="20" t="s">
        <v>4</v>
      </c>
      <c r="P138" s="20" t="s">
        <v>4</v>
      </c>
      <c r="Q138" s="19"/>
      <c r="R138" s="19"/>
      <c r="S138" s="20" t="s">
        <v>380</v>
      </c>
      <c r="T138" s="19"/>
      <c r="U138" s="20" t="s">
        <v>380</v>
      </c>
      <c r="V138" s="19"/>
      <c r="W138" s="26" t="s">
        <v>612</v>
      </c>
      <c r="X138" s="20" t="s">
        <v>4</v>
      </c>
      <c r="Y138" s="20" t="s">
        <v>4</v>
      </c>
      <c r="Z138" s="20" t="s">
        <v>4</v>
      </c>
      <c r="AA138" s="26" t="s">
        <v>391</v>
      </c>
      <c r="AB138" s="19"/>
      <c r="AC138" s="24"/>
      <c r="AD138" s="24"/>
    </row>
    <row r="139">
      <c r="A139" s="25"/>
      <c r="B139" s="17" t="s">
        <v>693</v>
      </c>
      <c r="C139" s="17">
        <v>7.65475642E9</v>
      </c>
      <c r="D139" s="26">
        <v>27.0</v>
      </c>
      <c r="E139" s="20" t="s">
        <v>367</v>
      </c>
      <c r="F139" s="26" t="s">
        <v>429</v>
      </c>
      <c r="G139" s="26" t="s">
        <v>371</v>
      </c>
      <c r="H139" s="19"/>
      <c r="I139" s="26" t="s">
        <v>384</v>
      </c>
      <c r="J139" s="26" t="s">
        <v>691</v>
      </c>
      <c r="K139" s="18" t="s">
        <v>692</v>
      </c>
      <c r="L139" s="26" t="s">
        <v>685</v>
      </c>
      <c r="M139" s="26" t="s">
        <v>694</v>
      </c>
      <c r="N139" s="21" t="s">
        <v>9</v>
      </c>
      <c r="O139" s="20" t="s">
        <v>380</v>
      </c>
      <c r="P139" s="20" t="s">
        <v>380</v>
      </c>
      <c r="Q139" s="19"/>
      <c r="R139" s="19"/>
      <c r="S139" s="20" t="s">
        <v>380</v>
      </c>
      <c r="T139" s="19"/>
      <c r="U139" s="20" t="s">
        <v>380</v>
      </c>
      <c r="V139" s="19"/>
      <c r="W139" s="26" t="s">
        <v>612</v>
      </c>
      <c r="X139" s="20" t="s">
        <v>4</v>
      </c>
      <c r="Y139" s="20" t="s">
        <v>4</v>
      </c>
      <c r="Z139" s="20" t="s">
        <v>4</v>
      </c>
      <c r="AA139" s="26" t="s">
        <v>391</v>
      </c>
      <c r="AB139" s="19"/>
      <c r="AC139" s="24"/>
      <c r="AD139" s="24"/>
    </row>
    <row r="140">
      <c r="A140" s="25"/>
      <c r="B140" s="17" t="s">
        <v>695</v>
      </c>
      <c r="C140" s="17">
        <v>9.708666676E9</v>
      </c>
      <c r="D140" s="26">
        <v>28.0</v>
      </c>
      <c r="E140" s="20" t="s">
        <v>367</v>
      </c>
      <c r="F140" s="26" t="s">
        <v>560</v>
      </c>
      <c r="G140" s="19"/>
      <c r="H140" s="19"/>
      <c r="I140" s="26" t="s">
        <v>384</v>
      </c>
      <c r="J140" s="19"/>
      <c r="K140" s="18" t="s">
        <v>692</v>
      </c>
      <c r="L140" s="26" t="s">
        <v>685</v>
      </c>
      <c r="M140" s="26" t="s">
        <v>696</v>
      </c>
      <c r="N140" s="21" t="s">
        <v>9</v>
      </c>
      <c r="O140" s="20" t="s">
        <v>4</v>
      </c>
      <c r="P140" s="20" t="s">
        <v>380</v>
      </c>
      <c r="Q140" s="19"/>
      <c r="R140" s="19"/>
      <c r="S140" s="20" t="s">
        <v>4</v>
      </c>
      <c r="T140" s="26" t="s">
        <v>660</v>
      </c>
      <c r="U140" s="20" t="s">
        <v>380</v>
      </c>
      <c r="V140" s="19"/>
      <c r="W140" s="26" t="s">
        <v>616</v>
      </c>
      <c r="X140" s="20" t="s">
        <v>4</v>
      </c>
      <c r="Y140" s="20" t="s">
        <v>4</v>
      </c>
      <c r="Z140" s="20" t="s">
        <v>4</v>
      </c>
      <c r="AA140" s="26" t="s">
        <v>391</v>
      </c>
      <c r="AB140" s="19"/>
      <c r="AC140" s="24"/>
      <c r="AD140" s="24"/>
    </row>
    <row r="141">
      <c r="A141" s="25"/>
      <c r="B141" s="17" t="s">
        <v>697</v>
      </c>
      <c r="C141" s="17">
        <v>9.576520293E9</v>
      </c>
      <c r="D141" s="19"/>
      <c r="E141" s="22"/>
      <c r="F141" s="19"/>
      <c r="G141" s="19"/>
      <c r="H141" s="19"/>
      <c r="I141" s="19"/>
      <c r="J141" s="19"/>
      <c r="K141" s="18" t="s">
        <v>692</v>
      </c>
      <c r="L141" s="19"/>
      <c r="M141" s="19"/>
      <c r="N141" s="21" t="s">
        <v>13</v>
      </c>
      <c r="O141" s="22"/>
      <c r="P141" s="22"/>
      <c r="Q141" s="19"/>
      <c r="R141" s="19"/>
      <c r="S141" s="22"/>
      <c r="T141" s="19"/>
      <c r="U141" s="22"/>
      <c r="V141" s="19"/>
      <c r="W141" s="19"/>
      <c r="X141" s="22"/>
      <c r="Y141" s="22"/>
      <c r="Z141" s="22"/>
      <c r="AA141" s="19"/>
      <c r="AB141" s="19"/>
      <c r="AC141" s="24"/>
      <c r="AD141" s="24"/>
    </row>
    <row r="142">
      <c r="A142" s="25"/>
      <c r="B142" s="17" t="s">
        <v>698</v>
      </c>
      <c r="C142" s="17">
        <v>9.52520903E9</v>
      </c>
      <c r="D142" s="19"/>
      <c r="E142" s="22"/>
      <c r="F142" s="19"/>
      <c r="G142" s="19"/>
      <c r="H142" s="19"/>
      <c r="I142" s="19"/>
      <c r="J142" s="19"/>
      <c r="K142" s="18" t="s">
        <v>692</v>
      </c>
      <c r="L142" s="19"/>
      <c r="M142" s="19"/>
      <c r="N142" s="21" t="s">
        <v>27</v>
      </c>
      <c r="O142" s="22"/>
      <c r="P142" s="22"/>
      <c r="Q142" s="19"/>
      <c r="R142" s="19"/>
      <c r="S142" s="22"/>
      <c r="T142" s="19"/>
      <c r="U142" s="22"/>
      <c r="V142" s="19"/>
      <c r="W142" s="19"/>
      <c r="X142" s="22"/>
      <c r="Y142" s="22"/>
      <c r="Z142" s="22"/>
      <c r="AA142" s="19"/>
      <c r="AB142" s="19"/>
      <c r="AC142" s="24"/>
      <c r="AD142" s="24"/>
    </row>
    <row r="143">
      <c r="A143" s="25"/>
      <c r="B143" s="17" t="s">
        <v>699</v>
      </c>
      <c r="C143" s="17">
        <v>6.20264125E9</v>
      </c>
      <c r="D143" s="26">
        <v>30.0</v>
      </c>
      <c r="E143" s="20" t="s">
        <v>367</v>
      </c>
      <c r="F143" s="26" t="s">
        <v>600</v>
      </c>
      <c r="G143" s="19"/>
      <c r="H143" s="19"/>
      <c r="I143" s="26" t="s">
        <v>384</v>
      </c>
      <c r="J143" s="19"/>
      <c r="K143" s="18" t="s">
        <v>692</v>
      </c>
      <c r="L143" s="26" t="s">
        <v>685</v>
      </c>
      <c r="M143" s="26" t="s">
        <v>700</v>
      </c>
      <c r="N143" s="21" t="s">
        <v>9</v>
      </c>
      <c r="O143" s="20" t="s">
        <v>4</v>
      </c>
      <c r="P143" s="20" t="s">
        <v>380</v>
      </c>
      <c r="Q143" s="19"/>
      <c r="R143" s="19"/>
      <c r="S143" s="20" t="s">
        <v>380</v>
      </c>
      <c r="T143" s="19"/>
      <c r="U143" s="20" t="s">
        <v>380</v>
      </c>
      <c r="V143" s="19"/>
      <c r="W143" s="26" t="s">
        <v>612</v>
      </c>
      <c r="X143" s="20" t="s">
        <v>4</v>
      </c>
      <c r="Y143" s="20" t="s">
        <v>4</v>
      </c>
      <c r="Z143" s="20" t="s">
        <v>4</v>
      </c>
      <c r="AA143" s="26" t="s">
        <v>391</v>
      </c>
      <c r="AB143" s="19"/>
      <c r="AC143" s="24"/>
      <c r="AD143" s="24"/>
    </row>
    <row r="144">
      <c r="A144" s="25"/>
      <c r="B144" s="17" t="s">
        <v>701</v>
      </c>
      <c r="C144" s="17">
        <v>9.708577062E9</v>
      </c>
      <c r="D144" s="26">
        <v>25.0</v>
      </c>
      <c r="E144" s="20" t="s">
        <v>367</v>
      </c>
      <c r="F144" s="26" t="s">
        <v>702</v>
      </c>
      <c r="G144" s="19"/>
      <c r="H144" s="19"/>
      <c r="I144" s="26" t="s">
        <v>384</v>
      </c>
      <c r="J144" s="19"/>
      <c r="K144" s="18" t="s">
        <v>692</v>
      </c>
      <c r="L144" s="26" t="s">
        <v>685</v>
      </c>
      <c r="M144" s="26" t="s">
        <v>700</v>
      </c>
      <c r="N144" s="21" t="s">
        <v>9</v>
      </c>
      <c r="O144" s="20" t="s">
        <v>4</v>
      </c>
      <c r="P144" s="20" t="s">
        <v>4</v>
      </c>
      <c r="Q144" s="26" t="s">
        <v>703</v>
      </c>
      <c r="R144" s="19"/>
      <c r="S144" s="20" t="s">
        <v>4</v>
      </c>
      <c r="T144" s="26" t="s">
        <v>660</v>
      </c>
      <c r="U144" s="20" t="s">
        <v>4</v>
      </c>
      <c r="V144" s="26" t="s">
        <v>704</v>
      </c>
      <c r="W144" s="26" t="s">
        <v>616</v>
      </c>
      <c r="X144" s="20" t="s">
        <v>4</v>
      </c>
      <c r="Y144" s="20" t="s">
        <v>4</v>
      </c>
      <c r="Z144" s="20" t="s">
        <v>4</v>
      </c>
      <c r="AA144" s="26" t="s">
        <v>391</v>
      </c>
      <c r="AB144" s="19"/>
      <c r="AC144" s="24"/>
      <c r="AD144" s="24"/>
    </row>
    <row r="145">
      <c r="A145" s="25"/>
      <c r="B145" s="17" t="s">
        <v>705</v>
      </c>
      <c r="C145" s="17">
        <v>9.110989115E9</v>
      </c>
      <c r="D145" s="19"/>
      <c r="E145" s="22"/>
      <c r="F145" s="19"/>
      <c r="G145" s="19"/>
      <c r="H145" s="19"/>
      <c r="I145" s="19"/>
      <c r="J145" s="19"/>
      <c r="K145" s="18" t="s">
        <v>692</v>
      </c>
      <c r="L145" s="19"/>
      <c r="M145" s="19"/>
      <c r="N145" s="21" t="s">
        <v>23</v>
      </c>
      <c r="O145" s="22"/>
      <c r="P145" s="22"/>
      <c r="Q145" s="19"/>
      <c r="R145" s="19"/>
      <c r="S145" s="22"/>
      <c r="T145" s="19"/>
      <c r="U145" s="22"/>
      <c r="V145" s="19"/>
      <c r="W145" s="19"/>
      <c r="X145" s="22"/>
      <c r="Y145" s="22"/>
      <c r="Z145" s="22"/>
      <c r="AA145" s="19"/>
      <c r="AB145" s="19"/>
      <c r="AC145" s="24"/>
      <c r="AD145" s="24"/>
    </row>
    <row r="146">
      <c r="A146" s="25"/>
      <c r="B146" s="17" t="s">
        <v>706</v>
      </c>
      <c r="C146" s="17">
        <v>8.310770141E9</v>
      </c>
      <c r="D146" s="19"/>
      <c r="E146" s="22"/>
      <c r="F146" s="19"/>
      <c r="G146" s="19"/>
      <c r="H146" s="19"/>
      <c r="I146" s="19"/>
      <c r="J146" s="19"/>
      <c r="K146" s="18" t="s">
        <v>692</v>
      </c>
      <c r="L146" s="19"/>
      <c r="M146" s="19"/>
      <c r="N146" s="21" t="s">
        <v>9</v>
      </c>
      <c r="O146" s="22"/>
      <c r="P146" s="22"/>
      <c r="Q146" s="19"/>
      <c r="R146" s="19"/>
      <c r="S146" s="22"/>
      <c r="T146" s="19"/>
      <c r="U146" s="22"/>
      <c r="V146" s="19"/>
      <c r="W146" s="19"/>
      <c r="X146" s="22"/>
      <c r="Y146" s="22"/>
      <c r="Z146" s="22"/>
      <c r="AA146" s="26" t="s">
        <v>410</v>
      </c>
      <c r="AB146" s="26" t="s">
        <v>707</v>
      </c>
      <c r="AC146" s="24"/>
      <c r="AD146" s="24"/>
    </row>
    <row r="147">
      <c r="A147" s="25"/>
      <c r="B147" s="17" t="s">
        <v>708</v>
      </c>
      <c r="C147" s="17">
        <v>8.209823203E9</v>
      </c>
      <c r="D147" s="26">
        <v>33.0</v>
      </c>
      <c r="E147" s="20" t="s">
        <v>367</v>
      </c>
      <c r="F147" s="19"/>
      <c r="G147" s="26" t="s">
        <v>551</v>
      </c>
      <c r="H147" s="19"/>
      <c r="I147" s="26" t="s">
        <v>551</v>
      </c>
      <c r="J147" s="26" t="s">
        <v>691</v>
      </c>
      <c r="K147" s="18" t="s">
        <v>692</v>
      </c>
      <c r="L147" s="26" t="s">
        <v>709</v>
      </c>
      <c r="M147" s="26" t="s">
        <v>710</v>
      </c>
      <c r="N147" s="21" t="s">
        <v>9</v>
      </c>
      <c r="O147" s="20" t="s">
        <v>380</v>
      </c>
      <c r="P147" s="20" t="s">
        <v>380</v>
      </c>
      <c r="Q147" s="19"/>
      <c r="R147" s="19"/>
      <c r="S147" s="20" t="s">
        <v>380</v>
      </c>
      <c r="T147" s="19"/>
      <c r="U147" s="20" t="s">
        <v>380</v>
      </c>
      <c r="V147" s="19"/>
      <c r="W147" s="26" t="s">
        <v>612</v>
      </c>
      <c r="X147" s="20" t="s">
        <v>4</v>
      </c>
      <c r="Y147" s="20" t="s">
        <v>4</v>
      </c>
      <c r="Z147" s="20" t="s">
        <v>4</v>
      </c>
      <c r="AA147" s="26" t="s">
        <v>391</v>
      </c>
      <c r="AB147" s="19"/>
      <c r="AC147" s="24"/>
      <c r="AD147" s="24"/>
    </row>
    <row r="148">
      <c r="A148" s="25"/>
      <c r="B148" s="17" t="s">
        <v>711</v>
      </c>
      <c r="C148" s="17">
        <v>9.507341485E9</v>
      </c>
      <c r="D148" s="26">
        <v>50.0</v>
      </c>
      <c r="E148" s="20" t="s">
        <v>367</v>
      </c>
      <c r="F148" s="26" t="s">
        <v>557</v>
      </c>
      <c r="G148" s="19"/>
      <c r="H148" s="19"/>
      <c r="I148" s="26" t="s">
        <v>458</v>
      </c>
      <c r="J148" s="19"/>
      <c r="K148" s="18" t="s">
        <v>692</v>
      </c>
      <c r="L148" s="26" t="s">
        <v>685</v>
      </c>
      <c r="M148" s="26" t="s">
        <v>712</v>
      </c>
      <c r="N148" s="21" t="s">
        <v>9</v>
      </c>
      <c r="O148" s="20" t="s">
        <v>4</v>
      </c>
      <c r="P148" s="20" t="s">
        <v>4</v>
      </c>
      <c r="Q148" s="26" t="s">
        <v>703</v>
      </c>
      <c r="R148" s="19"/>
      <c r="S148" s="20" t="s">
        <v>380</v>
      </c>
      <c r="T148" s="19"/>
      <c r="U148" s="20" t="s">
        <v>380</v>
      </c>
      <c r="V148" s="19"/>
      <c r="W148" s="26" t="s">
        <v>612</v>
      </c>
      <c r="X148" s="20" t="s">
        <v>4</v>
      </c>
      <c r="Y148" s="20" t="s">
        <v>4</v>
      </c>
      <c r="Z148" s="20" t="s">
        <v>4</v>
      </c>
      <c r="AA148" s="26" t="s">
        <v>391</v>
      </c>
      <c r="AB148" s="19"/>
      <c r="AC148" s="24"/>
      <c r="AD148" s="24"/>
    </row>
    <row r="149">
      <c r="A149" s="25"/>
      <c r="B149" s="17" t="s">
        <v>699</v>
      </c>
      <c r="C149" s="17">
        <v>9.113360727E9</v>
      </c>
      <c r="D149" s="26">
        <v>32.0</v>
      </c>
      <c r="E149" s="20" t="s">
        <v>367</v>
      </c>
      <c r="F149" s="26" t="s">
        <v>557</v>
      </c>
      <c r="G149" s="19"/>
      <c r="H149" s="19"/>
      <c r="I149" s="26" t="s">
        <v>384</v>
      </c>
      <c r="J149" s="19"/>
      <c r="K149" s="18" t="s">
        <v>692</v>
      </c>
      <c r="L149" s="26" t="s">
        <v>685</v>
      </c>
      <c r="M149" s="26" t="s">
        <v>713</v>
      </c>
      <c r="N149" s="21" t="s">
        <v>9</v>
      </c>
      <c r="O149" s="20" t="s">
        <v>4</v>
      </c>
      <c r="P149" s="20" t="s">
        <v>4</v>
      </c>
      <c r="Q149" s="26" t="s">
        <v>703</v>
      </c>
      <c r="R149" s="19"/>
      <c r="S149" s="20" t="s">
        <v>4</v>
      </c>
      <c r="T149" s="26" t="s">
        <v>660</v>
      </c>
      <c r="U149" s="20" t="s">
        <v>380</v>
      </c>
      <c r="V149" s="19"/>
      <c r="W149" s="26" t="s">
        <v>616</v>
      </c>
      <c r="X149" s="20" t="s">
        <v>4</v>
      </c>
      <c r="Y149" s="20" t="s">
        <v>4</v>
      </c>
      <c r="Z149" s="20" t="s">
        <v>4</v>
      </c>
      <c r="AA149" s="26" t="s">
        <v>391</v>
      </c>
      <c r="AB149" s="19"/>
      <c r="AC149" s="24"/>
      <c r="AD149" s="24"/>
    </row>
    <row r="150">
      <c r="A150" s="25"/>
      <c r="B150" s="17" t="s">
        <v>714</v>
      </c>
      <c r="C150" s="17">
        <v>9.507091169E9</v>
      </c>
      <c r="D150" s="26">
        <v>48.0</v>
      </c>
      <c r="E150" s="22"/>
      <c r="F150" s="26" t="s">
        <v>557</v>
      </c>
      <c r="G150" s="19"/>
      <c r="H150" s="19"/>
      <c r="I150" s="26" t="s">
        <v>384</v>
      </c>
      <c r="J150" s="19"/>
      <c r="K150" s="18" t="s">
        <v>692</v>
      </c>
      <c r="L150" s="26" t="s">
        <v>685</v>
      </c>
      <c r="M150" s="26" t="s">
        <v>713</v>
      </c>
      <c r="N150" s="21" t="s">
        <v>9</v>
      </c>
      <c r="O150" s="20" t="s">
        <v>4</v>
      </c>
      <c r="P150" s="20" t="s">
        <v>4</v>
      </c>
      <c r="Q150" s="26" t="s">
        <v>715</v>
      </c>
      <c r="R150" s="19"/>
      <c r="S150" s="20" t="s">
        <v>4</v>
      </c>
      <c r="T150" s="26" t="s">
        <v>660</v>
      </c>
      <c r="U150" s="20" t="s">
        <v>4</v>
      </c>
      <c r="V150" s="26" t="s">
        <v>618</v>
      </c>
      <c r="W150" s="26" t="s">
        <v>612</v>
      </c>
      <c r="X150" s="20" t="s">
        <v>4</v>
      </c>
      <c r="Y150" s="20" t="s">
        <v>4</v>
      </c>
      <c r="Z150" s="20" t="s">
        <v>4</v>
      </c>
      <c r="AA150" s="26" t="s">
        <v>391</v>
      </c>
      <c r="AB150" s="19"/>
      <c r="AC150" s="24"/>
      <c r="AD150" s="24"/>
    </row>
    <row r="151">
      <c r="A151" s="25"/>
      <c r="B151" s="17" t="s">
        <v>716</v>
      </c>
      <c r="C151" s="17">
        <v>8.235783797E9</v>
      </c>
      <c r="D151" s="19"/>
      <c r="E151" s="22"/>
      <c r="F151" s="19"/>
      <c r="G151" s="19"/>
      <c r="H151" s="19"/>
      <c r="I151" s="19"/>
      <c r="J151" s="19"/>
      <c r="K151" s="18" t="s">
        <v>692</v>
      </c>
      <c r="L151" s="19"/>
      <c r="M151" s="19"/>
      <c r="N151" s="21" t="s">
        <v>27</v>
      </c>
      <c r="O151" s="22"/>
      <c r="P151" s="22"/>
      <c r="Q151" s="19"/>
      <c r="R151" s="19"/>
      <c r="S151" s="22"/>
      <c r="T151" s="19"/>
      <c r="U151" s="22"/>
      <c r="V151" s="19"/>
      <c r="W151" s="19"/>
      <c r="X151" s="22"/>
      <c r="Y151" s="22"/>
      <c r="Z151" s="22"/>
      <c r="AA151" s="19"/>
      <c r="AB151" s="19"/>
      <c r="AC151" s="24"/>
      <c r="AD151" s="24"/>
    </row>
    <row r="152">
      <c r="A152" s="25"/>
      <c r="B152" s="17" t="s">
        <v>717</v>
      </c>
      <c r="C152" s="17">
        <v>9.80115937E9</v>
      </c>
      <c r="D152" s="26">
        <v>36.0</v>
      </c>
      <c r="E152" s="20" t="s">
        <v>367</v>
      </c>
      <c r="F152" s="26" t="s">
        <v>718</v>
      </c>
      <c r="G152" s="19"/>
      <c r="H152" s="19"/>
      <c r="I152" s="26" t="s">
        <v>719</v>
      </c>
      <c r="J152" s="19"/>
      <c r="K152" s="18" t="s">
        <v>692</v>
      </c>
      <c r="L152" s="26" t="s">
        <v>720</v>
      </c>
      <c r="M152" s="26" t="s">
        <v>696</v>
      </c>
      <c r="N152" s="21" t="s">
        <v>9</v>
      </c>
      <c r="O152" s="20" t="s">
        <v>4</v>
      </c>
      <c r="P152" s="20" t="s">
        <v>380</v>
      </c>
      <c r="Q152" s="19"/>
      <c r="R152" s="19"/>
      <c r="S152" s="20" t="s">
        <v>4</v>
      </c>
      <c r="T152" s="26" t="s">
        <v>660</v>
      </c>
      <c r="U152" s="20" t="s">
        <v>380</v>
      </c>
      <c r="V152" s="19"/>
      <c r="W152" s="26" t="s">
        <v>616</v>
      </c>
      <c r="X152" s="20" t="s">
        <v>4</v>
      </c>
      <c r="Y152" s="20" t="s">
        <v>4</v>
      </c>
      <c r="Z152" s="20" t="s">
        <v>4</v>
      </c>
      <c r="AA152" s="26" t="s">
        <v>391</v>
      </c>
      <c r="AB152" s="19"/>
      <c r="AC152" s="24"/>
      <c r="AD152" s="24"/>
    </row>
    <row r="153">
      <c r="A153" s="25"/>
      <c r="B153" s="17" t="s">
        <v>721</v>
      </c>
      <c r="C153" s="17">
        <v>9.560602801E9</v>
      </c>
      <c r="D153" s="19"/>
      <c r="E153" s="22"/>
      <c r="F153" s="19"/>
      <c r="G153" s="19"/>
      <c r="H153" s="19"/>
      <c r="I153" s="19"/>
      <c r="J153" s="19"/>
      <c r="K153" s="18" t="s">
        <v>692</v>
      </c>
      <c r="L153" s="19"/>
      <c r="M153" s="19"/>
      <c r="N153" s="21" t="s">
        <v>23</v>
      </c>
      <c r="O153" s="22"/>
      <c r="P153" s="22"/>
      <c r="Q153" s="19"/>
      <c r="R153" s="19"/>
      <c r="S153" s="22"/>
      <c r="T153" s="19"/>
      <c r="U153" s="22"/>
      <c r="V153" s="19"/>
      <c r="W153" s="19"/>
      <c r="X153" s="22"/>
      <c r="Y153" s="22"/>
      <c r="Z153" s="22"/>
      <c r="AA153" s="19"/>
      <c r="AB153" s="19"/>
      <c r="AC153" s="24"/>
      <c r="AD153" s="24"/>
    </row>
    <row r="154">
      <c r="A154" s="25"/>
      <c r="B154" s="17" t="s">
        <v>412</v>
      </c>
      <c r="C154" s="17">
        <v>6.201273446E9</v>
      </c>
      <c r="D154" s="19"/>
      <c r="E154" s="22"/>
      <c r="F154" s="19"/>
      <c r="G154" s="19"/>
      <c r="H154" s="19"/>
      <c r="I154" s="19"/>
      <c r="J154" s="19"/>
      <c r="K154" s="18" t="s">
        <v>692</v>
      </c>
      <c r="L154" s="19"/>
      <c r="M154" s="19"/>
      <c r="N154" s="21" t="s">
        <v>23</v>
      </c>
      <c r="O154" s="22"/>
      <c r="P154" s="22"/>
      <c r="Q154" s="19"/>
      <c r="R154" s="19"/>
      <c r="S154" s="22"/>
      <c r="T154" s="19"/>
      <c r="U154" s="22"/>
      <c r="V154" s="19"/>
      <c r="W154" s="19"/>
      <c r="X154" s="22"/>
      <c r="Y154" s="22"/>
      <c r="Z154" s="22"/>
      <c r="AA154" s="19"/>
      <c r="AB154" s="26" t="s">
        <v>722</v>
      </c>
      <c r="AC154" s="24"/>
      <c r="AD154" s="24"/>
    </row>
    <row r="155">
      <c r="A155" s="25"/>
      <c r="B155" s="17" t="s">
        <v>723</v>
      </c>
      <c r="C155" s="17">
        <v>9.5252973E9</v>
      </c>
      <c r="D155" s="26">
        <v>68.0</v>
      </c>
      <c r="E155" s="20" t="s">
        <v>367</v>
      </c>
      <c r="F155" s="26" t="s">
        <v>557</v>
      </c>
      <c r="G155" s="19"/>
      <c r="H155" s="19"/>
      <c r="I155" s="26" t="s">
        <v>724</v>
      </c>
      <c r="J155" s="19"/>
      <c r="K155" s="18" t="s">
        <v>692</v>
      </c>
      <c r="L155" s="26" t="s">
        <v>685</v>
      </c>
      <c r="M155" s="26" t="s">
        <v>725</v>
      </c>
      <c r="N155" s="21" t="s">
        <v>9</v>
      </c>
      <c r="O155" s="20" t="s">
        <v>4</v>
      </c>
      <c r="P155" s="20" t="s">
        <v>4</v>
      </c>
      <c r="Q155" s="26" t="s">
        <v>388</v>
      </c>
      <c r="R155" s="19"/>
      <c r="S155" s="20" t="s">
        <v>4</v>
      </c>
      <c r="T155" s="26" t="s">
        <v>726</v>
      </c>
      <c r="U155" s="20" t="s">
        <v>4</v>
      </c>
      <c r="V155" s="26" t="s">
        <v>727</v>
      </c>
      <c r="W155" s="26" t="s">
        <v>616</v>
      </c>
      <c r="X155" s="20" t="s">
        <v>4</v>
      </c>
      <c r="Y155" s="20" t="s">
        <v>4</v>
      </c>
      <c r="Z155" s="20" t="s">
        <v>4</v>
      </c>
      <c r="AA155" s="26" t="s">
        <v>391</v>
      </c>
      <c r="AB155" s="19"/>
      <c r="AC155" s="24"/>
      <c r="AD155" s="24"/>
    </row>
    <row r="156">
      <c r="A156" s="25"/>
      <c r="B156" s="17" t="s">
        <v>728</v>
      </c>
      <c r="C156" s="17" t="s">
        <v>729</v>
      </c>
      <c r="D156" s="26">
        <v>50.0</v>
      </c>
      <c r="E156" s="20" t="s">
        <v>367</v>
      </c>
      <c r="F156" s="26" t="s">
        <v>374</v>
      </c>
      <c r="G156" s="26" t="s">
        <v>551</v>
      </c>
      <c r="H156" s="19"/>
      <c r="I156" s="26" t="s">
        <v>551</v>
      </c>
      <c r="J156" s="26" t="s">
        <v>691</v>
      </c>
      <c r="K156" s="18" t="s">
        <v>692</v>
      </c>
      <c r="L156" s="26" t="s">
        <v>709</v>
      </c>
      <c r="M156" s="26" t="s">
        <v>730</v>
      </c>
      <c r="N156" s="21" t="s">
        <v>9</v>
      </c>
      <c r="O156" s="20" t="s">
        <v>380</v>
      </c>
      <c r="P156" s="20" t="s">
        <v>380</v>
      </c>
      <c r="Q156" s="19"/>
      <c r="R156" s="19"/>
      <c r="S156" s="20" t="s">
        <v>380</v>
      </c>
      <c r="T156" s="19"/>
      <c r="U156" s="20" t="s">
        <v>380</v>
      </c>
      <c r="V156" s="19"/>
      <c r="W156" s="26" t="s">
        <v>612</v>
      </c>
      <c r="X156" s="20" t="s">
        <v>4</v>
      </c>
      <c r="Y156" s="20" t="s">
        <v>4</v>
      </c>
      <c r="Z156" s="20" t="s">
        <v>4</v>
      </c>
      <c r="AA156" s="26" t="s">
        <v>391</v>
      </c>
      <c r="AB156" s="19"/>
      <c r="AC156" s="24"/>
      <c r="AD156" s="24"/>
    </row>
    <row r="157">
      <c r="A157" s="25"/>
      <c r="B157" s="17" t="s">
        <v>731</v>
      </c>
      <c r="C157" s="17">
        <v>6.205397411E9</v>
      </c>
      <c r="D157" s="26">
        <v>18.0</v>
      </c>
      <c r="E157" s="20" t="s">
        <v>367</v>
      </c>
      <c r="F157" s="26" t="s">
        <v>370</v>
      </c>
      <c r="G157" s="19"/>
      <c r="H157" s="19"/>
      <c r="I157" s="26" t="s">
        <v>384</v>
      </c>
      <c r="J157" s="19"/>
      <c r="K157" s="18" t="s">
        <v>692</v>
      </c>
      <c r="L157" s="19"/>
      <c r="M157" s="26" t="s">
        <v>732</v>
      </c>
      <c r="N157" s="21" t="s">
        <v>9</v>
      </c>
      <c r="O157" s="20" t="s">
        <v>4</v>
      </c>
      <c r="P157" s="20" t="s">
        <v>380</v>
      </c>
      <c r="Q157" s="19"/>
      <c r="R157" s="19"/>
      <c r="S157" s="20" t="s">
        <v>380</v>
      </c>
      <c r="T157" s="19"/>
      <c r="U157" s="20" t="s">
        <v>380</v>
      </c>
      <c r="V157" s="19"/>
      <c r="W157" s="26" t="s">
        <v>612</v>
      </c>
      <c r="X157" s="20" t="s">
        <v>4</v>
      </c>
      <c r="Y157" s="20" t="s">
        <v>4</v>
      </c>
      <c r="Z157" s="20" t="s">
        <v>4</v>
      </c>
      <c r="AA157" s="26" t="s">
        <v>391</v>
      </c>
      <c r="AB157" s="19"/>
      <c r="AC157" s="24"/>
      <c r="AD157" s="24"/>
    </row>
    <row r="158">
      <c r="A158" s="25"/>
      <c r="B158" s="17" t="s">
        <v>733</v>
      </c>
      <c r="C158" s="17">
        <v>8.210032428E9</v>
      </c>
      <c r="D158" s="26">
        <v>28.0</v>
      </c>
      <c r="E158" s="20" t="s">
        <v>367</v>
      </c>
      <c r="F158" s="26" t="s">
        <v>600</v>
      </c>
      <c r="G158" s="19"/>
      <c r="H158" s="19"/>
      <c r="I158" s="26" t="s">
        <v>384</v>
      </c>
      <c r="J158" s="19"/>
      <c r="K158" s="18" t="s">
        <v>692</v>
      </c>
      <c r="L158" s="26" t="s">
        <v>685</v>
      </c>
      <c r="M158" s="26" t="s">
        <v>732</v>
      </c>
      <c r="N158" s="21" t="s">
        <v>9</v>
      </c>
      <c r="O158" s="20" t="s">
        <v>4</v>
      </c>
      <c r="P158" s="20" t="s">
        <v>380</v>
      </c>
      <c r="Q158" s="19"/>
      <c r="R158" s="19"/>
      <c r="S158" s="20" t="s">
        <v>4</v>
      </c>
      <c r="T158" s="26" t="s">
        <v>660</v>
      </c>
      <c r="U158" s="20" t="s">
        <v>380</v>
      </c>
      <c r="V158" s="19"/>
      <c r="W158" s="26" t="s">
        <v>616</v>
      </c>
      <c r="X158" s="20" t="s">
        <v>4</v>
      </c>
      <c r="Y158" s="20" t="s">
        <v>4</v>
      </c>
      <c r="Z158" s="20" t="s">
        <v>4</v>
      </c>
      <c r="AA158" s="26" t="s">
        <v>391</v>
      </c>
      <c r="AB158" s="19"/>
      <c r="AC158" s="24"/>
      <c r="AD158" s="24"/>
    </row>
    <row r="159">
      <c r="A159" s="25"/>
      <c r="B159" s="17" t="s">
        <v>734</v>
      </c>
      <c r="C159" s="17">
        <v>9.128145915E9</v>
      </c>
      <c r="D159" s="26">
        <v>28.0</v>
      </c>
      <c r="E159" s="20" t="s">
        <v>367</v>
      </c>
      <c r="F159" s="26" t="s">
        <v>441</v>
      </c>
      <c r="G159" s="26" t="s">
        <v>375</v>
      </c>
      <c r="H159" s="19"/>
      <c r="I159" s="26" t="s">
        <v>384</v>
      </c>
      <c r="J159" s="26" t="s">
        <v>691</v>
      </c>
      <c r="K159" s="18" t="s">
        <v>692</v>
      </c>
      <c r="L159" s="26" t="s">
        <v>709</v>
      </c>
      <c r="M159" s="26" t="s">
        <v>735</v>
      </c>
      <c r="N159" s="21" t="s">
        <v>9</v>
      </c>
      <c r="O159" s="20" t="s">
        <v>4</v>
      </c>
      <c r="P159" s="20" t="s">
        <v>380</v>
      </c>
      <c r="Q159" s="19"/>
      <c r="R159" s="19"/>
      <c r="S159" s="20" t="s">
        <v>380</v>
      </c>
      <c r="T159" s="19"/>
      <c r="U159" s="20" t="s">
        <v>380</v>
      </c>
      <c r="V159" s="19"/>
      <c r="W159" s="26" t="s">
        <v>616</v>
      </c>
      <c r="X159" s="20" t="s">
        <v>4</v>
      </c>
      <c r="Y159" s="20" t="s">
        <v>4</v>
      </c>
      <c r="Z159" s="20" t="s">
        <v>4</v>
      </c>
      <c r="AA159" s="26" t="s">
        <v>391</v>
      </c>
      <c r="AB159" s="19"/>
      <c r="AC159" s="24"/>
      <c r="AD159" s="24"/>
    </row>
    <row r="160">
      <c r="A160" s="25"/>
      <c r="B160" s="17" t="s">
        <v>736</v>
      </c>
      <c r="C160" s="17">
        <v>7.519342464E9</v>
      </c>
      <c r="D160" s="26">
        <v>24.0</v>
      </c>
      <c r="E160" s="20" t="s">
        <v>367</v>
      </c>
      <c r="F160" s="26" t="s">
        <v>429</v>
      </c>
      <c r="G160" s="26" t="s">
        <v>371</v>
      </c>
      <c r="H160" s="19"/>
      <c r="I160" s="26" t="s">
        <v>737</v>
      </c>
      <c r="J160" s="26" t="s">
        <v>691</v>
      </c>
      <c r="K160" s="18" t="s">
        <v>692</v>
      </c>
      <c r="L160" s="26" t="s">
        <v>709</v>
      </c>
      <c r="M160" s="26" t="s">
        <v>738</v>
      </c>
      <c r="N160" s="21" t="s">
        <v>9</v>
      </c>
      <c r="O160" s="20" t="s">
        <v>380</v>
      </c>
      <c r="P160" s="20" t="s">
        <v>380</v>
      </c>
      <c r="Q160" s="19"/>
      <c r="R160" s="19"/>
      <c r="S160" s="20" t="s">
        <v>380</v>
      </c>
      <c r="T160" s="19"/>
      <c r="U160" s="20" t="s">
        <v>380</v>
      </c>
      <c r="V160" s="19"/>
      <c r="W160" s="26" t="s">
        <v>616</v>
      </c>
      <c r="X160" s="20" t="s">
        <v>4</v>
      </c>
      <c r="Y160" s="20" t="s">
        <v>4</v>
      </c>
      <c r="Z160" s="20" t="s">
        <v>4</v>
      </c>
      <c r="AA160" s="26" t="s">
        <v>391</v>
      </c>
      <c r="AB160" s="19"/>
      <c r="AC160" s="24"/>
      <c r="AD160" s="24"/>
    </row>
    <row r="161">
      <c r="A161" s="25"/>
      <c r="B161" s="17" t="s">
        <v>739</v>
      </c>
      <c r="C161" s="17">
        <v>9.708665685E9</v>
      </c>
      <c r="D161" s="26">
        <v>27.0</v>
      </c>
      <c r="E161" s="20" t="s">
        <v>367</v>
      </c>
      <c r="F161" s="26" t="s">
        <v>429</v>
      </c>
      <c r="G161" s="19"/>
      <c r="H161" s="19"/>
      <c r="I161" s="26" t="s">
        <v>384</v>
      </c>
      <c r="J161" s="19"/>
      <c r="K161" s="18" t="s">
        <v>692</v>
      </c>
      <c r="L161" s="26" t="s">
        <v>685</v>
      </c>
      <c r="M161" s="26" t="s">
        <v>740</v>
      </c>
      <c r="N161" s="21" t="s">
        <v>9</v>
      </c>
      <c r="O161" s="20" t="s">
        <v>4</v>
      </c>
      <c r="P161" s="20" t="s">
        <v>380</v>
      </c>
      <c r="Q161" s="19"/>
      <c r="R161" s="19"/>
      <c r="S161" s="20" t="s">
        <v>380</v>
      </c>
      <c r="T161" s="19"/>
      <c r="U161" s="20" t="s">
        <v>4</v>
      </c>
      <c r="V161" s="26" t="s">
        <v>618</v>
      </c>
      <c r="W161" s="26" t="s">
        <v>612</v>
      </c>
      <c r="X161" s="20" t="s">
        <v>4</v>
      </c>
      <c r="Y161" s="20" t="s">
        <v>4</v>
      </c>
      <c r="Z161" s="20" t="s">
        <v>4</v>
      </c>
      <c r="AA161" s="26" t="s">
        <v>391</v>
      </c>
      <c r="AB161" s="19"/>
      <c r="AC161" s="24"/>
      <c r="AD161" s="24"/>
    </row>
    <row r="162" ht="21.75" customHeight="1">
      <c r="A162" s="31"/>
      <c r="B162" s="17" t="s">
        <v>741</v>
      </c>
      <c r="C162" s="17">
        <v>9.798072478E9</v>
      </c>
      <c r="D162" s="26">
        <v>26.0</v>
      </c>
      <c r="E162" s="20" t="s">
        <v>367</v>
      </c>
      <c r="F162" s="26" t="s">
        <v>600</v>
      </c>
      <c r="G162" s="19"/>
      <c r="H162" s="19"/>
      <c r="I162" s="26" t="s">
        <v>384</v>
      </c>
      <c r="J162" s="19"/>
      <c r="K162" s="18" t="s">
        <v>692</v>
      </c>
      <c r="L162" s="26" t="s">
        <v>685</v>
      </c>
      <c r="M162" s="26" t="s">
        <v>742</v>
      </c>
      <c r="N162" s="21" t="s">
        <v>9</v>
      </c>
      <c r="O162" s="20" t="s">
        <v>4</v>
      </c>
      <c r="P162" s="20" t="s">
        <v>380</v>
      </c>
      <c r="Q162" s="19"/>
      <c r="R162" s="19"/>
      <c r="S162" s="20" t="s">
        <v>380</v>
      </c>
      <c r="T162" s="19"/>
      <c r="U162" s="20" t="s">
        <v>4</v>
      </c>
      <c r="V162" s="26" t="s">
        <v>633</v>
      </c>
      <c r="W162" s="26" t="s">
        <v>616</v>
      </c>
      <c r="X162" s="20" t="s">
        <v>4</v>
      </c>
      <c r="Y162" s="20" t="s">
        <v>4</v>
      </c>
      <c r="Z162" s="20" t="s">
        <v>4</v>
      </c>
      <c r="AA162" s="26" t="s">
        <v>391</v>
      </c>
      <c r="AB162" s="19"/>
      <c r="AC162" s="24"/>
      <c r="AD162" s="24"/>
    </row>
    <row r="163">
      <c r="A163" s="51"/>
      <c r="B163" s="17"/>
      <c r="C163" s="18"/>
      <c r="D163" s="19"/>
      <c r="E163" s="20"/>
      <c r="F163" s="19"/>
      <c r="G163" s="19"/>
      <c r="H163" s="19"/>
      <c r="I163" s="19"/>
      <c r="J163" s="26"/>
      <c r="K163" s="18"/>
      <c r="L163" s="19"/>
      <c r="M163" s="19"/>
      <c r="N163" s="21"/>
      <c r="O163" s="20"/>
      <c r="P163" s="20"/>
      <c r="Q163" s="19"/>
      <c r="R163" s="19"/>
      <c r="S163" s="20"/>
      <c r="T163" s="19"/>
      <c r="U163" s="20"/>
      <c r="V163" s="19"/>
      <c r="W163" s="26"/>
      <c r="X163" s="20"/>
      <c r="Y163" s="20"/>
      <c r="Z163" s="20"/>
      <c r="AA163" s="26"/>
      <c r="AB163" s="28"/>
      <c r="AC163" s="24"/>
      <c r="AD163" s="24"/>
    </row>
    <row r="164">
      <c r="A164" s="16" t="s">
        <v>743</v>
      </c>
      <c r="B164" s="17" t="s">
        <v>744</v>
      </c>
      <c r="C164" s="18">
        <v>9.934915901E9</v>
      </c>
      <c r="D164" s="19"/>
      <c r="E164" s="20"/>
      <c r="F164" s="19"/>
      <c r="G164" s="19"/>
      <c r="H164" s="19"/>
      <c r="I164" s="19"/>
      <c r="J164" s="26" t="s">
        <v>745</v>
      </c>
      <c r="K164" s="18" t="s">
        <v>746</v>
      </c>
      <c r="L164" s="19"/>
      <c r="M164" s="19"/>
      <c r="N164" s="21" t="s">
        <v>54</v>
      </c>
      <c r="O164" s="20"/>
      <c r="P164" s="20"/>
      <c r="Q164" s="19"/>
      <c r="R164" s="19"/>
      <c r="S164" s="20"/>
      <c r="T164" s="19"/>
      <c r="U164" s="20"/>
      <c r="V164" s="19"/>
      <c r="W164" s="26"/>
      <c r="X164" s="20"/>
      <c r="Y164" s="20"/>
      <c r="Z164" s="20"/>
      <c r="AA164" s="26"/>
      <c r="AB164" s="17" t="s">
        <v>747</v>
      </c>
      <c r="AC164" s="52"/>
      <c r="AD164" s="52"/>
    </row>
    <row r="165">
      <c r="A165" s="25"/>
      <c r="B165" s="17" t="s">
        <v>748</v>
      </c>
      <c r="C165" s="18">
        <v>9.341414434E9</v>
      </c>
      <c r="D165" s="19"/>
      <c r="E165" s="20"/>
      <c r="F165" s="19"/>
      <c r="G165" s="19"/>
      <c r="H165" s="19"/>
      <c r="I165" s="19"/>
      <c r="J165" s="26" t="s">
        <v>745</v>
      </c>
      <c r="K165" s="18" t="s">
        <v>746</v>
      </c>
      <c r="L165" s="19"/>
      <c r="M165" s="19"/>
      <c r="N165" s="21" t="s">
        <v>23</v>
      </c>
      <c r="O165" s="20"/>
      <c r="P165" s="20"/>
      <c r="Q165" s="19"/>
      <c r="R165" s="19"/>
      <c r="S165" s="20"/>
      <c r="T165" s="19"/>
      <c r="U165" s="20"/>
      <c r="V165" s="19"/>
      <c r="W165" s="26"/>
      <c r="X165" s="20"/>
      <c r="Y165" s="20"/>
      <c r="Z165" s="20"/>
      <c r="AA165" s="26"/>
      <c r="AB165" s="28"/>
      <c r="AC165" s="52"/>
      <c r="AD165" s="52"/>
    </row>
    <row r="166">
      <c r="A166" s="25"/>
      <c r="B166" s="17" t="s">
        <v>749</v>
      </c>
      <c r="C166" s="18">
        <v>9.934570894E9</v>
      </c>
      <c r="D166" s="26">
        <v>43.0</v>
      </c>
      <c r="E166" s="20" t="s">
        <v>367</v>
      </c>
      <c r="F166" s="26" t="s">
        <v>750</v>
      </c>
      <c r="G166" s="26" t="s">
        <v>375</v>
      </c>
      <c r="H166" s="26" t="s">
        <v>418</v>
      </c>
      <c r="I166" s="26" t="s">
        <v>751</v>
      </c>
      <c r="J166" s="26" t="s">
        <v>745</v>
      </c>
      <c r="K166" s="18" t="s">
        <v>746</v>
      </c>
      <c r="L166" s="26" t="s">
        <v>752</v>
      </c>
      <c r="M166" s="26" t="s">
        <v>753</v>
      </c>
      <c r="N166" s="21" t="s">
        <v>9</v>
      </c>
      <c r="O166" s="20" t="s">
        <v>4</v>
      </c>
      <c r="P166" s="20" t="s">
        <v>4</v>
      </c>
      <c r="Q166" s="26" t="s">
        <v>754</v>
      </c>
      <c r="R166" s="26" t="s">
        <v>755</v>
      </c>
      <c r="S166" s="20" t="s">
        <v>4</v>
      </c>
      <c r="T166" s="26" t="s">
        <v>756</v>
      </c>
      <c r="U166" s="20" t="s">
        <v>4</v>
      </c>
      <c r="V166" s="26" t="s">
        <v>757</v>
      </c>
      <c r="W166" s="26" t="s">
        <v>616</v>
      </c>
      <c r="X166" s="20" t="s">
        <v>4</v>
      </c>
      <c r="Y166" s="20" t="s">
        <v>380</v>
      </c>
      <c r="Z166" s="20" t="s">
        <v>4</v>
      </c>
      <c r="AA166" s="26" t="s">
        <v>391</v>
      </c>
      <c r="AB166" s="28"/>
      <c r="AC166" s="52"/>
      <c r="AD166" s="52"/>
    </row>
    <row r="167">
      <c r="A167" s="25"/>
      <c r="B167" s="17" t="s">
        <v>758</v>
      </c>
      <c r="C167" s="18">
        <v>9.973612451E9</v>
      </c>
      <c r="D167" s="26">
        <v>39.0</v>
      </c>
      <c r="E167" s="20" t="s">
        <v>367</v>
      </c>
      <c r="F167" s="26" t="s">
        <v>585</v>
      </c>
      <c r="G167" s="26" t="s">
        <v>375</v>
      </c>
      <c r="H167" s="26" t="s">
        <v>507</v>
      </c>
      <c r="I167" s="26" t="s">
        <v>759</v>
      </c>
      <c r="J167" s="26" t="s">
        <v>745</v>
      </c>
      <c r="K167" s="18" t="s">
        <v>746</v>
      </c>
      <c r="L167" s="26" t="s">
        <v>760</v>
      </c>
      <c r="M167" s="26" t="s">
        <v>761</v>
      </c>
      <c r="N167" s="21" t="s">
        <v>9</v>
      </c>
      <c r="O167" s="20" t="s">
        <v>4</v>
      </c>
      <c r="P167" s="20" t="s">
        <v>4</v>
      </c>
      <c r="Q167" s="26" t="s">
        <v>444</v>
      </c>
      <c r="R167" s="19"/>
      <c r="S167" s="20" t="s">
        <v>4</v>
      </c>
      <c r="T167" s="26" t="s">
        <v>762</v>
      </c>
      <c r="U167" s="20" t="s">
        <v>4</v>
      </c>
      <c r="V167" s="26" t="s">
        <v>642</v>
      </c>
      <c r="W167" s="26" t="s">
        <v>616</v>
      </c>
      <c r="X167" s="20" t="s">
        <v>4</v>
      </c>
      <c r="Y167" s="20" t="s">
        <v>4</v>
      </c>
      <c r="Z167" s="20" t="s">
        <v>4</v>
      </c>
      <c r="AA167" s="26" t="s">
        <v>391</v>
      </c>
      <c r="AB167" s="28"/>
      <c r="AC167" s="52"/>
      <c r="AD167" s="52"/>
    </row>
    <row r="168">
      <c r="A168" s="25"/>
      <c r="B168" s="17" t="s">
        <v>763</v>
      </c>
      <c r="C168" s="18">
        <v>9.135179842E9</v>
      </c>
      <c r="D168" s="26">
        <v>62.0</v>
      </c>
      <c r="E168" s="20" t="s">
        <v>367</v>
      </c>
      <c r="F168" s="26" t="s">
        <v>764</v>
      </c>
      <c r="G168" s="26" t="s">
        <v>375</v>
      </c>
      <c r="H168" s="26" t="s">
        <v>407</v>
      </c>
      <c r="I168" s="26" t="s">
        <v>765</v>
      </c>
      <c r="J168" s="26" t="s">
        <v>745</v>
      </c>
      <c r="K168" s="18" t="s">
        <v>746</v>
      </c>
      <c r="L168" s="26" t="s">
        <v>760</v>
      </c>
      <c r="M168" s="26" t="s">
        <v>766</v>
      </c>
      <c r="N168" s="21" t="s">
        <v>9</v>
      </c>
      <c r="O168" s="20" t="s">
        <v>4</v>
      </c>
      <c r="P168" s="20" t="s">
        <v>380</v>
      </c>
      <c r="Q168" s="19"/>
      <c r="R168" s="19"/>
      <c r="S168" s="20" t="s">
        <v>4</v>
      </c>
      <c r="T168" s="26" t="s">
        <v>756</v>
      </c>
      <c r="U168" s="20" t="s">
        <v>380</v>
      </c>
      <c r="V168" s="19"/>
      <c r="W168" s="26" t="s">
        <v>616</v>
      </c>
      <c r="X168" s="20" t="s">
        <v>4</v>
      </c>
      <c r="Y168" s="20" t="s">
        <v>4</v>
      </c>
      <c r="Z168" s="20" t="s">
        <v>4</v>
      </c>
      <c r="AA168" s="26" t="s">
        <v>391</v>
      </c>
      <c r="AB168" s="28"/>
      <c r="AC168" s="52"/>
      <c r="AD168" s="52"/>
    </row>
    <row r="169">
      <c r="A169" s="25"/>
      <c r="B169" s="17" t="s">
        <v>767</v>
      </c>
      <c r="C169" s="18">
        <v>9.525434364E9</v>
      </c>
      <c r="D169" s="26">
        <v>48.0</v>
      </c>
      <c r="E169" s="20" t="s">
        <v>367</v>
      </c>
      <c r="F169" s="26" t="s">
        <v>768</v>
      </c>
      <c r="G169" s="26" t="s">
        <v>518</v>
      </c>
      <c r="H169" s="26" t="s">
        <v>507</v>
      </c>
      <c r="I169" s="26" t="s">
        <v>769</v>
      </c>
      <c r="J169" s="26" t="s">
        <v>745</v>
      </c>
      <c r="K169" s="18" t="s">
        <v>746</v>
      </c>
      <c r="L169" s="26" t="s">
        <v>760</v>
      </c>
      <c r="M169" s="26" t="s">
        <v>766</v>
      </c>
      <c r="N169" s="21" t="s">
        <v>9</v>
      </c>
      <c r="O169" s="20" t="s">
        <v>4</v>
      </c>
      <c r="P169" s="20"/>
      <c r="Q169" s="26" t="s">
        <v>444</v>
      </c>
      <c r="R169" s="26" t="s">
        <v>770</v>
      </c>
      <c r="S169" s="20" t="s">
        <v>4</v>
      </c>
      <c r="T169" s="26" t="s">
        <v>771</v>
      </c>
      <c r="U169" s="20" t="s">
        <v>380</v>
      </c>
      <c r="V169" s="19"/>
      <c r="W169" s="26" t="s">
        <v>616</v>
      </c>
      <c r="X169" s="20" t="s">
        <v>4</v>
      </c>
      <c r="Y169" s="20" t="s">
        <v>380</v>
      </c>
      <c r="Z169" s="20" t="s">
        <v>4</v>
      </c>
      <c r="AA169" s="26" t="s">
        <v>391</v>
      </c>
      <c r="AB169" s="28"/>
      <c r="AC169" s="52"/>
      <c r="AD169" s="52"/>
    </row>
    <row r="170">
      <c r="A170" s="25"/>
      <c r="B170" s="17" t="s">
        <v>772</v>
      </c>
      <c r="C170" s="18">
        <v>8.961723315E9</v>
      </c>
      <c r="D170" s="26">
        <v>42.0</v>
      </c>
      <c r="E170" s="20" t="s">
        <v>367</v>
      </c>
      <c r="F170" s="26" t="s">
        <v>441</v>
      </c>
      <c r="G170" s="26" t="s">
        <v>518</v>
      </c>
      <c r="H170" s="26" t="s">
        <v>507</v>
      </c>
      <c r="I170" s="26" t="s">
        <v>769</v>
      </c>
      <c r="J170" s="26" t="s">
        <v>745</v>
      </c>
      <c r="K170" s="18" t="s">
        <v>746</v>
      </c>
      <c r="L170" s="26" t="s">
        <v>752</v>
      </c>
      <c r="M170" s="26" t="s">
        <v>773</v>
      </c>
      <c r="N170" s="21" t="s">
        <v>9</v>
      </c>
      <c r="O170" s="20" t="s">
        <v>4</v>
      </c>
      <c r="P170" s="20" t="s">
        <v>380</v>
      </c>
      <c r="Q170" s="19"/>
      <c r="R170" s="19"/>
      <c r="S170" s="20" t="s">
        <v>4</v>
      </c>
      <c r="T170" s="26" t="s">
        <v>756</v>
      </c>
      <c r="U170" s="20" t="s">
        <v>4</v>
      </c>
      <c r="V170" s="26" t="s">
        <v>757</v>
      </c>
      <c r="W170" s="26" t="s">
        <v>616</v>
      </c>
      <c r="X170" s="20" t="s">
        <v>4</v>
      </c>
      <c r="Y170" s="20" t="s">
        <v>4</v>
      </c>
      <c r="Z170" s="20" t="s">
        <v>4</v>
      </c>
      <c r="AA170" s="26" t="s">
        <v>391</v>
      </c>
      <c r="AB170" s="28"/>
      <c r="AC170" s="52"/>
      <c r="AD170" s="52"/>
    </row>
    <row r="171">
      <c r="A171" s="25"/>
      <c r="B171" s="17" t="s">
        <v>774</v>
      </c>
      <c r="C171" s="18">
        <v>9.661908833E9</v>
      </c>
      <c r="D171" s="26">
        <v>50.0</v>
      </c>
      <c r="E171" s="20" t="s">
        <v>367</v>
      </c>
      <c r="F171" s="26" t="s">
        <v>441</v>
      </c>
      <c r="G171" s="26" t="s">
        <v>375</v>
      </c>
      <c r="H171" s="26" t="s">
        <v>376</v>
      </c>
      <c r="I171" s="26" t="s">
        <v>377</v>
      </c>
      <c r="J171" s="26" t="s">
        <v>745</v>
      </c>
      <c r="K171" s="18" t="s">
        <v>746</v>
      </c>
      <c r="L171" s="26" t="s">
        <v>752</v>
      </c>
      <c r="M171" s="26" t="s">
        <v>775</v>
      </c>
      <c r="N171" s="21" t="s">
        <v>9</v>
      </c>
      <c r="O171" s="20" t="s">
        <v>4</v>
      </c>
      <c r="P171" s="20" t="s">
        <v>380</v>
      </c>
      <c r="Q171" s="19"/>
      <c r="R171" s="19"/>
      <c r="S171" s="20" t="s">
        <v>380</v>
      </c>
      <c r="T171" s="19"/>
      <c r="U171" s="20" t="s">
        <v>4</v>
      </c>
      <c r="V171" s="26" t="s">
        <v>757</v>
      </c>
      <c r="W171" s="26" t="s">
        <v>612</v>
      </c>
      <c r="X171" s="20" t="s">
        <v>4</v>
      </c>
      <c r="Y171" s="20" t="s">
        <v>380</v>
      </c>
      <c r="Z171" s="20" t="s">
        <v>4</v>
      </c>
      <c r="AA171" s="26" t="s">
        <v>391</v>
      </c>
      <c r="AB171" s="28"/>
      <c r="AC171" s="52"/>
      <c r="AD171" s="52"/>
    </row>
    <row r="172">
      <c r="A172" s="25"/>
      <c r="B172" s="17" t="s">
        <v>776</v>
      </c>
      <c r="C172" s="18">
        <v>9.155673614E9</v>
      </c>
      <c r="D172" s="19"/>
      <c r="E172" s="20"/>
      <c r="F172" s="19"/>
      <c r="G172" s="19"/>
      <c r="H172" s="19"/>
      <c r="I172" s="19"/>
      <c r="J172" s="26" t="s">
        <v>745</v>
      </c>
      <c r="K172" s="18" t="s">
        <v>746</v>
      </c>
      <c r="L172" s="19"/>
      <c r="M172" s="19"/>
      <c r="N172" s="21" t="s">
        <v>27</v>
      </c>
      <c r="O172" s="20"/>
      <c r="P172" s="20"/>
      <c r="Q172" s="19"/>
      <c r="R172" s="19"/>
      <c r="S172" s="20"/>
      <c r="T172" s="19"/>
      <c r="U172" s="20"/>
      <c r="V172" s="19"/>
      <c r="W172" s="26"/>
      <c r="X172" s="20"/>
      <c r="Y172" s="20"/>
      <c r="Z172" s="20"/>
      <c r="AA172" s="26"/>
      <c r="AB172" s="17" t="s">
        <v>777</v>
      </c>
      <c r="AC172" s="52"/>
      <c r="AD172" s="52"/>
    </row>
    <row r="173">
      <c r="A173" s="25"/>
      <c r="B173" s="17" t="s">
        <v>778</v>
      </c>
      <c r="C173" s="18">
        <v>8.969921695E9</v>
      </c>
      <c r="D173" s="26">
        <v>70.0</v>
      </c>
      <c r="E173" s="20" t="s">
        <v>367</v>
      </c>
      <c r="F173" s="26" t="s">
        <v>374</v>
      </c>
      <c r="G173" s="26" t="s">
        <v>518</v>
      </c>
      <c r="H173" s="26" t="s">
        <v>507</v>
      </c>
      <c r="I173" s="26" t="s">
        <v>779</v>
      </c>
      <c r="J173" s="26" t="s">
        <v>745</v>
      </c>
      <c r="K173" s="18" t="s">
        <v>746</v>
      </c>
      <c r="L173" s="26" t="s">
        <v>752</v>
      </c>
      <c r="M173" s="26" t="s">
        <v>775</v>
      </c>
      <c r="N173" s="21" t="s">
        <v>9</v>
      </c>
      <c r="O173" s="20" t="s">
        <v>380</v>
      </c>
      <c r="P173" s="20"/>
      <c r="Q173" s="19"/>
      <c r="R173" s="19"/>
      <c r="S173" s="20" t="s">
        <v>4</v>
      </c>
      <c r="T173" s="19"/>
      <c r="U173" s="20" t="s">
        <v>4</v>
      </c>
      <c r="V173" s="26" t="s">
        <v>780</v>
      </c>
      <c r="W173" s="26" t="s">
        <v>616</v>
      </c>
      <c r="X173" s="20" t="s">
        <v>4</v>
      </c>
      <c r="Y173" s="20" t="s">
        <v>4</v>
      </c>
      <c r="Z173" s="20" t="s">
        <v>4</v>
      </c>
      <c r="AA173" s="26" t="s">
        <v>391</v>
      </c>
      <c r="AB173" s="28"/>
      <c r="AC173" s="52"/>
      <c r="AD173" s="52"/>
    </row>
    <row r="174">
      <c r="A174" s="25"/>
      <c r="B174" s="17" t="s">
        <v>781</v>
      </c>
      <c r="C174" s="18">
        <v>9.110968636E9</v>
      </c>
      <c r="D174" s="26">
        <v>37.0</v>
      </c>
      <c r="E174" s="20" t="s">
        <v>367</v>
      </c>
      <c r="F174" s="26" t="s">
        <v>585</v>
      </c>
      <c r="G174" s="26" t="s">
        <v>375</v>
      </c>
      <c r="H174" s="26" t="s">
        <v>507</v>
      </c>
      <c r="I174" s="26" t="s">
        <v>782</v>
      </c>
      <c r="J174" s="26" t="s">
        <v>745</v>
      </c>
      <c r="K174" s="18" t="s">
        <v>746</v>
      </c>
      <c r="L174" s="26" t="s">
        <v>752</v>
      </c>
      <c r="M174" s="26" t="s">
        <v>783</v>
      </c>
      <c r="N174" s="21" t="s">
        <v>9</v>
      </c>
      <c r="O174" s="20" t="s">
        <v>4</v>
      </c>
      <c r="P174" s="20" t="s">
        <v>380</v>
      </c>
      <c r="Q174" s="26" t="s">
        <v>444</v>
      </c>
      <c r="R174" s="19"/>
      <c r="S174" s="20" t="s">
        <v>4</v>
      </c>
      <c r="T174" s="26" t="s">
        <v>768</v>
      </c>
      <c r="U174" s="20" t="s">
        <v>4</v>
      </c>
      <c r="V174" s="26" t="s">
        <v>757</v>
      </c>
      <c r="W174" s="26" t="s">
        <v>616</v>
      </c>
      <c r="X174" s="20" t="s">
        <v>4</v>
      </c>
      <c r="Y174" s="20" t="s">
        <v>380</v>
      </c>
      <c r="Z174" s="20" t="s">
        <v>4</v>
      </c>
      <c r="AA174" s="26" t="s">
        <v>391</v>
      </c>
      <c r="AB174" s="28"/>
      <c r="AC174" s="52"/>
      <c r="AD174" s="52"/>
    </row>
    <row r="175">
      <c r="A175" s="25"/>
      <c r="B175" s="17" t="s">
        <v>784</v>
      </c>
      <c r="C175" s="18">
        <v>9.52567141E9</v>
      </c>
      <c r="D175" s="26">
        <v>58.0</v>
      </c>
      <c r="E175" s="20" t="s">
        <v>367</v>
      </c>
      <c r="F175" s="26" t="s">
        <v>585</v>
      </c>
      <c r="G175" s="26" t="s">
        <v>375</v>
      </c>
      <c r="H175" s="26" t="s">
        <v>507</v>
      </c>
      <c r="I175" s="26" t="s">
        <v>759</v>
      </c>
      <c r="J175" s="26" t="s">
        <v>745</v>
      </c>
      <c r="K175" s="18" t="s">
        <v>746</v>
      </c>
      <c r="L175" s="26" t="s">
        <v>752</v>
      </c>
      <c r="M175" s="26" t="s">
        <v>752</v>
      </c>
      <c r="N175" s="21" t="s">
        <v>9</v>
      </c>
      <c r="O175" s="20" t="s">
        <v>4</v>
      </c>
      <c r="P175" s="20" t="s">
        <v>4</v>
      </c>
      <c r="Q175" s="26" t="s">
        <v>444</v>
      </c>
      <c r="R175" s="26" t="s">
        <v>785</v>
      </c>
      <c r="S175" s="20" t="s">
        <v>4</v>
      </c>
      <c r="T175" s="26" t="s">
        <v>768</v>
      </c>
      <c r="U175" s="20" t="s">
        <v>4</v>
      </c>
      <c r="V175" s="26" t="s">
        <v>757</v>
      </c>
      <c r="W175" s="26" t="s">
        <v>616</v>
      </c>
      <c r="X175" s="20" t="s">
        <v>4</v>
      </c>
      <c r="Y175" s="20" t="s">
        <v>4</v>
      </c>
      <c r="Z175" s="20" t="s">
        <v>4</v>
      </c>
      <c r="AA175" s="26" t="s">
        <v>391</v>
      </c>
      <c r="AB175" s="28"/>
      <c r="AC175" s="52"/>
      <c r="AD175" s="52"/>
    </row>
    <row r="176">
      <c r="A176" s="25"/>
      <c r="B176" s="17" t="s">
        <v>786</v>
      </c>
      <c r="C176" s="18">
        <v>9.77138481E9</v>
      </c>
      <c r="D176" s="26">
        <v>62.0</v>
      </c>
      <c r="E176" s="20" t="s">
        <v>367</v>
      </c>
      <c r="F176" s="26" t="s">
        <v>787</v>
      </c>
      <c r="G176" s="26" t="s">
        <v>375</v>
      </c>
      <c r="H176" s="26" t="s">
        <v>507</v>
      </c>
      <c r="I176" s="26" t="s">
        <v>759</v>
      </c>
      <c r="J176" s="26" t="s">
        <v>745</v>
      </c>
      <c r="K176" s="18" t="s">
        <v>746</v>
      </c>
      <c r="L176" s="26" t="s">
        <v>752</v>
      </c>
      <c r="M176" s="26" t="s">
        <v>783</v>
      </c>
      <c r="N176" s="21" t="s">
        <v>9</v>
      </c>
      <c r="O176" s="20" t="s">
        <v>4</v>
      </c>
      <c r="P176" s="20" t="s">
        <v>380</v>
      </c>
      <c r="Q176" s="19"/>
      <c r="R176" s="19"/>
      <c r="S176" s="20" t="s">
        <v>380</v>
      </c>
      <c r="T176" s="19"/>
      <c r="U176" s="20" t="s">
        <v>4</v>
      </c>
      <c r="V176" s="19"/>
      <c r="W176" s="26" t="s">
        <v>612</v>
      </c>
      <c r="X176" s="20" t="s">
        <v>4</v>
      </c>
      <c r="Y176" s="20" t="s">
        <v>380</v>
      </c>
      <c r="Z176" s="20" t="s">
        <v>4</v>
      </c>
      <c r="AA176" s="26" t="s">
        <v>391</v>
      </c>
      <c r="AB176" s="28"/>
      <c r="AC176" s="52"/>
      <c r="AD176" s="52"/>
    </row>
    <row r="177">
      <c r="A177" s="25"/>
      <c r="B177" s="17" t="s">
        <v>788</v>
      </c>
      <c r="C177" s="18">
        <v>8.21091012E9</v>
      </c>
      <c r="D177" s="26">
        <v>28.0</v>
      </c>
      <c r="E177" s="20" t="s">
        <v>367</v>
      </c>
      <c r="F177" s="26" t="s">
        <v>441</v>
      </c>
      <c r="G177" s="26" t="s">
        <v>375</v>
      </c>
      <c r="H177" s="26" t="s">
        <v>507</v>
      </c>
      <c r="I177" s="26" t="s">
        <v>759</v>
      </c>
      <c r="J177" s="26" t="s">
        <v>745</v>
      </c>
      <c r="K177" s="18" t="s">
        <v>746</v>
      </c>
      <c r="L177" s="26" t="s">
        <v>752</v>
      </c>
      <c r="M177" s="26" t="s">
        <v>752</v>
      </c>
      <c r="N177" s="21" t="s">
        <v>9</v>
      </c>
      <c r="O177" s="20" t="s">
        <v>4</v>
      </c>
      <c r="P177" s="20" t="s">
        <v>380</v>
      </c>
      <c r="Q177" s="19"/>
      <c r="R177" s="19"/>
      <c r="S177" s="20" t="s">
        <v>380</v>
      </c>
      <c r="T177" s="19"/>
      <c r="U177" s="20" t="s">
        <v>380</v>
      </c>
      <c r="V177" s="19"/>
      <c r="W177" s="26" t="s">
        <v>612</v>
      </c>
      <c r="X177" s="20" t="s">
        <v>4</v>
      </c>
      <c r="Y177" s="20" t="s">
        <v>380</v>
      </c>
      <c r="Z177" s="20" t="s">
        <v>380</v>
      </c>
      <c r="AA177" s="26" t="s">
        <v>391</v>
      </c>
      <c r="AB177" s="28"/>
      <c r="AC177" s="52"/>
      <c r="AD177" s="52"/>
    </row>
    <row r="178">
      <c r="A178" s="25"/>
      <c r="B178" s="17" t="s">
        <v>789</v>
      </c>
      <c r="C178" s="18">
        <v>9.868590868E9</v>
      </c>
      <c r="D178" s="26">
        <v>55.0</v>
      </c>
      <c r="E178" s="20" t="s">
        <v>367</v>
      </c>
      <c r="F178" s="26" t="s">
        <v>374</v>
      </c>
      <c r="G178" s="26" t="s">
        <v>375</v>
      </c>
      <c r="H178" s="26" t="s">
        <v>376</v>
      </c>
      <c r="I178" s="26" t="s">
        <v>377</v>
      </c>
      <c r="J178" s="26" t="s">
        <v>745</v>
      </c>
      <c r="K178" s="18" t="s">
        <v>746</v>
      </c>
      <c r="L178" s="26" t="s">
        <v>790</v>
      </c>
      <c r="M178" s="26" t="s">
        <v>791</v>
      </c>
      <c r="N178" s="21" t="s">
        <v>9</v>
      </c>
      <c r="O178" s="20" t="s">
        <v>4</v>
      </c>
      <c r="P178" s="20" t="s">
        <v>4</v>
      </c>
      <c r="Q178" s="26" t="s">
        <v>792</v>
      </c>
      <c r="R178" s="26" t="s">
        <v>506</v>
      </c>
      <c r="S178" s="20" t="s">
        <v>4</v>
      </c>
      <c r="T178" s="26" t="s">
        <v>756</v>
      </c>
      <c r="U178" s="20" t="s">
        <v>4</v>
      </c>
      <c r="V178" s="26" t="s">
        <v>462</v>
      </c>
      <c r="W178" s="26" t="s">
        <v>616</v>
      </c>
      <c r="X178" s="20" t="s">
        <v>4</v>
      </c>
      <c r="Y178" s="20" t="s">
        <v>4</v>
      </c>
      <c r="Z178" s="20" t="s">
        <v>4</v>
      </c>
      <c r="AA178" s="26" t="s">
        <v>391</v>
      </c>
      <c r="AB178" s="28"/>
      <c r="AC178" s="52"/>
      <c r="AD178" s="52"/>
    </row>
    <row r="179">
      <c r="A179" s="25"/>
      <c r="B179" s="17" t="s">
        <v>793</v>
      </c>
      <c r="C179" s="18">
        <v>6.204024242E9</v>
      </c>
      <c r="D179" s="26">
        <v>54.0</v>
      </c>
      <c r="E179" s="20" t="s">
        <v>367</v>
      </c>
      <c r="F179" s="26" t="s">
        <v>374</v>
      </c>
      <c r="G179" s="26" t="s">
        <v>518</v>
      </c>
      <c r="H179" s="26"/>
      <c r="I179" s="26" t="s">
        <v>769</v>
      </c>
      <c r="J179" s="26" t="s">
        <v>745</v>
      </c>
      <c r="K179" s="18" t="s">
        <v>746</v>
      </c>
      <c r="L179" s="26" t="s">
        <v>790</v>
      </c>
      <c r="M179" s="26" t="s">
        <v>794</v>
      </c>
      <c r="N179" s="21" t="s">
        <v>9</v>
      </c>
      <c r="O179" s="20" t="s">
        <v>4</v>
      </c>
      <c r="P179" s="20" t="s">
        <v>380</v>
      </c>
      <c r="Q179" s="19"/>
      <c r="R179" s="19"/>
      <c r="S179" s="20" t="s">
        <v>380</v>
      </c>
      <c r="T179" s="19"/>
      <c r="U179" s="20" t="s">
        <v>380</v>
      </c>
      <c r="V179" s="19"/>
      <c r="W179" s="26" t="s">
        <v>616</v>
      </c>
      <c r="X179" s="20" t="s">
        <v>4</v>
      </c>
      <c r="Y179" s="20" t="s">
        <v>380</v>
      </c>
      <c r="Z179" s="20" t="s">
        <v>4</v>
      </c>
      <c r="AA179" s="26" t="s">
        <v>391</v>
      </c>
      <c r="AB179" s="28"/>
      <c r="AC179" s="52"/>
      <c r="AD179" s="52"/>
    </row>
    <row r="180">
      <c r="A180" s="25"/>
      <c r="B180" s="17" t="s">
        <v>795</v>
      </c>
      <c r="C180" s="18">
        <v>9.015477132E9</v>
      </c>
      <c r="D180" s="19"/>
      <c r="E180" s="20"/>
      <c r="F180" s="19"/>
      <c r="G180" s="19"/>
      <c r="H180" s="19"/>
      <c r="I180" s="19"/>
      <c r="J180" s="26" t="s">
        <v>745</v>
      </c>
      <c r="K180" s="18" t="s">
        <v>746</v>
      </c>
      <c r="L180" s="19"/>
      <c r="M180" s="19"/>
      <c r="N180" s="21" t="s">
        <v>54</v>
      </c>
      <c r="O180" s="20"/>
      <c r="P180" s="20"/>
      <c r="Q180" s="19"/>
      <c r="R180" s="19"/>
      <c r="S180" s="20"/>
      <c r="T180" s="19"/>
      <c r="U180" s="20"/>
      <c r="V180" s="19"/>
      <c r="W180" s="26"/>
      <c r="X180" s="20"/>
      <c r="Y180" s="20"/>
      <c r="Z180" s="20"/>
      <c r="AA180" s="26"/>
      <c r="AB180" s="28"/>
      <c r="AC180" s="52"/>
      <c r="AD180" s="52"/>
    </row>
    <row r="181">
      <c r="A181" s="25"/>
      <c r="B181" s="17" t="s">
        <v>796</v>
      </c>
      <c r="C181" s="18">
        <v>6.2034948E9</v>
      </c>
      <c r="D181" s="26">
        <v>80.0</v>
      </c>
      <c r="E181" s="20" t="s">
        <v>367</v>
      </c>
      <c r="F181" s="19"/>
      <c r="G181" s="26" t="s">
        <v>375</v>
      </c>
      <c r="H181" s="26" t="s">
        <v>407</v>
      </c>
      <c r="I181" s="26" t="s">
        <v>797</v>
      </c>
      <c r="J181" s="26" t="s">
        <v>745</v>
      </c>
      <c r="K181" s="18" t="s">
        <v>746</v>
      </c>
      <c r="L181" s="26" t="s">
        <v>790</v>
      </c>
      <c r="M181" s="26" t="s">
        <v>798</v>
      </c>
      <c r="N181" s="21" t="s">
        <v>9</v>
      </c>
      <c r="O181" s="20" t="s">
        <v>4</v>
      </c>
      <c r="P181" s="20" t="s">
        <v>380</v>
      </c>
      <c r="Q181" s="19"/>
      <c r="R181" s="19"/>
      <c r="S181" s="20" t="s">
        <v>4</v>
      </c>
      <c r="T181" s="26" t="s">
        <v>756</v>
      </c>
      <c r="U181" s="20" t="s">
        <v>4</v>
      </c>
      <c r="V181" s="26" t="s">
        <v>757</v>
      </c>
      <c r="W181" s="26" t="s">
        <v>616</v>
      </c>
      <c r="X181" s="20" t="s">
        <v>4</v>
      </c>
      <c r="Y181" s="20" t="s">
        <v>4</v>
      </c>
      <c r="Z181" s="20" t="s">
        <v>4</v>
      </c>
      <c r="AA181" s="26" t="s">
        <v>391</v>
      </c>
      <c r="AB181" s="28"/>
      <c r="AC181" s="52"/>
      <c r="AD181" s="52"/>
    </row>
    <row r="182">
      <c r="A182" s="25"/>
      <c r="B182" s="17" t="s">
        <v>799</v>
      </c>
      <c r="C182" s="18">
        <v>9.470437262E9</v>
      </c>
      <c r="D182" s="26">
        <v>65.0</v>
      </c>
      <c r="E182" s="20" t="s">
        <v>405</v>
      </c>
      <c r="F182" s="26" t="s">
        <v>374</v>
      </c>
      <c r="G182" s="26" t="s">
        <v>375</v>
      </c>
      <c r="H182" s="26" t="s">
        <v>407</v>
      </c>
      <c r="I182" s="26" t="s">
        <v>800</v>
      </c>
      <c r="J182" s="26" t="s">
        <v>745</v>
      </c>
      <c r="K182" s="18" t="s">
        <v>746</v>
      </c>
      <c r="L182" s="26" t="s">
        <v>790</v>
      </c>
      <c r="M182" s="26" t="s">
        <v>801</v>
      </c>
      <c r="N182" s="21" t="s">
        <v>9</v>
      </c>
      <c r="O182" s="20" t="s">
        <v>4</v>
      </c>
      <c r="P182" s="20" t="s">
        <v>4</v>
      </c>
      <c r="Q182" s="26" t="s">
        <v>444</v>
      </c>
      <c r="R182" s="26" t="s">
        <v>802</v>
      </c>
      <c r="S182" s="20" t="s">
        <v>380</v>
      </c>
      <c r="T182" s="19"/>
      <c r="U182" s="20" t="s">
        <v>4</v>
      </c>
      <c r="V182" s="26" t="s">
        <v>462</v>
      </c>
      <c r="W182" s="26" t="s">
        <v>616</v>
      </c>
      <c r="X182" s="20" t="s">
        <v>4</v>
      </c>
      <c r="Y182" s="20" t="s">
        <v>4</v>
      </c>
      <c r="Z182" s="20" t="s">
        <v>4</v>
      </c>
      <c r="AA182" s="26" t="s">
        <v>391</v>
      </c>
      <c r="AB182" s="28"/>
      <c r="AC182" s="52"/>
      <c r="AD182" s="52"/>
    </row>
    <row r="183">
      <c r="A183" s="25"/>
      <c r="B183" s="17" t="s">
        <v>803</v>
      </c>
      <c r="C183" s="18">
        <v>8.540907003E9</v>
      </c>
      <c r="D183" s="26">
        <v>43.0</v>
      </c>
      <c r="E183" s="20" t="s">
        <v>367</v>
      </c>
      <c r="F183" s="26" t="s">
        <v>374</v>
      </c>
      <c r="G183" s="26" t="s">
        <v>518</v>
      </c>
      <c r="H183" s="26" t="s">
        <v>804</v>
      </c>
      <c r="I183" s="26" t="s">
        <v>805</v>
      </c>
      <c r="J183" s="26" t="s">
        <v>745</v>
      </c>
      <c r="K183" s="18" t="s">
        <v>746</v>
      </c>
      <c r="L183" s="26" t="s">
        <v>760</v>
      </c>
      <c r="M183" s="26" t="s">
        <v>806</v>
      </c>
      <c r="N183" s="21" t="s">
        <v>9</v>
      </c>
      <c r="O183" s="20" t="s">
        <v>4</v>
      </c>
      <c r="P183" s="20" t="s">
        <v>380</v>
      </c>
      <c r="Q183" s="19"/>
      <c r="R183" s="19"/>
      <c r="S183" s="20" t="s">
        <v>4</v>
      </c>
      <c r="T183" s="26" t="s">
        <v>756</v>
      </c>
      <c r="U183" s="20" t="s">
        <v>4</v>
      </c>
      <c r="V183" s="26" t="s">
        <v>807</v>
      </c>
      <c r="W183" s="26" t="s">
        <v>616</v>
      </c>
      <c r="X183" s="20" t="s">
        <v>4</v>
      </c>
      <c r="Y183" s="20" t="s">
        <v>4</v>
      </c>
      <c r="Z183" s="20" t="s">
        <v>4</v>
      </c>
      <c r="AA183" s="26" t="s">
        <v>391</v>
      </c>
      <c r="AB183" s="28"/>
      <c r="AC183" s="52"/>
      <c r="AD183" s="52"/>
    </row>
    <row r="184">
      <c r="A184" s="25"/>
      <c r="B184" s="17" t="s">
        <v>808</v>
      </c>
      <c r="C184" s="18">
        <v>7.764892986E9</v>
      </c>
      <c r="D184" s="26">
        <v>25.0</v>
      </c>
      <c r="E184" s="20" t="s">
        <v>367</v>
      </c>
      <c r="F184" s="26" t="s">
        <v>382</v>
      </c>
      <c r="G184" s="26" t="s">
        <v>518</v>
      </c>
      <c r="H184" s="26" t="s">
        <v>376</v>
      </c>
      <c r="I184" s="26" t="s">
        <v>809</v>
      </c>
      <c r="J184" s="26" t="s">
        <v>745</v>
      </c>
      <c r="K184" s="18" t="s">
        <v>746</v>
      </c>
      <c r="L184" s="26" t="s">
        <v>790</v>
      </c>
      <c r="M184" s="26" t="s">
        <v>806</v>
      </c>
      <c r="N184" s="21" t="s">
        <v>9</v>
      </c>
      <c r="O184" s="20" t="s">
        <v>4</v>
      </c>
      <c r="P184" s="20" t="s">
        <v>4</v>
      </c>
      <c r="Q184" s="26" t="s">
        <v>444</v>
      </c>
      <c r="R184" s="19"/>
      <c r="S184" s="20" t="s">
        <v>4</v>
      </c>
      <c r="T184" s="26" t="s">
        <v>756</v>
      </c>
      <c r="U184" s="20" t="s">
        <v>4</v>
      </c>
      <c r="V184" s="26" t="s">
        <v>810</v>
      </c>
      <c r="W184" s="26" t="s">
        <v>616</v>
      </c>
      <c r="X184" s="20" t="s">
        <v>4</v>
      </c>
      <c r="Y184" s="20" t="s">
        <v>4</v>
      </c>
      <c r="Z184" s="20" t="s">
        <v>4</v>
      </c>
      <c r="AA184" s="26" t="s">
        <v>391</v>
      </c>
      <c r="AB184" s="28"/>
      <c r="AC184" s="52"/>
      <c r="AD184" s="52"/>
    </row>
    <row r="185">
      <c r="A185" s="25"/>
      <c r="B185" s="17" t="s">
        <v>811</v>
      </c>
      <c r="C185" s="18">
        <v>8.298707748E9</v>
      </c>
      <c r="D185" s="26">
        <v>19.0</v>
      </c>
      <c r="E185" s="20" t="s">
        <v>367</v>
      </c>
      <c r="F185" s="26" t="s">
        <v>382</v>
      </c>
      <c r="G185" s="26" t="s">
        <v>375</v>
      </c>
      <c r="H185" s="26" t="s">
        <v>407</v>
      </c>
      <c r="I185" s="26" t="s">
        <v>797</v>
      </c>
      <c r="J185" s="26" t="s">
        <v>745</v>
      </c>
      <c r="K185" s="18" t="s">
        <v>746</v>
      </c>
      <c r="L185" s="26" t="s">
        <v>790</v>
      </c>
      <c r="M185" s="26" t="s">
        <v>806</v>
      </c>
      <c r="N185" s="21" t="s">
        <v>9</v>
      </c>
      <c r="O185" s="20" t="s">
        <v>380</v>
      </c>
      <c r="P185" s="20" t="s">
        <v>380</v>
      </c>
      <c r="Q185" s="19"/>
      <c r="R185" s="19"/>
      <c r="S185" s="20" t="s">
        <v>380</v>
      </c>
      <c r="T185" s="19"/>
      <c r="U185" s="20" t="s">
        <v>380</v>
      </c>
      <c r="V185" s="26"/>
      <c r="W185" s="26" t="s">
        <v>616</v>
      </c>
      <c r="X185" s="20" t="s">
        <v>4</v>
      </c>
      <c r="Y185" s="20" t="s">
        <v>4</v>
      </c>
      <c r="Z185" s="20" t="s">
        <v>4</v>
      </c>
      <c r="AA185" s="26" t="s">
        <v>391</v>
      </c>
      <c r="AB185" s="28"/>
      <c r="AC185" s="52"/>
      <c r="AD185" s="52"/>
    </row>
    <row r="186">
      <c r="A186" s="25"/>
      <c r="B186" s="17" t="s">
        <v>812</v>
      </c>
      <c r="C186" s="18">
        <v>8.651610545E9</v>
      </c>
      <c r="D186" s="26">
        <v>49.0</v>
      </c>
      <c r="E186" s="20" t="s">
        <v>367</v>
      </c>
      <c r="F186" s="26" t="s">
        <v>585</v>
      </c>
      <c r="G186" s="26" t="s">
        <v>375</v>
      </c>
      <c r="H186" s="26" t="s">
        <v>407</v>
      </c>
      <c r="I186" s="26" t="s">
        <v>813</v>
      </c>
      <c r="J186" s="26" t="s">
        <v>745</v>
      </c>
      <c r="K186" s="18" t="s">
        <v>746</v>
      </c>
      <c r="L186" s="26" t="s">
        <v>790</v>
      </c>
      <c r="M186" s="26" t="s">
        <v>806</v>
      </c>
      <c r="N186" s="21" t="s">
        <v>9</v>
      </c>
      <c r="O186" s="20" t="s">
        <v>4</v>
      </c>
      <c r="P186" s="20" t="s">
        <v>380</v>
      </c>
      <c r="Q186" s="19"/>
      <c r="R186" s="19"/>
      <c r="S186" s="20" t="s">
        <v>4</v>
      </c>
      <c r="T186" s="26" t="s">
        <v>814</v>
      </c>
      <c r="U186" s="20" t="s">
        <v>4</v>
      </c>
      <c r="V186" s="26" t="s">
        <v>757</v>
      </c>
      <c r="W186" s="26" t="s">
        <v>616</v>
      </c>
      <c r="X186" s="20" t="s">
        <v>4</v>
      </c>
      <c r="Y186" s="20" t="s">
        <v>4</v>
      </c>
      <c r="Z186" s="20" t="s">
        <v>4</v>
      </c>
      <c r="AA186" s="26" t="s">
        <v>391</v>
      </c>
      <c r="AB186" s="28"/>
      <c r="AC186" s="52"/>
      <c r="AD186" s="52"/>
    </row>
    <row r="187">
      <c r="A187" s="25"/>
      <c r="B187" s="17" t="s">
        <v>815</v>
      </c>
      <c r="C187" s="18">
        <v>7.764876875E9</v>
      </c>
      <c r="D187" s="26">
        <v>48.0</v>
      </c>
      <c r="E187" s="20" t="s">
        <v>367</v>
      </c>
      <c r="F187" s="19"/>
      <c r="G187" s="26" t="s">
        <v>375</v>
      </c>
      <c r="H187" s="26" t="s">
        <v>407</v>
      </c>
      <c r="I187" s="26" t="s">
        <v>816</v>
      </c>
      <c r="J187" s="26" t="s">
        <v>745</v>
      </c>
      <c r="K187" s="18" t="s">
        <v>746</v>
      </c>
      <c r="L187" s="26" t="s">
        <v>790</v>
      </c>
      <c r="M187" s="26" t="s">
        <v>806</v>
      </c>
      <c r="N187" s="21" t="s">
        <v>9</v>
      </c>
      <c r="O187" s="20" t="s">
        <v>4</v>
      </c>
      <c r="P187" s="20" t="s">
        <v>380</v>
      </c>
      <c r="Q187" s="19"/>
      <c r="R187" s="19"/>
      <c r="S187" s="20" t="s">
        <v>380</v>
      </c>
      <c r="T187" s="19"/>
      <c r="U187" s="20" t="s">
        <v>4</v>
      </c>
      <c r="V187" s="26" t="s">
        <v>817</v>
      </c>
      <c r="W187" s="26" t="s">
        <v>616</v>
      </c>
      <c r="X187" s="20" t="s">
        <v>4</v>
      </c>
      <c r="Y187" s="20" t="s">
        <v>380</v>
      </c>
      <c r="Z187" s="20"/>
      <c r="AA187" s="26" t="s">
        <v>391</v>
      </c>
      <c r="AB187" s="28"/>
      <c r="AC187" s="52"/>
      <c r="AD187" s="52"/>
    </row>
    <row r="188">
      <c r="A188" s="25"/>
      <c r="B188" s="17" t="s">
        <v>818</v>
      </c>
      <c r="C188" s="18">
        <v>7.050395922E9</v>
      </c>
      <c r="D188" s="26">
        <v>58.0</v>
      </c>
      <c r="E188" s="20" t="s">
        <v>367</v>
      </c>
      <c r="F188" s="26" t="s">
        <v>441</v>
      </c>
      <c r="G188" s="26" t="s">
        <v>375</v>
      </c>
      <c r="H188" s="26" t="s">
        <v>407</v>
      </c>
      <c r="I188" s="26" t="s">
        <v>813</v>
      </c>
      <c r="J188" s="26" t="s">
        <v>745</v>
      </c>
      <c r="K188" s="18" t="s">
        <v>746</v>
      </c>
      <c r="L188" s="26" t="s">
        <v>790</v>
      </c>
      <c r="M188" s="26" t="s">
        <v>806</v>
      </c>
      <c r="N188" s="21" t="s">
        <v>9</v>
      </c>
      <c r="O188" s="20" t="s">
        <v>380</v>
      </c>
      <c r="P188" s="20" t="s">
        <v>380</v>
      </c>
      <c r="Q188" s="19"/>
      <c r="R188" s="19"/>
      <c r="S188" s="20" t="s">
        <v>4</v>
      </c>
      <c r="T188" s="26" t="s">
        <v>756</v>
      </c>
      <c r="U188" s="20" t="s">
        <v>380</v>
      </c>
      <c r="V188" s="19"/>
      <c r="W188" s="26" t="s">
        <v>612</v>
      </c>
      <c r="X188" s="20" t="s">
        <v>4</v>
      </c>
      <c r="Y188" s="20" t="s">
        <v>4</v>
      </c>
      <c r="Z188" s="20" t="s">
        <v>4</v>
      </c>
      <c r="AA188" s="26" t="s">
        <v>391</v>
      </c>
      <c r="AB188" s="28"/>
      <c r="AC188" s="52"/>
      <c r="AD188" s="52"/>
    </row>
    <row r="189">
      <c r="A189" s="25"/>
      <c r="B189" s="17" t="s">
        <v>819</v>
      </c>
      <c r="C189" s="18">
        <v>8.863065154E9</v>
      </c>
      <c r="D189" s="26">
        <v>32.0</v>
      </c>
      <c r="E189" s="20" t="s">
        <v>367</v>
      </c>
      <c r="F189" s="26" t="s">
        <v>820</v>
      </c>
      <c r="G189" s="26" t="s">
        <v>375</v>
      </c>
      <c r="H189" s="26" t="s">
        <v>376</v>
      </c>
      <c r="I189" s="26" t="s">
        <v>377</v>
      </c>
      <c r="J189" s="26" t="s">
        <v>745</v>
      </c>
      <c r="K189" s="18" t="s">
        <v>746</v>
      </c>
      <c r="L189" s="26" t="s">
        <v>790</v>
      </c>
      <c r="M189" s="26" t="s">
        <v>821</v>
      </c>
      <c r="N189" s="21" t="s">
        <v>9</v>
      </c>
      <c r="O189" s="20" t="s">
        <v>4</v>
      </c>
      <c r="P189" s="20" t="s">
        <v>380</v>
      </c>
      <c r="Q189" s="19"/>
      <c r="R189" s="19"/>
      <c r="S189" s="20" t="s">
        <v>4</v>
      </c>
      <c r="T189" s="26" t="s">
        <v>756</v>
      </c>
      <c r="U189" s="20" t="s">
        <v>4</v>
      </c>
      <c r="V189" s="26" t="s">
        <v>822</v>
      </c>
      <c r="W189" s="26" t="s">
        <v>616</v>
      </c>
      <c r="X189" s="20" t="s">
        <v>4</v>
      </c>
      <c r="Y189" s="20" t="s">
        <v>4</v>
      </c>
      <c r="Z189" s="20" t="s">
        <v>4</v>
      </c>
      <c r="AA189" s="26" t="s">
        <v>391</v>
      </c>
      <c r="AB189" s="28"/>
      <c r="AC189" s="52"/>
      <c r="AD189" s="52"/>
    </row>
    <row r="190">
      <c r="A190" s="25"/>
      <c r="B190" s="17" t="s">
        <v>823</v>
      </c>
      <c r="C190" s="18">
        <v>9.264409831E9</v>
      </c>
      <c r="D190" s="19"/>
      <c r="E190" s="20"/>
      <c r="F190" s="19"/>
      <c r="G190" s="19"/>
      <c r="H190" s="19"/>
      <c r="I190" s="19"/>
      <c r="J190" s="26" t="s">
        <v>745</v>
      </c>
      <c r="K190" s="18" t="s">
        <v>746</v>
      </c>
      <c r="L190" s="19"/>
      <c r="M190" s="19"/>
      <c r="N190" s="21" t="s">
        <v>27</v>
      </c>
      <c r="O190" s="20"/>
      <c r="P190" s="20"/>
      <c r="Q190" s="19"/>
      <c r="R190" s="19"/>
      <c r="S190" s="20"/>
      <c r="T190" s="19"/>
      <c r="U190" s="20"/>
      <c r="V190" s="19"/>
      <c r="W190" s="26"/>
      <c r="X190" s="20"/>
      <c r="Y190" s="20"/>
      <c r="Z190" s="20"/>
      <c r="AA190" s="26"/>
      <c r="AB190" s="28"/>
      <c r="AC190" s="52"/>
      <c r="AD190" s="52"/>
    </row>
    <row r="191">
      <c r="A191" s="25"/>
      <c r="B191" s="17" t="s">
        <v>824</v>
      </c>
      <c r="C191" s="18">
        <v>9.330539914E9</v>
      </c>
      <c r="D191" s="26">
        <v>47.0</v>
      </c>
      <c r="E191" s="20" t="s">
        <v>367</v>
      </c>
      <c r="F191" s="26" t="s">
        <v>441</v>
      </c>
      <c r="G191" s="26" t="s">
        <v>375</v>
      </c>
      <c r="H191" s="26" t="s">
        <v>407</v>
      </c>
      <c r="I191" s="26" t="s">
        <v>825</v>
      </c>
      <c r="J191" s="26" t="s">
        <v>745</v>
      </c>
      <c r="K191" s="18" t="s">
        <v>746</v>
      </c>
      <c r="L191" s="26" t="s">
        <v>790</v>
      </c>
      <c r="M191" s="26" t="s">
        <v>826</v>
      </c>
      <c r="N191" s="21" t="s">
        <v>9</v>
      </c>
      <c r="O191" s="20" t="s">
        <v>4</v>
      </c>
      <c r="P191" s="20" t="s">
        <v>380</v>
      </c>
      <c r="Q191" s="19"/>
      <c r="R191" s="19"/>
      <c r="S191" s="20" t="s">
        <v>4</v>
      </c>
      <c r="T191" s="26" t="s">
        <v>756</v>
      </c>
      <c r="U191" s="20" t="s">
        <v>4</v>
      </c>
      <c r="V191" s="26" t="s">
        <v>827</v>
      </c>
      <c r="W191" s="26" t="s">
        <v>616</v>
      </c>
      <c r="X191" s="20" t="s">
        <v>4</v>
      </c>
      <c r="Y191" s="20" t="s">
        <v>4</v>
      </c>
      <c r="Z191" s="20" t="s">
        <v>4</v>
      </c>
      <c r="AA191" s="26" t="s">
        <v>391</v>
      </c>
      <c r="AB191" s="28"/>
      <c r="AC191" s="52"/>
      <c r="AD191" s="52"/>
    </row>
    <row r="192">
      <c r="A192" s="25"/>
      <c r="B192" s="17" t="s">
        <v>828</v>
      </c>
      <c r="C192" s="18">
        <v>6.201433369E9</v>
      </c>
      <c r="D192" s="26">
        <v>45.0</v>
      </c>
      <c r="E192" s="20" t="s">
        <v>367</v>
      </c>
      <c r="F192" s="26" t="s">
        <v>374</v>
      </c>
      <c r="G192" s="26" t="s">
        <v>375</v>
      </c>
      <c r="H192" s="26" t="s">
        <v>407</v>
      </c>
      <c r="I192" s="26" t="s">
        <v>829</v>
      </c>
      <c r="J192" s="26" t="s">
        <v>745</v>
      </c>
      <c r="K192" s="18" t="s">
        <v>746</v>
      </c>
      <c r="L192" s="19"/>
      <c r="M192" s="19"/>
      <c r="N192" s="21" t="s">
        <v>27</v>
      </c>
      <c r="O192" s="20"/>
      <c r="P192" s="20"/>
      <c r="Q192" s="19"/>
      <c r="R192" s="19"/>
      <c r="S192" s="20"/>
      <c r="T192" s="19"/>
      <c r="U192" s="20"/>
      <c r="V192" s="19"/>
      <c r="W192" s="26"/>
      <c r="X192" s="20"/>
      <c r="Y192" s="20"/>
      <c r="Z192" s="20"/>
      <c r="AA192" s="26"/>
      <c r="AB192" s="17" t="s">
        <v>830</v>
      </c>
      <c r="AC192" s="52"/>
      <c r="AD192" s="52"/>
    </row>
    <row r="193">
      <c r="A193" s="25"/>
      <c r="B193" s="17" t="s">
        <v>831</v>
      </c>
      <c r="C193" s="18">
        <v>8.825396071E9</v>
      </c>
      <c r="D193" s="26">
        <v>31.0</v>
      </c>
      <c r="E193" s="20" t="s">
        <v>367</v>
      </c>
      <c r="F193" s="26" t="s">
        <v>441</v>
      </c>
      <c r="G193" s="26" t="s">
        <v>375</v>
      </c>
      <c r="H193" s="26" t="s">
        <v>407</v>
      </c>
      <c r="I193" s="26" t="s">
        <v>829</v>
      </c>
      <c r="J193" s="26" t="s">
        <v>745</v>
      </c>
      <c r="K193" s="18" t="s">
        <v>746</v>
      </c>
      <c r="L193" s="26" t="s">
        <v>790</v>
      </c>
      <c r="M193" s="26" t="s">
        <v>832</v>
      </c>
      <c r="N193" s="21" t="s">
        <v>9</v>
      </c>
      <c r="O193" s="20" t="s">
        <v>380</v>
      </c>
      <c r="P193" s="20" t="s">
        <v>380</v>
      </c>
      <c r="Q193" s="19"/>
      <c r="R193" s="19"/>
      <c r="S193" s="20" t="s">
        <v>4</v>
      </c>
      <c r="T193" s="26" t="s">
        <v>756</v>
      </c>
      <c r="U193" s="20" t="s">
        <v>380</v>
      </c>
      <c r="V193" s="19"/>
      <c r="W193" s="26" t="s">
        <v>616</v>
      </c>
      <c r="X193" s="20" t="s">
        <v>4</v>
      </c>
      <c r="Y193" s="20" t="s">
        <v>380</v>
      </c>
      <c r="Z193" s="20" t="s">
        <v>4</v>
      </c>
      <c r="AA193" s="26" t="s">
        <v>391</v>
      </c>
      <c r="AB193" s="28"/>
      <c r="AC193" s="52"/>
      <c r="AD193" s="52"/>
    </row>
    <row r="194">
      <c r="A194" s="25"/>
      <c r="B194" s="17" t="s">
        <v>833</v>
      </c>
      <c r="C194" s="18">
        <v>6.205955063E9</v>
      </c>
      <c r="D194" s="26">
        <v>40.0</v>
      </c>
      <c r="E194" s="20" t="s">
        <v>367</v>
      </c>
      <c r="F194" s="26" t="s">
        <v>834</v>
      </c>
      <c r="G194" s="26" t="s">
        <v>375</v>
      </c>
      <c r="H194" s="26" t="s">
        <v>407</v>
      </c>
      <c r="I194" s="26" t="s">
        <v>797</v>
      </c>
      <c r="J194" s="26" t="s">
        <v>745</v>
      </c>
      <c r="K194" s="18" t="s">
        <v>746</v>
      </c>
      <c r="L194" s="26" t="s">
        <v>790</v>
      </c>
      <c r="M194" s="26">
        <v>7.0</v>
      </c>
      <c r="N194" s="21" t="s">
        <v>9</v>
      </c>
      <c r="O194" s="20" t="s">
        <v>4</v>
      </c>
      <c r="P194" s="20" t="s">
        <v>380</v>
      </c>
      <c r="Q194" s="19"/>
      <c r="R194" s="19"/>
      <c r="S194" s="20" t="s">
        <v>4</v>
      </c>
      <c r="T194" s="26" t="s">
        <v>835</v>
      </c>
      <c r="U194" s="20" t="s">
        <v>4</v>
      </c>
      <c r="V194" s="26" t="s">
        <v>757</v>
      </c>
      <c r="W194" s="26" t="s">
        <v>616</v>
      </c>
      <c r="X194" s="20" t="s">
        <v>4</v>
      </c>
      <c r="Y194" s="20" t="s">
        <v>380</v>
      </c>
      <c r="Z194" s="20" t="s">
        <v>380</v>
      </c>
      <c r="AA194" s="26" t="s">
        <v>391</v>
      </c>
      <c r="AB194" s="28"/>
      <c r="AC194" s="52"/>
      <c r="AD194" s="52"/>
    </row>
    <row r="195">
      <c r="A195" s="25"/>
      <c r="B195" s="17" t="s">
        <v>836</v>
      </c>
      <c r="C195" s="18">
        <v>8.797454005E9</v>
      </c>
      <c r="D195" s="26">
        <v>35.0</v>
      </c>
      <c r="E195" s="20" t="s">
        <v>367</v>
      </c>
      <c r="F195" s="26" t="s">
        <v>837</v>
      </c>
      <c r="G195" s="26" t="s">
        <v>518</v>
      </c>
      <c r="H195" s="26" t="s">
        <v>507</v>
      </c>
      <c r="I195" s="19"/>
      <c r="J195" s="26" t="s">
        <v>745</v>
      </c>
      <c r="K195" s="18" t="s">
        <v>746</v>
      </c>
      <c r="L195" s="26" t="s">
        <v>790</v>
      </c>
      <c r="M195" s="26" t="s">
        <v>790</v>
      </c>
      <c r="N195" s="21" t="s">
        <v>9</v>
      </c>
      <c r="O195" s="20" t="s">
        <v>380</v>
      </c>
      <c r="P195" s="20" t="s">
        <v>380</v>
      </c>
      <c r="Q195" s="19"/>
      <c r="R195" s="19"/>
      <c r="S195" s="20" t="s">
        <v>380</v>
      </c>
      <c r="T195" s="19"/>
      <c r="U195" s="20" t="s">
        <v>380</v>
      </c>
      <c r="V195" s="19"/>
      <c r="W195" s="26" t="s">
        <v>616</v>
      </c>
      <c r="X195" s="20" t="s">
        <v>4</v>
      </c>
      <c r="Y195" s="20" t="s">
        <v>4</v>
      </c>
      <c r="Z195" s="20" t="s">
        <v>4</v>
      </c>
      <c r="AA195" s="26" t="s">
        <v>391</v>
      </c>
      <c r="AB195" s="28"/>
      <c r="AC195" s="52"/>
      <c r="AD195" s="52"/>
    </row>
    <row r="196">
      <c r="A196" s="25"/>
      <c r="B196" s="17" t="s">
        <v>799</v>
      </c>
      <c r="C196" s="18">
        <v>9.334395087E9</v>
      </c>
      <c r="D196" s="26">
        <v>26.0</v>
      </c>
      <c r="E196" s="20" t="s">
        <v>367</v>
      </c>
      <c r="F196" s="26" t="s">
        <v>382</v>
      </c>
      <c r="G196" s="26" t="s">
        <v>375</v>
      </c>
      <c r="H196" s="26" t="s">
        <v>407</v>
      </c>
      <c r="I196" s="19"/>
      <c r="J196" s="26" t="s">
        <v>745</v>
      </c>
      <c r="K196" s="18" t="s">
        <v>746</v>
      </c>
      <c r="L196" s="26" t="s">
        <v>790</v>
      </c>
      <c r="M196" s="26" t="s">
        <v>760</v>
      </c>
      <c r="N196" s="21" t="s">
        <v>9</v>
      </c>
      <c r="O196" s="20" t="s">
        <v>380</v>
      </c>
      <c r="P196" s="20" t="s">
        <v>380</v>
      </c>
      <c r="Q196" s="19"/>
      <c r="R196" s="19"/>
      <c r="S196" s="20" t="s">
        <v>380</v>
      </c>
      <c r="T196" s="19"/>
      <c r="U196" s="20" t="s">
        <v>380</v>
      </c>
      <c r="V196" s="19"/>
      <c r="W196" s="26" t="s">
        <v>616</v>
      </c>
      <c r="X196" s="20" t="s">
        <v>4</v>
      </c>
      <c r="Y196" s="20" t="s">
        <v>4</v>
      </c>
      <c r="Z196" s="20" t="s">
        <v>4</v>
      </c>
      <c r="AA196" s="26" t="s">
        <v>391</v>
      </c>
      <c r="AB196" s="28"/>
      <c r="AC196" s="52"/>
      <c r="AD196" s="52"/>
    </row>
    <row r="197">
      <c r="A197" s="25"/>
      <c r="B197" s="17" t="s">
        <v>838</v>
      </c>
      <c r="C197" s="18">
        <v>8.383866929E9</v>
      </c>
      <c r="D197" s="19"/>
      <c r="E197" s="20"/>
      <c r="F197" s="19"/>
      <c r="G197" s="19"/>
      <c r="H197" s="19"/>
      <c r="I197" s="19"/>
      <c r="J197" s="26" t="s">
        <v>745</v>
      </c>
      <c r="K197" s="18" t="s">
        <v>746</v>
      </c>
      <c r="L197" s="19"/>
      <c r="M197" s="19"/>
      <c r="N197" s="21" t="s">
        <v>54</v>
      </c>
      <c r="O197" s="20"/>
      <c r="P197" s="20"/>
      <c r="Q197" s="19"/>
      <c r="R197" s="19"/>
      <c r="S197" s="20"/>
      <c r="T197" s="19"/>
      <c r="U197" s="20"/>
      <c r="V197" s="19"/>
      <c r="W197" s="26"/>
      <c r="X197" s="20"/>
      <c r="Y197" s="20"/>
      <c r="Z197" s="20"/>
      <c r="AA197" s="26"/>
      <c r="AB197" s="28"/>
      <c r="AC197" s="52"/>
      <c r="AD197" s="52"/>
    </row>
    <row r="198">
      <c r="A198" s="25"/>
      <c r="B198" s="17" t="s">
        <v>839</v>
      </c>
      <c r="C198" s="18">
        <v>9.650598661E9</v>
      </c>
      <c r="D198" s="26">
        <v>27.0</v>
      </c>
      <c r="E198" s="20" t="s">
        <v>367</v>
      </c>
      <c r="F198" s="19"/>
      <c r="G198" s="26" t="s">
        <v>375</v>
      </c>
      <c r="H198" s="26" t="s">
        <v>376</v>
      </c>
      <c r="I198" s="26" t="s">
        <v>840</v>
      </c>
      <c r="J198" s="26" t="s">
        <v>745</v>
      </c>
      <c r="K198" s="18" t="s">
        <v>746</v>
      </c>
      <c r="L198" s="26" t="s">
        <v>790</v>
      </c>
      <c r="M198" s="26">
        <v>1.0</v>
      </c>
      <c r="N198" s="21" t="s">
        <v>9</v>
      </c>
      <c r="O198" s="20" t="s">
        <v>4</v>
      </c>
      <c r="P198" s="20" t="s">
        <v>380</v>
      </c>
      <c r="Q198" s="19"/>
      <c r="R198" s="19"/>
      <c r="S198" s="20" t="s">
        <v>4</v>
      </c>
      <c r="T198" s="26" t="s">
        <v>756</v>
      </c>
      <c r="U198" s="20" t="s">
        <v>4</v>
      </c>
      <c r="V198" s="26" t="s">
        <v>841</v>
      </c>
      <c r="W198" s="26" t="s">
        <v>616</v>
      </c>
      <c r="X198" s="20" t="s">
        <v>4</v>
      </c>
      <c r="Y198" s="20" t="s">
        <v>4</v>
      </c>
      <c r="Z198" s="20" t="s">
        <v>380</v>
      </c>
      <c r="AA198" s="26" t="s">
        <v>391</v>
      </c>
      <c r="AB198" s="28"/>
      <c r="AC198" s="52"/>
      <c r="AD198" s="52"/>
    </row>
    <row r="199">
      <c r="A199" s="25"/>
      <c r="B199" s="17" t="s">
        <v>842</v>
      </c>
      <c r="C199" s="18">
        <v>9.576711207E9</v>
      </c>
      <c r="D199" s="19"/>
      <c r="E199" s="20"/>
      <c r="F199" s="19"/>
      <c r="G199" s="19"/>
      <c r="H199" s="19"/>
      <c r="I199" s="19"/>
      <c r="J199" s="26" t="s">
        <v>745</v>
      </c>
      <c r="K199" s="18" t="s">
        <v>746</v>
      </c>
      <c r="L199" s="19"/>
      <c r="M199" s="19"/>
      <c r="N199" s="21" t="s">
        <v>23</v>
      </c>
      <c r="O199" s="20"/>
      <c r="P199" s="20"/>
      <c r="Q199" s="19"/>
      <c r="R199" s="19"/>
      <c r="S199" s="20"/>
      <c r="T199" s="19"/>
      <c r="U199" s="20"/>
      <c r="V199" s="19"/>
      <c r="W199" s="26"/>
      <c r="X199" s="20"/>
      <c r="Y199" s="20"/>
      <c r="Z199" s="20"/>
      <c r="AA199" s="26"/>
      <c r="AB199" s="28"/>
      <c r="AC199" s="52"/>
      <c r="AD199" s="52"/>
    </row>
    <row r="200">
      <c r="A200" s="25"/>
      <c r="B200" s="17" t="s">
        <v>843</v>
      </c>
      <c r="C200" s="18">
        <v>9.122028683E9</v>
      </c>
      <c r="D200" s="26">
        <v>32.0</v>
      </c>
      <c r="E200" s="20" t="s">
        <v>367</v>
      </c>
      <c r="F200" s="26" t="s">
        <v>382</v>
      </c>
      <c r="G200" s="26" t="s">
        <v>375</v>
      </c>
      <c r="H200" s="26" t="s">
        <v>376</v>
      </c>
      <c r="I200" s="26" t="s">
        <v>825</v>
      </c>
      <c r="J200" s="26" t="s">
        <v>745</v>
      </c>
      <c r="K200" s="18" t="s">
        <v>746</v>
      </c>
      <c r="L200" s="26" t="s">
        <v>790</v>
      </c>
      <c r="M200" s="26" t="s">
        <v>844</v>
      </c>
      <c r="N200" s="21" t="s">
        <v>9</v>
      </c>
      <c r="O200" s="20" t="s">
        <v>4</v>
      </c>
      <c r="P200" s="20" t="s">
        <v>4</v>
      </c>
      <c r="Q200" s="26" t="s">
        <v>845</v>
      </c>
      <c r="R200" s="19"/>
      <c r="S200" s="20" t="s">
        <v>380</v>
      </c>
      <c r="T200" s="19"/>
      <c r="U200" s="20" t="s">
        <v>4</v>
      </c>
      <c r="V200" s="26" t="s">
        <v>757</v>
      </c>
      <c r="W200" s="26" t="s">
        <v>612</v>
      </c>
      <c r="X200" s="20" t="s">
        <v>4</v>
      </c>
      <c r="Y200" s="20" t="s">
        <v>4</v>
      </c>
      <c r="Z200" s="20" t="s">
        <v>4</v>
      </c>
      <c r="AA200" s="26" t="s">
        <v>391</v>
      </c>
      <c r="AB200" s="28"/>
      <c r="AC200" s="52"/>
      <c r="AD200" s="52"/>
    </row>
    <row r="201">
      <c r="A201" s="25"/>
      <c r="B201" s="17" t="s">
        <v>846</v>
      </c>
      <c r="C201" s="18">
        <v>8.521802196E9</v>
      </c>
      <c r="D201" s="26">
        <v>60.0</v>
      </c>
      <c r="E201" s="20" t="s">
        <v>367</v>
      </c>
      <c r="F201" s="26" t="s">
        <v>374</v>
      </c>
      <c r="G201" s="26" t="s">
        <v>375</v>
      </c>
      <c r="H201" s="26" t="s">
        <v>376</v>
      </c>
      <c r="I201" s="26" t="s">
        <v>377</v>
      </c>
      <c r="J201" s="26" t="s">
        <v>745</v>
      </c>
      <c r="K201" s="18" t="s">
        <v>746</v>
      </c>
      <c r="L201" s="26" t="s">
        <v>790</v>
      </c>
      <c r="M201" s="26" t="s">
        <v>847</v>
      </c>
      <c r="N201" s="21" t="s">
        <v>9</v>
      </c>
      <c r="O201" s="20" t="s">
        <v>4</v>
      </c>
      <c r="P201" s="20" t="s">
        <v>4</v>
      </c>
      <c r="Q201" s="26" t="s">
        <v>848</v>
      </c>
      <c r="R201" s="19"/>
      <c r="S201" s="20" t="s">
        <v>4</v>
      </c>
      <c r="T201" s="26" t="s">
        <v>756</v>
      </c>
      <c r="U201" s="20" t="s">
        <v>4</v>
      </c>
      <c r="V201" s="26" t="s">
        <v>849</v>
      </c>
      <c r="W201" s="26" t="s">
        <v>616</v>
      </c>
      <c r="X201" s="20" t="s">
        <v>4</v>
      </c>
      <c r="Y201" s="20" t="s">
        <v>4</v>
      </c>
      <c r="Z201" s="20" t="s">
        <v>4</v>
      </c>
      <c r="AA201" s="26" t="s">
        <v>391</v>
      </c>
      <c r="AB201" s="28"/>
      <c r="AC201" s="52"/>
      <c r="AD201" s="52"/>
    </row>
    <row r="202">
      <c r="A202" s="25"/>
      <c r="B202" s="17" t="s">
        <v>850</v>
      </c>
      <c r="C202" s="18">
        <v>9.931249517E9</v>
      </c>
      <c r="D202" s="26">
        <v>65.0</v>
      </c>
      <c r="E202" s="20" t="s">
        <v>367</v>
      </c>
      <c r="F202" s="26" t="s">
        <v>374</v>
      </c>
      <c r="G202" s="26" t="s">
        <v>375</v>
      </c>
      <c r="H202" s="26" t="s">
        <v>376</v>
      </c>
      <c r="I202" s="26" t="s">
        <v>377</v>
      </c>
      <c r="J202" s="26" t="s">
        <v>745</v>
      </c>
      <c r="K202" s="18" t="s">
        <v>746</v>
      </c>
      <c r="L202" s="26" t="s">
        <v>790</v>
      </c>
      <c r="M202" s="26" t="s">
        <v>847</v>
      </c>
      <c r="N202" s="21" t="s">
        <v>9</v>
      </c>
      <c r="O202" s="20" t="s">
        <v>4</v>
      </c>
      <c r="P202" s="20" t="s">
        <v>4</v>
      </c>
      <c r="Q202" s="26" t="s">
        <v>444</v>
      </c>
      <c r="R202" s="19"/>
      <c r="S202" s="20" t="s">
        <v>4</v>
      </c>
      <c r="T202" s="26" t="s">
        <v>756</v>
      </c>
      <c r="U202" s="20" t="s">
        <v>4</v>
      </c>
      <c r="V202" s="19"/>
      <c r="W202" s="26" t="s">
        <v>616</v>
      </c>
      <c r="X202" s="20" t="s">
        <v>4</v>
      </c>
      <c r="Y202" s="20" t="s">
        <v>4</v>
      </c>
      <c r="Z202" s="20" t="s">
        <v>4</v>
      </c>
      <c r="AA202" s="26" t="s">
        <v>391</v>
      </c>
      <c r="AB202" s="28"/>
      <c r="AC202" s="52"/>
      <c r="AD202" s="52"/>
    </row>
    <row r="203">
      <c r="A203" s="25"/>
      <c r="B203" s="17" t="s">
        <v>851</v>
      </c>
      <c r="C203" s="18">
        <v>7.654419406E9</v>
      </c>
      <c r="D203" s="26">
        <v>67.0</v>
      </c>
      <c r="E203" s="20" t="s">
        <v>367</v>
      </c>
      <c r="F203" s="26" t="s">
        <v>374</v>
      </c>
      <c r="G203" s="26" t="s">
        <v>375</v>
      </c>
      <c r="H203" s="26" t="s">
        <v>637</v>
      </c>
      <c r="I203" s="26" t="s">
        <v>377</v>
      </c>
      <c r="J203" s="26" t="s">
        <v>745</v>
      </c>
      <c r="K203" s="18" t="s">
        <v>746</v>
      </c>
      <c r="L203" s="26" t="s">
        <v>790</v>
      </c>
      <c r="M203" s="26" t="s">
        <v>852</v>
      </c>
      <c r="N203" s="21" t="s">
        <v>9</v>
      </c>
      <c r="O203" s="20" t="s">
        <v>4</v>
      </c>
      <c r="P203" s="20" t="s">
        <v>4</v>
      </c>
      <c r="Q203" s="26" t="s">
        <v>444</v>
      </c>
      <c r="R203" s="19"/>
      <c r="S203" s="20" t="s">
        <v>4</v>
      </c>
      <c r="T203" s="26" t="s">
        <v>756</v>
      </c>
      <c r="U203" s="20" t="s">
        <v>4</v>
      </c>
      <c r="V203" s="26" t="s">
        <v>462</v>
      </c>
      <c r="W203" s="26" t="s">
        <v>616</v>
      </c>
      <c r="X203" s="20" t="s">
        <v>4</v>
      </c>
      <c r="Y203" s="20" t="s">
        <v>4</v>
      </c>
      <c r="Z203" s="20" t="s">
        <v>4</v>
      </c>
      <c r="AA203" s="26" t="s">
        <v>391</v>
      </c>
      <c r="AB203" s="28"/>
      <c r="AC203" s="52"/>
      <c r="AD203" s="52"/>
    </row>
    <row r="204">
      <c r="A204" s="25"/>
      <c r="B204" s="17" t="s">
        <v>853</v>
      </c>
      <c r="C204" s="18">
        <v>9.661952426E9</v>
      </c>
      <c r="D204" s="19"/>
      <c r="E204" s="20"/>
      <c r="F204" s="19"/>
      <c r="G204" s="19"/>
      <c r="H204" s="19"/>
      <c r="I204" s="19"/>
      <c r="J204" s="26" t="s">
        <v>745</v>
      </c>
      <c r="K204" s="18" t="s">
        <v>746</v>
      </c>
      <c r="L204" s="19"/>
      <c r="M204" s="19"/>
      <c r="N204" s="21" t="s">
        <v>23</v>
      </c>
      <c r="O204" s="20"/>
      <c r="P204" s="20"/>
      <c r="Q204" s="19"/>
      <c r="R204" s="19"/>
      <c r="S204" s="20"/>
      <c r="T204" s="19"/>
      <c r="U204" s="20"/>
      <c r="V204" s="19"/>
      <c r="W204" s="26"/>
      <c r="X204" s="20"/>
      <c r="Y204" s="20"/>
      <c r="Z204" s="20"/>
      <c r="AA204" s="26"/>
      <c r="AB204" s="28"/>
      <c r="AC204" s="52"/>
      <c r="AD204" s="52"/>
    </row>
    <row r="205">
      <c r="A205" s="25"/>
      <c r="B205" s="17" t="s">
        <v>854</v>
      </c>
      <c r="C205" s="18">
        <v>9.905689456E9</v>
      </c>
      <c r="D205" s="26">
        <v>50.0</v>
      </c>
      <c r="E205" s="20" t="s">
        <v>367</v>
      </c>
      <c r="F205" s="26" t="s">
        <v>441</v>
      </c>
      <c r="G205" s="26" t="s">
        <v>518</v>
      </c>
      <c r="H205" s="26" t="s">
        <v>507</v>
      </c>
      <c r="I205" s="26" t="s">
        <v>769</v>
      </c>
      <c r="J205" s="26" t="s">
        <v>745</v>
      </c>
      <c r="K205" s="18" t="s">
        <v>746</v>
      </c>
      <c r="L205" s="26" t="s">
        <v>790</v>
      </c>
      <c r="M205" s="26" t="s">
        <v>855</v>
      </c>
      <c r="N205" s="21" t="s">
        <v>9</v>
      </c>
      <c r="O205" s="20" t="s">
        <v>4</v>
      </c>
      <c r="P205" s="20" t="s">
        <v>4</v>
      </c>
      <c r="Q205" s="26" t="s">
        <v>444</v>
      </c>
      <c r="R205" s="19"/>
      <c r="S205" s="20" t="s">
        <v>4</v>
      </c>
      <c r="T205" s="26" t="s">
        <v>756</v>
      </c>
      <c r="U205" s="20" t="s">
        <v>4</v>
      </c>
      <c r="V205" s="26" t="s">
        <v>841</v>
      </c>
      <c r="W205" s="26" t="s">
        <v>616</v>
      </c>
      <c r="X205" s="20" t="s">
        <v>4</v>
      </c>
      <c r="Y205" s="20" t="s">
        <v>380</v>
      </c>
      <c r="Z205" s="20" t="s">
        <v>4</v>
      </c>
      <c r="AA205" s="26" t="s">
        <v>391</v>
      </c>
      <c r="AB205" s="28"/>
      <c r="AC205" s="52"/>
      <c r="AD205" s="52"/>
    </row>
    <row r="206">
      <c r="A206" s="25"/>
      <c r="B206" s="17" t="s">
        <v>856</v>
      </c>
      <c r="C206" s="18">
        <v>6.207654476E9</v>
      </c>
      <c r="D206" s="26">
        <v>40.0</v>
      </c>
      <c r="E206" s="20" t="s">
        <v>367</v>
      </c>
      <c r="F206" s="26" t="s">
        <v>585</v>
      </c>
      <c r="G206" s="26" t="s">
        <v>518</v>
      </c>
      <c r="H206" s="26" t="s">
        <v>507</v>
      </c>
      <c r="I206" s="26" t="s">
        <v>779</v>
      </c>
      <c r="J206" s="26" t="s">
        <v>745</v>
      </c>
      <c r="K206" s="18" t="s">
        <v>746</v>
      </c>
      <c r="L206" s="26" t="s">
        <v>790</v>
      </c>
      <c r="M206" s="26" t="s">
        <v>855</v>
      </c>
      <c r="N206" s="21" t="s">
        <v>9</v>
      </c>
      <c r="O206" s="20" t="s">
        <v>4</v>
      </c>
      <c r="P206" s="20" t="s">
        <v>4</v>
      </c>
      <c r="Q206" s="26" t="s">
        <v>444</v>
      </c>
      <c r="R206" s="19"/>
      <c r="S206" s="20" t="s">
        <v>4</v>
      </c>
      <c r="T206" s="26" t="s">
        <v>756</v>
      </c>
      <c r="U206" s="20" t="s">
        <v>4</v>
      </c>
      <c r="V206" s="26" t="s">
        <v>462</v>
      </c>
      <c r="W206" s="26" t="s">
        <v>616</v>
      </c>
      <c r="X206" s="20" t="s">
        <v>4</v>
      </c>
      <c r="Y206" s="20" t="s">
        <v>4</v>
      </c>
      <c r="Z206" s="20" t="s">
        <v>4</v>
      </c>
      <c r="AA206" s="26" t="s">
        <v>391</v>
      </c>
      <c r="AB206" s="28"/>
      <c r="AC206" s="52"/>
      <c r="AD206" s="52"/>
    </row>
    <row r="207">
      <c r="A207" s="31"/>
      <c r="B207" s="17" t="s">
        <v>857</v>
      </c>
      <c r="C207" s="18">
        <v>8.102088233E9</v>
      </c>
      <c r="D207" s="26">
        <v>35.0</v>
      </c>
      <c r="E207" s="20" t="s">
        <v>367</v>
      </c>
      <c r="F207" s="26" t="s">
        <v>374</v>
      </c>
      <c r="G207" s="26" t="s">
        <v>375</v>
      </c>
      <c r="H207" s="26" t="s">
        <v>407</v>
      </c>
      <c r="I207" s="26" t="s">
        <v>825</v>
      </c>
      <c r="J207" s="26" t="s">
        <v>745</v>
      </c>
      <c r="K207" s="18" t="s">
        <v>746</v>
      </c>
      <c r="L207" s="26" t="s">
        <v>790</v>
      </c>
      <c r="M207" s="26" t="s">
        <v>855</v>
      </c>
      <c r="N207" s="21" t="s">
        <v>9</v>
      </c>
      <c r="O207" s="20" t="s">
        <v>4</v>
      </c>
      <c r="P207" s="20" t="s">
        <v>4</v>
      </c>
      <c r="Q207" s="26" t="s">
        <v>848</v>
      </c>
      <c r="R207" s="19"/>
      <c r="S207" s="20" t="s">
        <v>4</v>
      </c>
      <c r="T207" s="26" t="s">
        <v>858</v>
      </c>
      <c r="U207" s="20" t="s">
        <v>4</v>
      </c>
      <c r="V207" s="26" t="s">
        <v>859</v>
      </c>
      <c r="W207" s="26" t="s">
        <v>616</v>
      </c>
      <c r="X207" s="20" t="s">
        <v>4</v>
      </c>
      <c r="Y207" s="20" t="s">
        <v>4</v>
      </c>
      <c r="Z207" s="20" t="s">
        <v>4</v>
      </c>
      <c r="AA207" s="26" t="s">
        <v>391</v>
      </c>
      <c r="AB207" s="28"/>
      <c r="AC207" s="52"/>
      <c r="AD207" s="52"/>
    </row>
    <row r="208">
      <c r="A208" s="32"/>
      <c r="B208" s="33"/>
      <c r="C208" s="34"/>
      <c r="K208" s="34"/>
      <c r="N208" s="34"/>
      <c r="O208" s="20"/>
      <c r="AB208" s="33"/>
      <c r="AC208" s="24"/>
      <c r="AD208" s="24"/>
    </row>
    <row r="209">
      <c r="A209" s="16" t="s">
        <v>860</v>
      </c>
      <c r="B209" s="53" t="s">
        <v>861</v>
      </c>
      <c r="C209" s="53">
        <v>8.651505002E9</v>
      </c>
      <c r="D209" s="26">
        <v>38.0</v>
      </c>
      <c r="E209" s="20" t="s">
        <v>367</v>
      </c>
      <c r="F209" s="26" t="s">
        <v>441</v>
      </c>
      <c r="G209" s="26" t="s">
        <v>551</v>
      </c>
      <c r="H209" s="26" t="s">
        <v>383</v>
      </c>
      <c r="I209" s="26" t="s">
        <v>862</v>
      </c>
      <c r="J209" s="26" t="s">
        <v>863</v>
      </c>
      <c r="K209" s="18" t="s">
        <v>864</v>
      </c>
      <c r="L209" s="26" t="s">
        <v>865</v>
      </c>
      <c r="M209" s="26" t="s">
        <v>866</v>
      </c>
      <c r="N209" s="21" t="s">
        <v>9</v>
      </c>
      <c r="O209" s="20" t="s">
        <v>4</v>
      </c>
      <c r="P209" s="20" t="s">
        <v>4</v>
      </c>
      <c r="Q209" s="26" t="s">
        <v>867</v>
      </c>
      <c r="R209" s="26" t="s">
        <v>652</v>
      </c>
      <c r="S209" s="20" t="s">
        <v>4</v>
      </c>
      <c r="T209" s="19"/>
      <c r="U209" s="20" t="s">
        <v>4</v>
      </c>
      <c r="V209" s="26" t="s">
        <v>868</v>
      </c>
      <c r="W209" s="26" t="s">
        <v>869</v>
      </c>
      <c r="X209" s="20" t="s">
        <v>4</v>
      </c>
      <c r="Y209" s="20" t="s">
        <v>4</v>
      </c>
      <c r="Z209" s="20" t="s">
        <v>4</v>
      </c>
      <c r="AA209" s="26" t="s">
        <v>391</v>
      </c>
      <c r="AB209" s="28"/>
      <c r="AC209" s="52"/>
      <c r="AD209" s="52"/>
    </row>
    <row r="210">
      <c r="A210" s="25"/>
      <c r="B210" s="53" t="s">
        <v>870</v>
      </c>
      <c r="C210" s="53">
        <v>7.3690755E9</v>
      </c>
      <c r="D210" s="26">
        <v>38.0</v>
      </c>
      <c r="E210" s="20" t="s">
        <v>367</v>
      </c>
      <c r="F210" s="26" t="s">
        <v>441</v>
      </c>
      <c r="G210" s="26" t="s">
        <v>551</v>
      </c>
      <c r="H210" s="26" t="s">
        <v>383</v>
      </c>
      <c r="I210" s="26" t="s">
        <v>871</v>
      </c>
      <c r="J210" s="26" t="s">
        <v>872</v>
      </c>
      <c r="K210" s="18" t="s">
        <v>864</v>
      </c>
      <c r="L210" s="26" t="s">
        <v>873</v>
      </c>
      <c r="M210" s="19"/>
      <c r="N210" s="21" t="s">
        <v>9</v>
      </c>
      <c r="O210" s="20" t="s">
        <v>4</v>
      </c>
      <c r="P210" s="20" t="s">
        <v>4</v>
      </c>
      <c r="Q210" s="26" t="s">
        <v>867</v>
      </c>
      <c r="R210" s="26" t="s">
        <v>652</v>
      </c>
      <c r="S210" s="20" t="s">
        <v>4</v>
      </c>
      <c r="T210" s="19"/>
      <c r="U210" s="20" t="s">
        <v>4</v>
      </c>
      <c r="V210" s="19"/>
      <c r="W210" s="26" t="s">
        <v>869</v>
      </c>
      <c r="X210" s="20" t="s">
        <v>4</v>
      </c>
      <c r="Y210" s="20" t="s">
        <v>4</v>
      </c>
      <c r="Z210" s="20" t="s">
        <v>4</v>
      </c>
      <c r="AA210" s="26" t="s">
        <v>391</v>
      </c>
      <c r="AB210" s="28"/>
      <c r="AC210" s="52"/>
      <c r="AD210" s="52"/>
    </row>
    <row r="211">
      <c r="A211" s="25"/>
      <c r="B211" s="53" t="s">
        <v>874</v>
      </c>
      <c r="C211" s="53">
        <v>9.117343385E9</v>
      </c>
      <c r="D211" s="26">
        <v>35.0</v>
      </c>
      <c r="E211" s="20" t="s">
        <v>367</v>
      </c>
      <c r="F211" s="26" t="s">
        <v>441</v>
      </c>
      <c r="G211" s="26" t="s">
        <v>551</v>
      </c>
      <c r="H211" s="26" t="s">
        <v>418</v>
      </c>
      <c r="I211" s="26" t="s">
        <v>875</v>
      </c>
      <c r="J211" s="26" t="s">
        <v>872</v>
      </c>
      <c r="K211" s="18" t="s">
        <v>864</v>
      </c>
      <c r="L211" s="26" t="s">
        <v>865</v>
      </c>
      <c r="M211" s="26" t="s">
        <v>876</v>
      </c>
      <c r="N211" s="21" t="s">
        <v>9</v>
      </c>
      <c r="O211" s="20" t="s">
        <v>4</v>
      </c>
      <c r="P211" s="20" t="s">
        <v>4</v>
      </c>
      <c r="Q211" s="26" t="s">
        <v>867</v>
      </c>
      <c r="R211" s="26" t="s">
        <v>877</v>
      </c>
      <c r="S211" s="20" t="s">
        <v>4</v>
      </c>
      <c r="T211" s="19"/>
      <c r="U211" s="20" t="s">
        <v>4</v>
      </c>
      <c r="V211" s="19"/>
      <c r="W211" s="26" t="s">
        <v>869</v>
      </c>
      <c r="X211" s="20" t="s">
        <v>4</v>
      </c>
      <c r="Y211" s="20" t="s">
        <v>4</v>
      </c>
      <c r="Z211" s="20" t="s">
        <v>4</v>
      </c>
      <c r="AA211" s="26" t="s">
        <v>391</v>
      </c>
      <c r="AB211" s="28"/>
      <c r="AC211" s="52"/>
      <c r="AD211" s="52"/>
    </row>
    <row r="212">
      <c r="A212" s="25"/>
      <c r="B212" s="53" t="s">
        <v>878</v>
      </c>
      <c r="C212" s="54">
        <v>9.162641006E9</v>
      </c>
      <c r="D212" s="26">
        <v>33.0</v>
      </c>
      <c r="E212" s="20" t="s">
        <v>367</v>
      </c>
      <c r="F212" s="26" t="s">
        <v>879</v>
      </c>
      <c r="G212" s="26" t="s">
        <v>551</v>
      </c>
      <c r="H212" s="26" t="s">
        <v>512</v>
      </c>
      <c r="I212" s="26" t="s">
        <v>880</v>
      </c>
      <c r="J212" s="26" t="s">
        <v>872</v>
      </c>
      <c r="K212" s="18" t="s">
        <v>864</v>
      </c>
      <c r="L212" s="26" t="s">
        <v>865</v>
      </c>
      <c r="M212" s="26" t="s">
        <v>881</v>
      </c>
      <c r="N212" s="21" t="s">
        <v>9</v>
      </c>
      <c r="O212" s="20" t="s">
        <v>4</v>
      </c>
      <c r="P212" s="20" t="s">
        <v>4</v>
      </c>
      <c r="Q212" s="26" t="s">
        <v>867</v>
      </c>
      <c r="R212" s="26" t="s">
        <v>652</v>
      </c>
      <c r="S212" s="20" t="s">
        <v>4</v>
      </c>
      <c r="T212" s="19"/>
      <c r="U212" s="20" t="s">
        <v>4</v>
      </c>
      <c r="V212" s="19"/>
      <c r="W212" s="26" t="s">
        <v>869</v>
      </c>
      <c r="X212" s="20" t="s">
        <v>4</v>
      </c>
      <c r="Y212" s="20" t="s">
        <v>4</v>
      </c>
      <c r="Z212" s="20" t="s">
        <v>4</v>
      </c>
      <c r="AA212" s="26" t="s">
        <v>391</v>
      </c>
      <c r="AB212" s="28"/>
      <c r="AC212" s="52"/>
      <c r="AD212" s="52"/>
    </row>
    <row r="213">
      <c r="A213" s="25"/>
      <c r="B213" s="53" t="s">
        <v>882</v>
      </c>
      <c r="C213" s="53">
        <v>6.202721054E9</v>
      </c>
      <c r="D213" s="26">
        <v>25.0</v>
      </c>
      <c r="E213" s="20" t="s">
        <v>367</v>
      </c>
      <c r="F213" s="26" t="s">
        <v>883</v>
      </c>
      <c r="G213" s="26" t="s">
        <v>375</v>
      </c>
      <c r="H213" s="26" t="s">
        <v>407</v>
      </c>
      <c r="I213" s="26" t="s">
        <v>825</v>
      </c>
      <c r="J213" s="26" t="s">
        <v>872</v>
      </c>
      <c r="K213" s="18" t="s">
        <v>864</v>
      </c>
      <c r="L213" s="26" t="s">
        <v>865</v>
      </c>
      <c r="M213" s="26" t="s">
        <v>884</v>
      </c>
      <c r="N213" s="21" t="s">
        <v>9</v>
      </c>
      <c r="O213" s="20" t="s">
        <v>4</v>
      </c>
      <c r="P213" s="20" t="s">
        <v>4</v>
      </c>
      <c r="Q213" s="26" t="s">
        <v>867</v>
      </c>
      <c r="R213" s="26" t="s">
        <v>652</v>
      </c>
      <c r="S213" s="20" t="s">
        <v>4</v>
      </c>
      <c r="T213" s="19"/>
      <c r="U213" s="20" t="s">
        <v>4</v>
      </c>
      <c r="V213" s="19"/>
      <c r="W213" s="26" t="s">
        <v>869</v>
      </c>
      <c r="X213" s="20" t="s">
        <v>4</v>
      </c>
      <c r="Y213" s="20" t="s">
        <v>4</v>
      </c>
      <c r="Z213" s="20" t="s">
        <v>4</v>
      </c>
      <c r="AA213" s="26" t="s">
        <v>391</v>
      </c>
      <c r="AB213" s="28"/>
      <c r="AC213" s="52"/>
      <c r="AD213" s="52"/>
    </row>
    <row r="214">
      <c r="A214" s="25"/>
      <c r="B214" s="53" t="s">
        <v>885</v>
      </c>
      <c r="C214" s="53">
        <v>9.931083299E9</v>
      </c>
      <c r="D214" s="26">
        <v>29.0</v>
      </c>
      <c r="E214" s="20" t="s">
        <v>367</v>
      </c>
      <c r="F214" s="26" t="s">
        <v>441</v>
      </c>
      <c r="G214" s="26" t="s">
        <v>551</v>
      </c>
      <c r="H214" s="26" t="s">
        <v>512</v>
      </c>
      <c r="I214" s="26" t="s">
        <v>886</v>
      </c>
      <c r="J214" s="26" t="s">
        <v>872</v>
      </c>
      <c r="K214" s="18" t="s">
        <v>864</v>
      </c>
      <c r="L214" s="26" t="s">
        <v>873</v>
      </c>
      <c r="M214" s="26" t="s">
        <v>887</v>
      </c>
      <c r="N214" s="21" t="s">
        <v>9</v>
      </c>
      <c r="O214" s="20" t="s">
        <v>4</v>
      </c>
      <c r="P214" s="20" t="s">
        <v>4</v>
      </c>
      <c r="Q214" s="26" t="s">
        <v>888</v>
      </c>
      <c r="R214" s="26" t="s">
        <v>652</v>
      </c>
      <c r="S214" s="20" t="s">
        <v>4</v>
      </c>
      <c r="T214" s="19"/>
      <c r="U214" s="20" t="s">
        <v>4</v>
      </c>
      <c r="V214" s="19"/>
      <c r="W214" s="26" t="s">
        <v>869</v>
      </c>
      <c r="X214" s="20" t="s">
        <v>4</v>
      </c>
      <c r="Y214" s="20" t="s">
        <v>4</v>
      </c>
      <c r="Z214" s="20" t="s">
        <v>4</v>
      </c>
      <c r="AA214" s="26" t="s">
        <v>391</v>
      </c>
      <c r="AB214" s="28"/>
      <c r="AC214" s="52"/>
      <c r="AD214" s="52"/>
    </row>
    <row r="215">
      <c r="A215" s="25"/>
      <c r="B215" s="53" t="s">
        <v>889</v>
      </c>
      <c r="C215" s="53">
        <v>7.002464047E9</v>
      </c>
      <c r="D215" s="26">
        <v>45.0</v>
      </c>
      <c r="E215" s="20" t="s">
        <v>367</v>
      </c>
      <c r="F215" s="26" t="s">
        <v>441</v>
      </c>
      <c r="G215" s="26" t="s">
        <v>551</v>
      </c>
      <c r="H215" s="26" t="s">
        <v>418</v>
      </c>
      <c r="I215" s="26" t="s">
        <v>890</v>
      </c>
      <c r="J215" s="26" t="s">
        <v>872</v>
      </c>
      <c r="K215" s="18" t="s">
        <v>864</v>
      </c>
      <c r="L215" s="26" t="s">
        <v>873</v>
      </c>
      <c r="M215" s="26" t="s">
        <v>891</v>
      </c>
      <c r="N215" s="21" t="s">
        <v>9</v>
      </c>
      <c r="O215" s="20" t="s">
        <v>4</v>
      </c>
      <c r="P215" s="20" t="s">
        <v>4</v>
      </c>
      <c r="Q215" s="26" t="s">
        <v>888</v>
      </c>
      <c r="R215" s="26" t="s">
        <v>652</v>
      </c>
      <c r="S215" s="20" t="s">
        <v>4</v>
      </c>
      <c r="T215" s="26" t="s">
        <v>756</v>
      </c>
      <c r="U215" s="20" t="s">
        <v>4</v>
      </c>
      <c r="V215" s="19"/>
      <c r="W215" s="26" t="s">
        <v>869</v>
      </c>
      <c r="X215" s="20" t="s">
        <v>4</v>
      </c>
      <c r="Y215" s="20" t="s">
        <v>4</v>
      </c>
      <c r="Z215" s="20" t="s">
        <v>4</v>
      </c>
      <c r="AA215" s="26" t="s">
        <v>391</v>
      </c>
      <c r="AB215" s="28"/>
      <c r="AC215" s="52"/>
      <c r="AD215" s="52"/>
    </row>
    <row r="216">
      <c r="A216" s="25"/>
      <c r="B216" s="53" t="s">
        <v>892</v>
      </c>
      <c r="C216" s="53">
        <v>9.955438136E9</v>
      </c>
      <c r="D216" s="26">
        <v>35.0</v>
      </c>
      <c r="E216" s="20" t="s">
        <v>367</v>
      </c>
      <c r="F216" s="26" t="s">
        <v>441</v>
      </c>
      <c r="G216" s="26" t="s">
        <v>551</v>
      </c>
      <c r="H216" s="26" t="s">
        <v>418</v>
      </c>
      <c r="I216" s="26" t="s">
        <v>875</v>
      </c>
      <c r="J216" s="26" t="s">
        <v>872</v>
      </c>
      <c r="K216" s="18" t="s">
        <v>864</v>
      </c>
      <c r="L216" s="26" t="s">
        <v>873</v>
      </c>
      <c r="M216" s="26" t="s">
        <v>893</v>
      </c>
      <c r="N216" s="21" t="s">
        <v>9</v>
      </c>
      <c r="O216" s="20" t="s">
        <v>4</v>
      </c>
      <c r="P216" s="20" t="s">
        <v>380</v>
      </c>
      <c r="Q216" s="19"/>
      <c r="R216" s="19"/>
      <c r="S216" s="20" t="s">
        <v>4</v>
      </c>
      <c r="T216" s="19"/>
      <c r="U216" s="20" t="s">
        <v>4</v>
      </c>
      <c r="V216" s="19"/>
      <c r="W216" s="26" t="s">
        <v>869</v>
      </c>
      <c r="X216" s="20" t="s">
        <v>4</v>
      </c>
      <c r="Y216" s="20" t="s">
        <v>4</v>
      </c>
      <c r="Z216" s="20" t="s">
        <v>4</v>
      </c>
      <c r="AA216" s="26" t="s">
        <v>391</v>
      </c>
      <c r="AB216" s="28"/>
      <c r="AC216" s="52"/>
      <c r="AD216" s="52"/>
    </row>
    <row r="217">
      <c r="A217" s="25"/>
      <c r="B217" s="53" t="s">
        <v>894</v>
      </c>
      <c r="C217" s="53">
        <v>6.204151263E9</v>
      </c>
      <c r="D217" s="26">
        <v>47.0</v>
      </c>
      <c r="E217" s="20" t="s">
        <v>367</v>
      </c>
      <c r="F217" s="26" t="s">
        <v>895</v>
      </c>
      <c r="G217" s="26" t="s">
        <v>551</v>
      </c>
      <c r="H217" s="26" t="s">
        <v>512</v>
      </c>
      <c r="I217" s="26" t="s">
        <v>880</v>
      </c>
      <c r="J217" s="26" t="s">
        <v>872</v>
      </c>
      <c r="K217" s="18" t="s">
        <v>864</v>
      </c>
      <c r="L217" s="26" t="s">
        <v>865</v>
      </c>
      <c r="M217" s="26" t="s">
        <v>896</v>
      </c>
      <c r="N217" s="21" t="s">
        <v>9</v>
      </c>
      <c r="O217" s="20" t="s">
        <v>4</v>
      </c>
      <c r="P217" s="20" t="s">
        <v>380</v>
      </c>
      <c r="Q217" s="19"/>
      <c r="R217" s="19"/>
      <c r="S217" s="20" t="s">
        <v>4</v>
      </c>
      <c r="T217" s="19"/>
      <c r="U217" s="20" t="s">
        <v>4</v>
      </c>
      <c r="V217" s="19"/>
      <c r="W217" s="26" t="s">
        <v>869</v>
      </c>
      <c r="X217" s="20" t="s">
        <v>4</v>
      </c>
      <c r="Y217" s="20" t="s">
        <v>4</v>
      </c>
      <c r="Z217" s="20" t="s">
        <v>4</v>
      </c>
      <c r="AA217" s="26" t="s">
        <v>391</v>
      </c>
      <c r="AB217" s="17"/>
      <c r="AC217" s="52"/>
      <c r="AD217" s="52"/>
    </row>
    <row r="218">
      <c r="A218" s="25"/>
      <c r="B218" s="53" t="s">
        <v>96</v>
      </c>
      <c r="C218" s="53">
        <v>9.064978953E9</v>
      </c>
      <c r="D218" s="26">
        <v>28.0</v>
      </c>
      <c r="E218" s="20" t="s">
        <v>367</v>
      </c>
      <c r="F218" s="26" t="s">
        <v>441</v>
      </c>
      <c r="G218" s="26" t="s">
        <v>551</v>
      </c>
      <c r="H218" s="26" t="s">
        <v>418</v>
      </c>
      <c r="I218" s="26" t="s">
        <v>551</v>
      </c>
      <c r="J218" s="26" t="s">
        <v>872</v>
      </c>
      <c r="K218" s="18" t="s">
        <v>864</v>
      </c>
      <c r="L218" s="26" t="s">
        <v>873</v>
      </c>
      <c r="M218" s="26" t="s">
        <v>897</v>
      </c>
      <c r="N218" s="21" t="s">
        <v>9</v>
      </c>
      <c r="O218" s="20" t="s">
        <v>4</v>
      </c>
      <c r="P218" s="20" t="s">
        <v>4</v>
      </c>
      <c r="Q218" s="19"/>
      <c r="R218" s="19"/>
      <c r="S218" s="20" t="s">
        <v>4</v>
      </c>
      <c r="T218" s="19"/>
      <c r="U218" s="20" t="s">
        <v>4</v>
      </c>
      <c r="V218" s="19"/>
      <c r="W218" s="26" t="s">
        <v>869</v>
      </c>
      <c r="X218" s="20" t="s">
        <v>4</v>
      </c>
      <c r="Y218" s="20" t="s">
        <v>4</v>
      </c>
      <c r="Z218" s="20" t="s">
        <v>4</v>
      </c>
      <c r="AA218" s="26" t="s">
        <v>391</v>
      </c>
      <c r="AB218" s="28"/>
      <c r="AC218" s="52"/>
      <c r="AD218" s="52"/>
    </row>
    <row r="219">
      <c r="A219" s="25"/>
      <c r="B219" s="53" t="s">
        <v>898</v>
      </c>
      <c r="C219" s="53">
        <v>9.576776815E9</v>
      </c>
      <c r="D219" s="26">
        <v>34.0</v>
      </c>
      <c r="E219" s="20" t="s">
        <v>367</v>
      </c>
      <c r="F219" s="26" t="s">
        <v>429</v>
      </c>
      <c r="G219" s="26" t="s">
        <v>375</v>
      </c>
      <c r="H219" s="26" t="s">
        <v>637</v>
      </c>
      <c r="I219" s="26" t="s">
        <v>377</v>
      </c>
      <c r="J219" s="26" t="s">
        <v>872</v>
      </c>
      <c r="K219" s="18" t="s">
        <v>864</v>
      </c>
      <c r="L219" s="26" t="s">
        <v>873</v>
      </c>
      <c r="M219" s="26" t="s">
        <v>899</v>
      </c>
      <c r="N219" s="21" t="s">
        <v>9</v>
      </c>
      <c r="O219" s="20" t="s">
        <v>4</v>
      </c>
      <c r="P219" s="20" t="s">
        <v>4</v>
      </c>
      <c r="Q219" s="26" t="s">
        <v>867</v>
      </c>
      <c r="R219" s="26" t="s">
        <v>652</v>
      </c>
      <c r="S219" s="20" t="s">
        <v>4</v>
      </c>
      <c r="T219" s="19"/>
      <c r="U219" s="20" t="s">
        <v>4</v>
      </c>
      <c r="V219" s="19"/>
      <c r="W219" s="26" t="s">
        <v>900</v>
      </c>
      <c r="X219" s="20" t="s">
        <v>4</v>
      </c>
      <c r="Y219" s="20" t="s">
        <v>4</v>
      </c>
      <c r="Z219" s="20" t="s">
        <v>4</v>
      </c>
      <c r="AA219" s="26" t="s">
        <v>391</v>
      </c>
      <c r="AB219" s="28"/>
      <c r="AC219" s="52"/>
      <c r="AD219" s="52"/>
    </row>
    <row r="220">
      <c r="A220" s="25"/>
      <c r="B220" s="53" t="s">
        <v>901</v>
      </c>
      <c r="C220" s="53">
        <v>8.084104962E9</v>
      </c>
      <c r="D220" s="26">
        <v>26.0</v>
      </c>
      <c r="E220" s="20" t="s">
        <v>367</v>
      </c>
      <c r="F220" s="26" t="s">
        <v>429</v>
      </c>
      <c r="G220" s="26" t="s">
        <v>375</v>
      </c>
      <c r="H220" s="26" t="s">
        <v>383</v>
      </c>
      <c r="I220" s="26" t="s">
        <v>902</v>
      </c>
      <c r="J220" s="26" t="s">
        <v>872</v>
      </c>
      <c r="K220" s="18" t="s">
        <v>864</v>
      </c>
      <c r="L220" s="26" t="s">
        <v>873</v>
      </c>
      <c r="M220" s="26" t="s">
        <v>903</v>
      </c>
      <c r="N220" s="21" t="s">
        <v>9</v>
      </c>
      <c r="O220" s="20" t="s">
        <v>4</v>
      </c>
      <c r="P220" s="20" t="s">
        <v>4</v>
      </c>
      <c r="Q220" s="26" t="s">
        <v>888</v>
      </c>
      <c r="R220" s="26" t="s">
        <v>904</v>
      </c>
      <c r="S220" s="20" t="s">
        <v>4</v>
      </c>
      <c r="T220" s="19"/>
      <c r="U220" s="20" t="s">
        <v>4</v>
      </c>
      <c r="V220" s="19"/>
      <c r="W220" s="26" t="s">
        <v>869</v>
      </c>
      <c r="X220" s="20" t="s">
        <v>4</v>
      </c>
      <c r="Y220" s="20" t="s">
        <v>4</v>
      </c>
      <c r="Z220" s="20" t="s">
        <v>4</v>
      </c>
      <c r="AA220" s="26" t="s">
        <v>391</v>
      </c>
      <c r="AB220" s="28"/>
      <c r="AC220" s="52"/>
      <c r="AD220" s="52"/>
    </row>
    <row r="221">
      <c r="A221" s="25"/>
      <c r="B221" s="53" t="s">
        <v>905</v>
      </c>
      <c r="C221" s="53">
        <v>9.576772011E9</v>
      </c>
      <c r="D221" s="26">
        <v>40.0</v>
      </c>
      <c r="E221" s="20" t="s">
        <v>367</v>
      </c>
      <c r="F221" s="26" t="s">
        <v>883</v>
      </c>
      <c r="G221" s="26" t="s">
        <v>375</v>
      </c>
      <c r="H221" s="26" t="s">
        <v>383</v>
      </c>
      <c r="I221" s="26" t="s">
        <v>377</v>
      </c>
      <c r="J221" s="26" t="s">
        <v>872</v>
      </c>
      <c r="K221" s="18" t="s">
        <v>864</v>
      </c>
      <c r="L221" s="26" t="s">
        <v>865</v>
      </c>
      <c r="M221" s="26" t="s">
        <v>906</v>
      </c>
      <c r="N221" s="21" t="s">
        <v>9</v>
      </c>
      <c r="O221" s="20" t="s">
        <v>4</v>
      </c>
      <c r="P221" s="20" t="s">
        <v>4</v>
      </c>
      <c r="Q221" s="19"/>
      <c r="R221" s="19"/>
      <c r="S221" s="20" t="s">
        <v>4</v>
      </c>
      <c r="T221" s="19"/>
      <c r="U221" s="20" t="s">
        <v>4</v>
      </c>
      <c r="V221" s="19"/>
      <c r="W221" s="26" t="s">
        <v>869</v>
      </c>
      <c r="X221" s="20" t="s">
        <v>4</v>
      </c>
      <c r="Y221" s="20" t="s">
        <v>4</v>
      </c>
      <c r="Z221" s="20" t="s">
        <v>4</v>
      </c>
      <c r="AA221" s="26" t="s">
        <v>391</v>
      </c>
      <c r="AB221" s="28"/>
      <c r="AC221" s="52"/>
      <c r="AD221" s="52"/>
    </row>
    <row r="222">
      <c r="A222" s="25"/>
      <c r="B222" s="53" t="s">
        <v>907</v>
      </c>
      <c r="C222" s="53">
        <v>9.90587773E9</v>
      </c>
      <c r="D222" s="26">
        <v>30.0</v>
      </c>
      <c r="E222" s="20" t="s">
        <v>367</v>
      </c>
      <c r="F222" s="26" t="s">
        <v>883</v>
      </c>
      <c r="G222" s="26" t="s">
        <v>375</v>
      </c>
      <c r="H222" s="26" t="s">
        <v>383</v>
      </c>
      <c r="I222" s="26" t="s">
        <v>377</v>
      </c>
      <c r="J222" s="26" t="s">
        <v>872</v>
      </c>
      <c r="K222" s="18" t="s">
        <v>864</v>
      </c>
      <c r="L222" s="26" t="s">
        <v>865</v>
      </c>
      <c r="M222" s="26" t="s">
        <v>908</v>
      </c>
      <c r="N222" s="21" t="s">
        <v>9</v>
      </c>
      <c r="O222" s="20" t="s">
        <v>4</v>
      </c>
      <c r="P222" s="20" t="s">
        <v>4</v>
      </c>
      <c r="Q222" s="26" t="s">
        <v>867</v>
      </c>
      <c r="R222" s="26" t="s">
        <v>652</v>
      </c>
      <c r="S222" s="20" t="s">
        <v>4</v>
      </c>
      <c r="T222" s="19"/>
      <c r="U222" s="20" t="s">
        <v>4</v>
      </c>
      <c r="V222" s="19"/>
      <c r="W222" s="26" t="s">
        <v>869</v>
      </c>
      <c r="X222" s="20" t="s">
        <v>4</v>
      </c>
      <c r="Y222" s="20" t="s">
        <v>4</v>
      </c>
      <c r="Z222" s="20" t="s">
        <v>4</v>
      </c>
      <c r="AA222" s="26" t="s">
        <v>391</v>
      </c>
      <c r="AB222" s="28"/>
      <c r="AC222" s="52"/>
      <c r="AD222" s="52"/>
    </row>
    <row r="223">
      <c r="A223" s="25"/>
      <c r="B223" s="53" t="s">
        <v>909</v>
      </c>
      <c r="C223" s="53">
        <v>9.304610587E9</v>
      </c>
      <c r="D223" s="26">
        <v>30.0</v>
      </c>
      <c r="E223" s="20" t="s">
        <v>367</v>
      </c>
      <c r="F223" s="26" t="s">
        <v>441</v>
      </c>
      <c r="G223" s="26" t="s">
        <v>551</v>
      </c>
      <c r="H223" s="26" t="s">
        <v>418</v>
      </c>
      <c r="I223" s="26" t="s">
        <v>910</v>
      </c>
      <c r="J223" s="26" t="s">
        <v>872</v>
      </c>
      <c r="K223" s="18" t="s">
        <v>864</v>
      </c>
      <c r="L223" s="26" t="s">
        <v>865</v>
      </c>
      <c r="M223" s="26" t="s">
        <v>911</v>
      </c>
      <c r="N223" s="21" t="s">
        <v>9</v>
      </c>
      <c r="O223" s="20" t="s">
        <v>4</v>
      </c>
      <c r="P223" s="20" t="s">
        <v>4</v>
      </c>
      <c r="Q223" s="19"/>
      <c r="R223" s="19"/>
      <c r="S223" s="20" t="s">
        <v>4</v>
      </c>
      <c r="T223" s="19"/>
      <c r="U223" s="20" t="s">
        <v>4</v>
      </c>
      <c r="V223" s="19"/>
      <c r="W223" s="26" t="s">
        <v>869</v>
      </c>
      <c r="X223" s="20" t="s">
        <v>4</v>
      </c>
      <c r="Y223" s="20" t="s">
        <v>4</v>
      </c>
      <c r="Z223" s="20" t="s">
        <v>4</v>
      </c>
      <c r="AA223" s="26" t="s">
        <v>391</v>
      </c>
      <c r="AB223" s="28"/>
      <c r="AC223" s="52"/>
      <c r="AD223" s="52"/>
    </row>
    <row r="224">
      <c r="A224" s="25"/>
      <c r="B224" s="53" t="s">
        <v>912</v>
      </c>
      <c r="C224" s="53">
        <v>8.292597165E9</v>
      </c>
      <c r="D224" s="26">
        <v>40.0</v>
      </c>
      <c r="E224" s="20" t="s">
        <v>367</v>
      </c>
      <c r="F224" s="26" t="s">
        <v>441</v>
      </c>
      <c r="G224" s="26" t="s">
        <v>375</v>
      </c>
      <c r="H224" s="26" t="s">
        <v>383</v>
      </c>
      <c r="I224" s="26" t="s">
        <v>913</v>
      </c>
      <c r="J224" s="26" t="s">
        <v>872</v>
      </c>
      <c r="K224" s="18" t="s">
        <v>864</v>
      </c>
      <c r="L224" s="26" t="s">
        <v>865</v>
      </c>
      <c r="M224" s="26" t="s">
        <v>914</v>
      </c>
      <c r="N224" s="21" t="s">
        <v>9</v>
      </c>
      <c r="O224" s="20" t="s">
        <v>4</v>
      </c>
      <c r="P224" s="20" t="s">
        <v>4</v>
      </c>
      <c r="Q224" s="26" t="s">
        <v>867</v>
      </c>
      <c r="R224" s="26" t="s">
        <v>652</v>
      </c>
      <c r="S224" s="20" t="s">
        <v>4</v>
      </c>
      <c r="T224" s="19"/>
      <c r="U224" s="20" t="s">
        <v>4</v>
      </c>
      <c r="V224" s="19"/>
      <c r="W224" s="26" t="s">
        <v>869</v>
      </c>
      <c r="X224" s="20" t="s">
        <v>4</v>
      </c>
      <c r="Y224" s="20" t="s">
        <v>4</v>
      </c>
      <c r="Z224" s="20" t="s">
        <v>4</v>
      </c>
      <c r="AA224" s="26" t="s">
        <v>391</v>
      </c>
      <c r="AB224" s="28"/>
      <c r="AC224" s="52"/>
      <c r="AD224" s="52"/>
    </row>
    <row r="225">
      <c r="A225" s="25"/>
      <c r="B225" s="53" t="s">
        <v>915</v>
      </c>
      <c r="C225" s="53">
        <v>9.102837613E9</v>
      </c>
      <c r="D225" s="19"/>
      <c r="E225" s="20"/>
      <c r="F225" s="19"/>
      <c r="G225" s="19"/>
      <c r="H225" s="19"/>
      <c r="I225" s="19"/>
      <c r="J225" s="26" t="s">
        <v>872</v>
      </c>
      <c r="K225" s="18" t="s">
        <v>864</v>
      </c>
      <c r="L225" s="26" t="s">
        <v>865</v>
      </c>
      <c r="M225" s="19"/>
      <c r="N225" s="21" t="s">
        <v>27</v>
      </c>
      <c r="O225" s="20"/>
      <c r="P225" s="20"/>
      <c r="Q225" s="19"/>
      <c r="R225" s="19"/>
      <c r="S225" s="20"/>
      <c r="T225" s="19"/>
      <c r="U225" s="20"/>
      <c r="V225" s="19"/>
      <c r="W225" s="19"/>
      <c r="X225" s="20"/>
      <c r="Y225" s="20"/>
      <c r="Z225" s="20"/>
      <c r="AA225" s="26"/>
      <c r="AB225" s="17" t="s">
        <v>916</v>
      </c>
      <c r="AC225" s="52"/>
      <c r="AD225" s="52"/>
    </row>
    <row r="226">
      <c r="A226" s="25"/>
      <c r="B226" s="53" t="s">
        <v>917</v>
      </c>
      <c r="C226" s="53">
        <v>8.119819835E9</v>
      </c>
      <c r="D226" s="26">
        <v>32.0</v>
      </c>
      <c r="E226" s="20" t="s">
        <v>367</v>
      </c>
      <c r="F226" s="26" t="s">
        <v>441</v>
      </c>
      <c r="G226" s="26" t="s">
        <v>375</v>
      </c>
      <c r="H226" s="26" t="s">
        <v>383</v>
      </c>
      <c r="I226" s="26" t="s">
        <v>918</v>
      </c>
      <c r="J226" s="26" t="s">
        <v>872</v>
      </c>
      <c r="K226" s="18" t="s">
        <v>864</v>
      </c>
      <c r="L226" s="26" t="s">
        <v>873</v>
      </c>
      <c r="M226" s="26" t="s">
        <v>903</v>
      </c>
      <c r="N226" s="21" t="s">
        <v>9</v>
      </c>
      <c r="O226" s="20" t="s">
        <v>4</v>
      </c>
      <c r="P226" s="20" t="s">
        <v>4</v>
      </c>
      <c r="Q226" s="26" t="s">
        <v>867</v>
      </c>
      <c r="R226" s="26" t="s">
        <v>919</v>
      </c>
      <c r="S226" s="20" t="s">
        <v>4</v>
      </c>
      <c r="T226" s="19"/>
      <c r="U226" s="20" t="s">
        <v>4</v>
      </c>
      <c r="V226" s="19"/>
      <c r="W226" s="26" t="s">
        <v>900</v>
      </c>
      <c r="X226" s="20" t="s">
        <v>4</v>
      </c>
      <c r="Y226" s="20" t="s">
        <v>4</v>
      </c>
      <c r="Z226" s="20" t="s">
        <v>4</v>
      </c>
      <c r="AA226" s="26" t="s">
        <v>391</v>
      </c>
      <c r="AB226" s="28"/>
      <c r="AC226" s="52"/>
      <c r="AD226" s="52"/>
    </row>
    <row r="227">
      <c r="A227" s="25"/>
      <c r="B227" s="53" t="s">
        <v>321</v>
      </c>
      <c r="C227" s="53">
        <v>8.541852045E9</v>
      </c>
      <c r="D227" s="26">
        <v>26.0</v>
      </c>
      <c r="E227" s="20" t="s">
        <v>367</v>
      </c>
      <c r="F227" s="26" t="s">
        <v>920</v>
      </c>
      <c r="G227" s="26" t="s">
        <v>375</v>
      </c>
      <c r="H227" s="26" t="s">
        <v>407</v>
      </c>
      <c r="I227" s="26" t="s">
        <v>829</v>
      </c>
      <c r="J227" s="26" t="s">
        <v>872</v>
      </c>
      <c r="K227" s="18" t="s">
        <v>864</v>
      </c>
      <c r="L227" s="26" t="s">
        <v>873</v>
      </c>
      <c r="M227" s="19"/>
      <c r="N227" s="21" t="s">
        <v>9</v>
      </c>
      <c r="O227" s="20" t="s">
        <v>4</v>
      </c>
      <c r="P227" s="20" t="s">
        <v>380</v>
      </c>
      <c r="Q227" s="19"/>
      <c r="R227" s="19"/>
      <c r="S227" s="20" t="s">
        <v>4</v>
      </c>
      <c r="T227" s="19"/>
      <c r="U227" s="20" t="s">
        <v>4</v>
      </c>
      <c r="V227" s="19"/>
      <c r="W227" s="19"/>
      <c r="X227" s="20" t="s">
        <v>4</v>
      </c>
      <c r="Y227" s="20" t="s">
        <v>4</v>
      </c>
      <c r="Z227" s="20" t="s">
        <v>4</v>
      </c>
      <c r="AA227" s="26" t="s">
        <v>391</v>
      </c>
      <c r="AB227" s="28"/>
      <c r="AC227" s="52"/>
      <c r="AD227" s="52"/>
    </row>
    <row r="228">
      <c r="A228" s="25"/>
      <c r="B228" s="53" t="s">
        <v>921</v>
      </c>
      <c r="C228" s="53">
        <v>7.46104653E9</v>
      </c>
      <c r="D228" s="26">
        <v>25.0</v>
      </c>
      <c r="E228" s="20" t="s">
        <v>367</v>
      </c>
      <c r="F228" s="26" t="s">
        <v>922</v>
      </c>
      <c r="G228" s="26" t="s">
        <v>375</v>
      </c>
      <c r="H228" s="26" t="s">
        <v>407</v>
      </c>
      <c r="I228" s="26" t="s">
        <v>923</v>
      </c>
      <c r="J228" s="26" t="s">
        <v>872</v>
      </c>
      <c r="K228" s="18" t="s">
        <v>864</v>
      </c>
      <c r="L228" s="26" t="s">
        <v>865</v>
      </c>
      <c r="M228" s="26" t="s">
        <v>903</v>
      </c>
      <c r="N228" s="21" t="s">
        <v>9</v>
      </c>
      <c r="O228" s="20" t="s">
        <v>4</v>
      </c>
      <c r="P228" s="20" t="s">
        <v>4</v>
      </c>
      <c r="Q228" s="26" t="s">
        <v>867</v>
      </c>
      <c r="R228" s="26" t="s">
        <v>652</v>
      </c>
      <c r="S228" s="20" t="s">
        <v>4</v>
      </c>
      <c r="T228" s="19"/>
      <c r="U228" s="20" t="s">
        <v>4</v>
      </c>
      <c r="V228" s="19"/>
      <c r="W228" s="26" t="s">
        <v>869</v>
      </c>
      <c r="X228" s="20" t="s">
        <v>4</v>
      </c>
      <c r="Y228" s="20" t="s">
        <v>4</v>
      </c>
      <c r="Z228" s="20" t="s">
        <v>4</v>
      </c>
      <c r="AA228" s="26" t="s">
        <v>391</v>
      </c>
      <c r="AB228" s="28"/>
      <c r="AC228" s="52"/>
      <c r="AD228" s="52"/>
    </row>
    <row r="229">
      <c r="A229" s="25"/>
      <c r="B229" s="53" t="s">
        <v>924</v>
      </c>
      <c r="C229" s="53">
        <v>8.002589899E9</v>
      </c>
      <c r="D229" s="26">
        <v>24.0</v>
      </c>
      <c r="E229" s="20" t="s">
        <v>367</v>
      </c>
      <c r="F229" s="26" t="s">
        <v>925</v>
      </c>
      <c r="G229" s="26" t="s">
        <v>375</v>
      </c>
      <c r="H229" s="26" t="s">
        <v>926</v>
      </c>
      <c r="I229" s="26" t="s">
        <v>377</v>
      </c>
      <c r="J229" s="26" t="s">
        <v>872</v>
      </c>
      <c r="K229" s="18" t="s">
        <v>864</v>
      </c>
      <c r="L229" s="26" t="s">
        <v>865</v>
      </c>
      <c r="M229" s="26" t="s">
        <v>903</v>
      </c>
      <c r="N229" s="21" t="s">
        <v>9</v>
      </c>
      <c r="O229" s="20" t="s">
        <v>4</v>
      </c>
      <c r="P229" s="20" t="s">
        <v>4</v>
      </c>
      <c r="Q229" s="26" t="s">
        <v>867</v>
      </c>
      <c r="R229" s="26" t="s">
        <v>652</v>
      </c>
      <c r="S229" s="20" t="s">
        <v>4</v>
      </c>
      <c r="T229" s="19"/>
      <c r="U229" s="20" t="s">
        <v>4</v>
      </c>
      <c r="V229" s="19"/>
      <c r="W229" s="26" t="s">
        <v>869</v>
      </c>
      <c r="X229" s="20" t="s">
        <v>4</v>
      </c>
      <c r="Y229" s="20" t="s">
        <v>4</v>
      </c>
      <c r="Z229" s="20" t="s">
        <v>4</v>
      </c>
      <c r="AA229" s="26" t="s">
        <v>391</v>
      </c>
      <c r="AB229" s="28"/>
      <c r="AC229" s="52"/>
      <c r="AD229" s="52"/>
    </row>
    <row r="230">
      <c r="A230" s="31"/>
      <c r="B230" s="53" t="s">
        <v>927</v>
      </c>
      <c r="C230" s="53">
        <v>7.255065738E9</v>
      </c>
      <c r="D230" s="26">
        <v>25.0</v>
      </c>
      <c r="E230" s="20" t="s">
        <v>367</v>
      </c>
      <c r="F230" s="26" t="s">
        <v>429</v>
      </c>
      <c r="G230" s="26" t="s">
        <v>375</v>
      </c>
      <c r="H230" s="26" t="s">
        <v>926</v>
      </c>
      <c r="I230" s="26" t="s">
        <v>377</v>
      </c>
      <c r="J230" s="26" t="s">
        <v>872</v>
      </c>
      <c r="K230" s="18" t="s">
        <v>864</v>
      </c>
      <c r="L230" s="26" t="s">
        <v>873</v>
      </c>
      <c r="M230" s="26" t="s">
        <v>903</v>
      </c>
      <c r="N230" s="21" t="s">
        <v>9</v>
      </c>
      <c r="O230" s="20" t="s">
        <v>4</v>
      </c>
      <c r="P230" s="20" t="s">
        <v>4</v>
      </c>
      <c r="Q230" s="26" t="s">
        <v>867</v>
      </c>
      <c r="R230" s="26" t="s">
        <v>652</v>
      </c>
      <c r="S230" s="20" t="s">
        <v>4</v>
      </c>
      <c r="T230" s="19"/>
      <c r="U230" s="20" t="s">
        <v>380</v>
      </c>
      <c r="V230" s="19"/>
      <c r="W230" s="26" t="s">
        <v>869</v>
      </c>
      <c r="X230" s="20" t="s">
        <v>4</v>
      </c>
      <c r="Y230" s="20" t="s">
        <v>4</v>
      </c>
      <c r="Z230" s="20" t="s">
        <v>4</v>
      </c>
      <c r="AA230" s="26" t="s">
        <v>391</v>
      </c>
      <c r="AB230" s="28"/>
      <c r="AC230" s="52"/>
      <c r="AD230" s="52"/>
    </row>
    <row r="231">
      <c r="A231" s="32"/>
      <c r="B231" s="33"/>
      <c r="C231" s="34"/>
      <c r="E231" s="20"/>
      <c r="K231" s="34"/>
      <c r="N231" s="21"/>
      <c r="O231" s="20"/>
      <c r="P231" s="20"/>
      <c r="Q231" s="19"/>
      <c r="R231" s="19"/>
      <c r="S231" s="20"/>
      <c r="T231" s="19"/>
      <c r="U231" s="20"/>
      <c r="V231" s="19"/>
      <c r="W231" s="19"/>
      <c r="X231" s="20"/>
      <c r="Y231" s="20"/>
      <c r="Z231" s="20"/>
      <c r="AA231" s="26"/>
      <c r="AB231" s="33"/>
      <c r="AC231" s="24"/>
      <c r="AD231" s="24"/>
    </row>
    <row r="232">
      <c r="A232" s="16" t="s">
        <v>928</v>
      </c>
      <c r="B232" s="17" t="s">
        <v>929</v>
      </c>
      <c r="C232" s="17">
        <v>7.520145681E9</v>
      </c>
      <c r="D232" s="17">
        <v>54.0</v>
      </c>
      <c r="E232" s="55" t="s">
        <v>367</v>
      </c>
      <c r="F232" s="37" t="s">
        <v>374</v>
      </c>
      <c r="G232" s="37" t="s">
        <v>518</v>
      </c>
      <c r="H232" s="37" t="s">
        <v>512</v>
      </c>
      <c r="I232" s="37" t="s">
        <v>518</v>
      </c>
      <c r="J232" s="37" t="s">
        <v>930</v>
      </c>
      <c r="K232" s="17" t="s">
        <v>931</v>
      </c>
      <c r="L232" s="37" t="s">
        <v>932</v>
      </c>
      <c r="M232" s="37" t="s">
        <v>933</v>
      </c>
      <c r="N232" s="56" t="s">
        <v>9</v>
      </c>
      <c r="O232" s="55" t="s">
        <v>4</v>
      </c>
      <c r="P232" s="55" t="s">
        <v>4</v>
      </c>
      <c r="Q232" s="37" t="s">
        <v>444</v>
      </c>
      <c r="R232" s="37" t="s">
        <v>934</v>
      </c>
      <c r="S232" s="55" t="s">
        <v>4</v>
      </c>
      <c r="T232" s="37" t="s">
        <v>935</v>
      </c>
      <c r="U232" s="55" t="s">
        <v>4</v>
      </c>
      <c r="V232" s="37" t="s">
        <v>936</v>
      </c>
      <c r="W232" s="37" t="s">
        <v>937</v>
      </c>
      <c r="X232" s="55" t="s">
        <v>4</v>
      </c>
      <c r="Y232" s="55" t="s">
        <v>4</v>
      </c>
      <c r="Z232" s="55" t="s">
        <v>4</v>
      </c>
      <c r="AA232" s="37" t="s">
        <v>391</v>
      </c>
      <c r="AB232" s="28"/>
      <c r="AC232" s="24"/>
      <c r="AD232" s="24"/>
    </row>
    <row r="233">
      <c r="A233" s="25"/>
      <c r="B233" s="17" t="s">
        <v>938</v>
      </c>
      <c r="C233" s="17">
        <v>9.939489345E9</v>
      </c>
      <c r="D233" s="17">
        <v>45.0</v>
      </c>
      <c r="E233" s="55" t="s">
        <v>367</v>
      </c>
      <c r="F233" s="37" t="s">
        <v>939</v>
      </c>
      <c r="G233" s="37" t="s">
        <v>518</v>
      </c>
      <c r="H233" s="37" t="s">
        <v>512</v>
      </c>
      <c r="I233" s="37" t="s">
        <v>518</v>
      </c>
      <c r="J233" s="37" t="s">
        <v>930</v>
      </c>
      <c r="K233" s="17" t="s">
        <v>931</v>
      </c>
      <c r="L233" s="37" t="s">
        <v>932</v>
      </c>
      <c r="M233" s="37" t="s">
        <v>933</v>
      </c>
      <c r="N233" s="56" t="s">
        <v>9</v>
      </c>
      <c r="O233" s="55" t="s">
        <v>4</v>
      </c>
      <c r="P233" s="55" t="s">
        <v>380</v>
      </c>
      <c r="Q233" s="52"/>
      <c r="R233" s="52"/>
      <c r="S233" s="55" t="s">
        <v>4</v>
      </c>
      <c r="T233" s="37" t="s">
        <v>940</v>
      </c>
      <c r="U233" s="55" t="s">
        <v>4</v>
      </c>
      <c r="V233" s="37" t="s">
        <v>941</v>
      </c>
      <c r="W233" s="37" t="s">
        <v>937</v>
      </c>
      <c r="X233" s="55" t="s">
        <v>4</v>
      </c>
      <c r="Y233" s="55" t="s">
        <v>4</v>
      </c>
      <c r="Z233" s="55" t="s">
        <v>4</v>
      </c>
      <c r="AA233" s="37" t="s">
        <v>391</v>
      </c>
      <c r="AB233" s="28"/>
      <c r="AC233" s="24"/>
      <c r="AD233" s="24"/>
    </row>
    <row r="234">
      <c r="A234" s="25"/>
      <c r="B234" s="17" t="s">
        <v>942</v>
      </c>
      <c r="C234" s="17" t="s">
        <v>943</v>
      </c>
      <c r="D234" s="28"/>
      <c r="E234" s="55" t="s">
        <v>367</v>
      </c>
      <c r="F234" s="37" t="s">
        <v>944</v>
      </c>
      <c r="G234" s="37" t="s">
        <v>518</v>
      </c>
      <c r="H234" s="37" t="s">
        <v>407</v>
      </c>
      <c r="I234" s="37" t="s">
        <v>518</v>
      </c>
      <c r="J234" s="37" t="s">
        <v>930</v>
      </c>
      <c r="K234" s="17" t="s">
        <v>931</v>
      </c>
      <c r="L234" s="37" t="s">
        <v>932</v>
      </c>
      <c r="M234" s="37" t="s">
        <v>933</v>
      </c>
      <c r="N234" s="56" t="s">
        <v>9</v>
      </c>
      <c r="O234" s="55" t="s">
        <v>4</v>
      </c>
      <c r="P234" s="55" t="s">
        <v>4</v>
      </c>
      <c r="Q234" s="37" t="s">
        <v>444</v>
      </c>
      <c r="R234" s="37" t="s">
        <v>945</v>
      </c>
      <c r="S234" s="55" t="s">
        <v>380</v>
      </c>
      <c r="T234" s="52"/>
      <c r="U234" s="55" t="s">
        <v>380</v>
      </c>
      <c r="V234" s="52"/>
      <c r="W234" s="37" t="s">
        <v>946</v>
      </c>
      <c r="X234" s="55" t="s">
        <v>4</v>
      </c>
      <c r="Y234" s="55" t="s">
        <v>4</v>
      </c>
      <c r="Z234" s="55" t="s">
        <v>4</v>
      </c>
      <c r="AA234" s="37" t="s">
        <v>391</v>
      </c>
      <c r="AB234" s="28"/>
      <c r="AC234" s="24"/>
      <c r="AD234" s="24"/>
    </row>
    <row r="235">
      <c r="A235" s="25"/>
      <c r="B235" s="17" t="s">
        <v>947</v>
      </c>
      <c r="C235" s="17" t="s">
        <v>948</v>
      </c>
      <c r="D235" s="17">
        <v>48.0</v>
      </c>
      <c r="E235" s="55" t="s">
        <v>367</v>
      </c>
      <c r="F235" s="37" t="s">
        <v>441</v>
      </c>
      <c r="G235" s="37" t="s">
        <v>518</v>
      </c>
      <c r="H235" s="52"/>
      <c r="I235" s="37" t="s">
        <v>518</v>
      </c>
      <c r="J235" s="37" t="s">
        <v>930</v>
      </c>
      <c r="K235" s="17" t="s">
        <v>931</v>
      </c>
      <c r="L235" s="37" t="s">
        <v>932</v>
      </c>
      <c r="M235" s="37" t="s">
        <v>933</v>
      </c>
      <c r="N235" s="56" t="s">
        <v>9</v>
      </c>
      <c r="O235" s="55" t="s">
        <v>4</v>
      </c>
      <c r="P235" s="55" t="s">
        <v>4</v>
      </c>
      <c r="Q235" s="37" t="s">
        <v>444</v>
      </c>
      <c r="R235" s="52"/>
      <c r="S235" s="55" t="s">
        <v>380</v>
      </c>
      <c r="T235" s="52"/>
      <c r="U235" s="55" t="s">
        <v>380</v>
      </c>
      <c r="V235" s="52"/>
      <c r="W235" s="37" t="s">
        <v>937</v>
      </c>
      <c r="X235" s="55" t="s">
        <v>4</v>
      </c>
      <c r="Y235" s="55" t="s">
        <v>4</v>
      </c>
      <c r="Z235" s="55" t="s">
        <v>4</v>
      </c>
      <c r="AA235" s="37" t="s">
        <v>391</v>
      </c>
      <c r="AB235" s="28"/>
      <c r="AC235" s="24"/>
      <c r="AD235" s="24"/>
    </row>
    <row r="236">
      <c r="A236" s="25"/>
      <c r="B236" s="17" t="s">
        <v>949</v>
      </c>
      <c r="C236" s="17">
        <v>7.903381812E9</v>
      </c>
      <c r="D236" s="17">
        <v>27.0</v>
      </c>
      <c r="E236" s="55" t="s">
        <v>367</v>
      </c>
      <c r="F236" s="37" t="s">
        <v>950</v>
      </c>
      <c r="G236" s="37" t="s">
        <v>518</v>
      </c>
      <c r="H236" s="37" t="s">
        <v>512</v>
      </c>
      <c r="I236" s="37" t="s">
        <v>518</v>
      </c>
      <c r="J236" s="37" t="s">
        <v>930</v>
      </c>
      <c r="K236" s="17" t="s">
        <v>931</v>
      </c>
      <c r="L236" s="37" t="s">
        <v>932</v>
      </c>
      <c r="M236" s="37" t="s">
        <v>933</v>
      </c>
      <c r="N236" s="56" t="s">
        <v>9</v>
      </c>
      <c r="O236" s="55" t="s">
        <v>4</v>
      </c>
      <c r="P236" s="55" t="s">
        <v>380</v>
      </c>
      <c r="Q236" s="52"/>
      <c r="R236" s="52"/>
      <c r="S236" s="55" t="s">
        <v>4</v>
      </c>
      <c r="T236" s="37" t="s">
        <v>951</v>
      </c>
      <c r="U236" s="55" t="s">
        <v>380</v>
      </c>
      <c r="V236" s="52"/>
      <c r="W236" s="37" t="s">
        <v>937</v>
      </c>
      <c r="X236" s="55" t="s">
        <v>4</v>
      </c>
      <c r="Y236" s="55" t="s">
        <v>4</v>
      </c>
      <c r="Z236" s="55" t="s">
        <v>4</v>
      </c>
      <c r="AA236" s="37" t="s">
        <v>391</v>
      </c>
      <c r="AB236" s="17" t="s">
        <v>952</v>
      </c>
      <c r="AC236" s="24"/>
      <c r="AD236" s="24"/>
    </row>
    <row r="237">
      <c r="A237" s="25"/>
      <c r="B237" s="17" t="s">
        <v>953</v>
      </c>
      <c r="C237" s="17">
        <v>7.643067272E9</v>
      </c>
      <c r="D237" s="17"/>
      <c r="E237" s="55"/>
      <c r="F237" s="52"/>
      <c r="G237" s="52"/>
      <c r="H237" s="52"/>
      <c r="I237" s="52"/>
      <c r="J237" s="37" t="s">
        <v>930</v>
      </c>
      <c r="K237" s="17" t="s">
        <v>931</v>
      </c>
      <c r="L237" s="52"/>
      <c r="M237" s="52"/>
      <c r="N237" s="56" t="s">
        <v>23</v>
      </c>
      <c r="O237" s="55"/>
      <c r="P237" s="55"/>
      <c r="Q237" s="52"/>
      <c r="R237" s="52"/>
      <c r="S237" s="55"/>
      <c r="T237" s="52"/>
      <c r="U237" s="55"/>
      <c r="V237" s="52"/>
      <c r="W237" s="52"/>
      <c r="X237" s="55"/>
      <c r="Y237" s="55"/>
      <c r="Z237" s="55"/>
      <c r="AA237" s="37"/>
      <c r="AB237" s="28"/>
      <c r="AC237" s="24"/>
      <c r="AD237" s="24"/>
    </row>
    <row r="238">
      <c r="A238" s="25"/>
      <c r="B238" s="17" t="s">
        <v>954</v>
      </c>
      <c r="C238" s="17">
        <v>8.252412964E9</v>
      </c>
      <c r="D238" s="17"/>
      <c r="E238" s="55"/>
      <c r="F238" s="52"/>
      <c r="G238" s="52"/>
      <c r="H238" s="52"/>
      <c r="I238" s="52"/>
      <c r="J238" s="37" t="s">
        <v>930</v>
      </c>
      <c r="K238" s="17" t="s">
        <v>931</v>
      </c>
      <c r="L238" s="52"/>
      <c r="M238" s="52"/>
      <c r="N238" s="56" t="s">
        <v>13</v>
      </c>
      <c r="O238" s="55"/>
      <c r="P238" s="55"/>
      <c r="Q238" s="52"/>
      <c r="R238" s="52"/>
      <c r="S238" s="55"/>
      <c r="T238" s="52"/>
      <c r="U238" s="55"/>
      <c r="V238" s="52"/>
      <c r="W238" s="52"/>
      <c r="X238" s="55"/>
      <c r="Y238" s="55"/>
      <c r="Z238" s="55"/>
      <c r="AA238" s="37"/>
      <c r="AB238" s="28"/>
      <c r="AC238" s="24"/>
      <c r="AD238" s="24"/>
    </row>
    <row r="239">
      <c r="A239" s="25"/>
      <c r="B239" s="17" t="s">
        <v>955</v>
      </c>
      <c r="C239" s="17">
        <v>9.264167757E9</v>
      </c>
      <c r="D239" s="17">
        <v>56.0</v>
      </c>
      <c r="E239" s="55" t="s">
        <v>367</v>
      </c>
      <c r="F239" s="37" t="s">
        <v>956</v>
      </c>
      <c r="G239" s="52"/>
      <c r="H239" s="37" t="s">
        <v>407</v>
      </c>
      <c r="I239" s="37" t="s">
        <v>957</v>
      </c>
      <c r="J239" s="37" t="s">
        <v>930</v>
      </c>
      <c r="K239" s="17" t="s">
        <v>931</v>
      </c>
      <c r="L239" s="37" t="s">
        <v>932</v>
      </c>
      <c r="M239" s="37" t="s">
        <v>958</v>
      </c>
      <c r="N239" s="56" t="s">
        <v>9</v>
      </c>
      <c r="O239" s="55" t="s">
        <v>4</v>
      </c>
      <c r="P239" s="55" t="s">
        <v>4</v>
      </c>
      <c r="Q239" s="37" t="s">
        <v>444</v>
      </c>
      <c r="R239" s="52"/>
      <c r="S239" s="55" t="s">
        <v>4</v>
      </c>
      <c r="T239" s="37" t="s">
        <v>959</v>
      </c>
      <c r="U239" s="55" t="s">
        <v>4</v>
      </c>
      <c r="V239" s="37" t="s">
        <v>960</v>
      </c>
      <c r="W239" s="37" t="s">
        <v>937</v>
      </c>
      <c r="X239" s="55" t="s">
        <v>4</v>
      </c>
      <c r="Y239" s="55" t="s">
        <v>4</v>
      </c>
      <c r="Z239" s="55" t="s">
        <v>4</v>
      </c>
      <c r="AA239" s="37" t="s">
        <v>391</v>
      </c>
      <c r="AB239" s="28"/>
      <c r="AC239" s="24"/>
      <c r="AD239" s="24"/>
    </row>
    <row r="240">
      <c r="A240" s="25"/>
      <c r="B240" s="17" t="s">
        <v>961</v>
      </c>
      <c r="C240" s="17">
        <v>7.739916619E9</v>
      </c>
      <c r="D240" s="17"/>
      <c r="E240" s="55"/>
      <c r="F240" s="52"/>
      <c r="G240" s="52"/>
      <c r="H240" s="52"/>
      <c r="I240" s="52"/>
      <c r="J240" s="37" t="s">
        <v>930</v>
      </c>
      <c r="K240" s="17" t="s">
        <v>931</v>
      </c>
      <c r="L240" s="52"/>
      <c r="M240" s="52"/>
      <c r="N240" s="56" t="s">
        <v>13</v>
      </c>
      <c r="O240" s="55"/>
      <c r="P240" s="55"/>
      <c r="Q240" s="52"/>
      <c r="R240" s="52"/>
      <c r="S240" s="55"/>
      <c r="T240" s="52"/>
      <c r="U240" s="55"/>
      <c r="V240" s="52"/>
      <c r="W240" s="52"/>
      <c r="X240" s="55"/>
      <c r="Y240" s="55"/>
      <c r="Z240" s="55"/>
      <c r="AA240" s="37"/>
      <c r="AB240" s="28"/>
      <c r="AC240" s="24"/>
      <c r="AD240" s="24"/>
    </row>
    <row r="241">
      <c r="A241" s="25"/>
      <c r="B241" s="17" t="s">
        <v>962</v>
      </c>
      <c r="C241" s="17" t="s">
        <v>963</v>
      </c>
      <c r="D241" s="17"/>
      <c r="E241" s="55"/>
      <c r="F241" s="52"/>
      <c r="G241" s="52"/>
      <c r="H241" s="52"/>
      <c r="I241" s="52"/>
      <c r="J241" s="37" t="s">
        <v>930</v>
      </c>
      <c r="K241" s="17" t="s">
        <v>931</v>
      </c>
      <c r="L241" s="52"/>
      <c r="M241" s="52"/>
      <c r="N241" s="56" t="s">
        <v>23</v>
      </c>
      <c r="O241" s="55"/>
      <c r="P241" s="55"/>
      <c r="Q241" s="52"/>
      <c r="R241" s="52"/>
      <c r="S241" s="55"/>
      <c r="T241" s="52"/>
      <c r="U241" s="55"/>
      <c r="V241" s="52"/>
      <c r="W241" s="52"/>
      <c r="X241" s="55"/>
      <c r="Y241" s="55"/>
      <c r="Z241" s="55"/>
      <c r="AA241" s="37"/>
      <c r="AB241" s="28"/>
      <c r="AC241" s="24"/>
      <c r="AD241" s="24"/>
    </row>
    <row r="242">
      <c r="A242" s="25"/>
      <c r="B242" s="17" t="s">
        <v>964</v>
      </c>
      <c r="C242" s="17">
        <v>7.320883378E9</v>
      </c>
      <c r="D242" s="17"/>
      <c r="E242" s="55"/>
      <c r="F242" s="52"/>
      <c r="G242" s="52"/>
      <c r="H242" s="52"/>
      <c r="I242" s="52"/>
      <c r="J242" s="37" t="s">
        <v>930</v>
      </c>
      <c r="K242" s="17" t="s">
        <v>931</v>
      </c>
      <c r="L242" s="52"/>
      <c r="M242" s="52"/>
      <c r="N242" s="56" t="s">
        <v>13</v>
      </c>
      <c r="O242" s="55"/>
      <c r="P242" s="55"/>
      <c r="Q242" s="52"/>
      <c r="R242" s="52"/>
      <c r="S242" s="55"/>
      <c r="T242" s="52"/>
      <c r="U242" s="55"/>
      <c r="V242" s="52"/>
      <c r="W242" s="52"/>
      <c r="X242" s="55"/>
      <c r="Y242" s="55"/>
      <c r="Z242" s="55"/>
      <c r="AA242" s="37"/>
      <c r="AB242" s="28"/>
      <c r="AC242" s="24"/>
      <c r="AD242" s="24"/>
    </row>
    <row r="243">
      <c r="A243" s="25"/>
      <c r="B243" s="17" t="s">
        <v>965</v>
      </c>
      <c r="C243" s="17">
        <v>7.033056676E9</v>
      </c>
      <c r="D243" s="17"/>
      <c r="E243" s="55"/>
      <c r="F243" s="52"/>
      <c r="G243" s="52"/>
      <c r="H243" s="52"/>
      <c r="I243" s="52"/>
      <c r="J243" s="37" t="s">
        <v>930</v>
      </c>
      <c r="K243" s="17" t="s">
        <v>931</v>
      </c>
      <c r="L243" s="52"/>
      <c r="M243" s="52"/>
      <c r="N243" s="56" t="s">
        <v>23</v>
      </c>
      <c r="O243" s="55"/>
      <c r="P243" s="55"/>
      <c r="Q243" s="52"/>
      <c r="R243" s="52"/>
      <c r="S243" s="55"/>
      <c r="T243" s="52"/>
      <c r="U243" s="55"/>
      <c r="V243" s="52"/>
      <c r="W243" s="52"/>
      <c r="X243" s="55"/>
      <c r="Y243" s="55"/>
      <c r="Z243" s="55"/>
      <c r="AA243" s="37"/>
      <c r="AB243" s="28"/>
      <c r="AC243" s="24"/>
      <c r="AD243" s="24"/>
    </row>
    <row r="244">
      <c r="A244" s="25"/>
      <c r="B244" s="17" t="s">
        <v>966</v>
      </c>
      <c r="C244" s="17">
        <v>9.798147335E9</v>
      </c>
      <c r="D244" s="17">
        <v>52.0</v>
      </c>
      <c r="E244" s="55" t="s">
        <v>367</v>
      </c>
      <c r="F244" s="37" t="s">
        <v>374</v>
      </c>
      <c r="G244" s="37" t="s">
        <v>518</v>
      </c>
      <c r="H244" s="52"/>
      <c r="I244" s="37" t="s">
        <v>518</v>
      </c>
      <c r="J244" s="37" t="s">
        <v>930</v>
      </c>
      <c r="K244" s="17" t="s">
        <v>931</v>
      </c>
      <c r="L244" s="37" t="s">
        <v>932</v>
      </c>
      <c r="M244" s="37" t="s">
        <v>967</v>
      </c>
      <c r="N244" s="56" t="s">
        <v>9</v>
      </c>
      <c r="O244" s="55" t="s">
        <v>4</v>
      </c>
      <c r="P244" s="55" t="s">
        <v>4</v>
      </c>
      <c r="Q244" s="37" t="s">
        <v>444</v>
      </c>
      <c r="R244" s="37" t="s">
        <v>968</v>
      </c>
      <c r="S244" s="55" t="s">
        <v>380</v>
      </c>
      <c r="T244" s="52"/>
      <c r="U244" s="55" t="s">
        <v>380</v>
      </c>
      <c r="V244" s="52"/>
      <c r="W244" s="37" t="s">
        <v>937</v>
      </c>
      <c r="X244" s="55" t="s">
        <v>4</v>
      </c>
      <c r="Y244" s="55" t="s">
        <v>4</v>
      </c>
      <c r="Z244" s="55" t="s">
        <v>4</v>
      </c>
      <c r="AA244" s="37" t="s">
        <v>391</v>
      </c>
      <c r="AB244" s="28"/>
      <c r="AC244" s="24"/>
      <c r="AD244" s="24"/>
    </row>
    <row r="245">
      <c r="A245" s="25"/>
      <c r="B245" s="17" t="s">
        <v>721</v>
      </c>
      <c r="C245" s="17">
        <v>8.873758984E9</v>
      </c>
      <c r="D245" s="17">
        <v>32.0</v>
      </c>
      <c r="E245" s="55" t="s">
        <v>367</v>
      </c>
      <c r="F245" s="37" t="s">
        <v>382</v>
      </c>
      <c r="G245" s="37" t="s">
        <v>518</v>
      </c>
      <c r="H245" s="37" t="s">
        <v>518</v>
      </c>
      <c r="I245" s="37" t="s">
        <v>518</v>
      </c>
      <c r="J245" s="37" t="s">
        <v>930</v>
      </c>
      <c r="K245" s="17" t="s">
        <v>931</v>
      </c>
      <c r="L245" s="37" t="s">
        <v>932</v>
      </c>
      <c r="M245" s="37" t="s">
        <v>969</v>
      </c>
      <c r="N245" s="56" t="s">
        <v>9</v>
      </c>
      <c r="O245" s="55" t="s">
        <v>4</v>
      </c>
      <c r="P245" s="55" t="s">
        <v>4</v>
      </c>
      <c r="Q245" s="37" t="s">
        <v>444</v>
      </c>
      <c r="R245" s="37" t="s">
        <v>970</v>
      </c>
      <c r="S245" s="55" t="s">
        <v>4</v>
      </c>
      <c r="T245" s="37" t="s">
        <v>971</v>
      </c>
      <c r="U245" s="55" t="s">
        <v>4</v>
      </c>
      <c r="V245" s="37" t="s">
        <v>972</v>
      </c>
      <c r="W245" s="37" t="s">
        <v>937</v>
      </c>
      <c r="X245" s="55" t="s">
        <v>4</v>
      </c>
      <c r="Y245" s="55" t="s">
        <v>4</v>
      </c>
      <c r="Z245" s="55" t="s">
        <v>4</v>
      </c>
      <c r="AA245" s="37" t="s">
        <v>391</v>
      </c>
      <c r="AB245" s="28"/>
      <c r="AC245" s="24"/>
      <c r="AD245" s="24"/>
    </row>
    <row r="246">
      <c r="A246" s="25"/>
      <c r="B246" s="17" t="s">
        <v>973</v>
      </c>
      <c r="C246" s="17">
        <v>9.661518971E9</v>
      </c>
      <c r="D246" s="17">
        <v>52.0</v>
      </c>
      <c r="E246" s="55" t="s">
        <v>367</v>
      </c>
      <c r="F246" s="37" t="s">
        <v>974</v>
      </c>
      <c r="G246" s="37" t="s">
        <v>518</v>
      </c>
      <c r="H246" s="52"/>
      <c r="I246" s="37" t="s">
        <v>551</v>
      </c>
      <c r="J246" s="37" t="s">
        <v>930</v>
      </c>
      <c r="K246" s="17" t="s">
        <v>931</v>
      </c>
      <c r="L246" s="37" t="s">
        <v>932</v>
      </c>
      <c r="M246" s="37" t="s">
        <v>969</v>
      </c>
      <c r="N246" s="56" t="s">
        <v>9</v>
      </c>
      <c r="O246" s="55" t="s">
        <v>4</v>
      </c>
      <c r="P246" s="55" t="s">
        <v>4</v>
      </c>
      <c r="Q246" s="37" t="s">
        <v>444</v>
      </c>
      <c r="R246" s="52"/>
      <c r="S246" s="55" t="s">
        <v>380</v>
      </c>
      <c r="T246" s="52"/>
      <c r="U246" s="55" t="s">
        <v>380</v>
      </c>
      <c r="V246" s="52"/>
      <c r="W246" s="37" t="s">
        <v>937</v>
      </c>
      <c r="X246" s="55" t="s">
        <v>4</v>
      </c>
      <c r="Y246" s="55" t="s">
        <v>4</v>
      </c>
      <c r="Z246" s="55" t="s">
        <v>4</v>
      </c>
      <c r="AA246" s="37" t="s">
        <v>391</v>
      </c>
      <c r="AB246" s="28"/>
      <c r="AC246" s="24"/>
      <c r="AD246" s="24"/>
    </row>
    <row r="247">
      <c r="A247" s="25"/>
      <c r="B247" s="17" t="s">
        <v>975</v>
      </c>
      <c r="C247" s="17">
        <v>8.210787306E9</v>
      </c>
      <c r="D247" s="17">
        <v>35.0</v>
      </c>
      <c r="E247" s="55" t="s">
        <v>367</v>
      </c>
      <c r="F247" s="52"/>
      <c r="G247" s="37" t="s">
        <v>518</v>
      </c>
      <c r="H247" s="52"/>
      <c r="I247" s="37" t="s">
        <v>518</v>
      </c>
      <c r="J247" s="37" t="s">
        <v>930</v>
      </c>
      <c r="K247" s="17" t="s">
        <v>931</v>
      </c>
      <c r="L247" s="52"/>
      <c r="M247" s="52"/>
      <c r="N247" s="56" t="s">
        <v>9</v>
      </c>
      <c r="O247" s="55" t="s">
        <v>4</v>
      </c>
      <c r="P247" s="55" t="s">
        <v>4</v>
      </c>
      <c r="Q247" s="37" t="s">
        <v>444</v>
      </c>
      <c r="R247" s="52"/>
      <c r="S247" s="55" t="s">
        <v>380</v>
      </c>
      <c r="T247" s="52"/>
      <c r="U247" s="55" t="s">
        <v>380</v>
      </c>
      <c r="V247" s="52"/>
      <c r="W247" s="52"/>
      <c r="X247" s="55" t="s">
        <v>4</v>
      </c>
      <c r="Y247" s="55" t="s">
        <v>4</v>
      </c>
      <c r="Z247" s="55" t="s">
        <v>4</v>
      </c>
      <c r="AA247" s="37" t="s">
        <v>391</v>
      </c>
      <c r="AB247" s="28"/>
      <c r="AC247" s="24"/>
      <c r="AD247" s="24"/>
    </row>
    <row r="248">
      <c r="A248" s="25"/>
      <c r="B248" s="17" t="s">
        <v>976</v>
      </c>
      <c r="C248" s="17">
        <v>9.996405211E9</v>
      </c>
      <c r="D248" s="17"/>
      <c r="E248" s="55"/>
      <c r="F248" s="37"/>
      <c r="G248" s="37"/>
      <c r="H248" s="37"/>
      <c r="I248" s="37"/>
      <c r="J248" s="37" t="s">
        <v>930</v>
      </c>
      <c r="K248" s="17" t="s">
        <v>931</v>
      </c>
      <c r="L248" s="37"/>
      <c r="M248" s="37"/>
      <c r="N248" s="56" t="s">
        <v>13</v>
      </c>
      <c r="O248" s="55"/>
      <c r="P248" s="55"/>
      <c r="Q248" s="37"/>
      <c r="R248" s="52"/>
      <c r="S248" s="55"/>
      <c r="T248" s="37"/>
      <c r="U248" s="55"/>
      <c r="V248" s="52"/>
      <c r="W248" s="52"/>
      <c r="X248" s="55"/>
      <c r="Y248" s="55"/>
      <c r="Z248" s="55"/>
      <c r="AA248" s="37"/>
      <c r="AB248" s="28"/>
      <c r="AC248" s="24"/>
      <c r="AD248" s="24"/>
    </row>
    <row r="249">
      <c r="A249" s="25"/>
      <c r="B249" s="17" t="s">
        <v>977</v>
      </c>
      <c r="C249" s="17">
        <v>7.903915451E9</v>
      </c>
      <c r="D249" s="17">
        <v>28.0</v>
      </c>
      <c r="E249" s="55" t="s">
        <v>367</v>
      </c>
      <c r="F249" s="37" t="s">
        <v>382</v>
      </c>
      <c r="G249" s="37" t="s">
        <v>518</v>
      </c>
      <c r="H249" s="37" t="s">
        <v>383</v>
      </c>
      <c r="I249" s="37" t="s">
        <v>551</v>
      </c>
      <c r="J249" s="37" t="s">
        <v>930</v>
      </c>
      <c r="K249" s="17" t="s">
        <v>931</v>
      </c>
      <c r="L249" s="37" t="s">
        <v>932</v>
      </c>
      <c r="M249" s="37" t="s">
        <v>932</v>
      </c>
      <c r="N249" s="56" t="s">
        <v>9</v>
      </c>
      <c r="O249" s="55" t="s">
        <v>4</v>
      </c>
      <c r="P249" s="55" t="s">
        <v>4</v>
      </c>
      <c r="Q249" s="37" t="s">
        <v>444</v>
      </c>
      <c r="R249" s="52"/>
      <c r="S249" s="55" t="s">
        <v>4</v>
      </c>
      <c r="T249" s="37" t="s">
        <v>978</v>
      </c>
      <c r="U249" s="55" t="s">
        <v>380</v>
      </c>
      <c r="V249" s="52"/>
      <c r="W249" s="37" t="s">
        <v>937</v>
      </c>
      <c r="X249" s="55" t="s">
        <v>4</v>
      </c>
      <c r="Y249" s="55" t="s">
        <v>4</v>
      </c>
      <c r="Z249" s="55" t="s">
        <v>4</v>
      </c>
      <c r="AA249" s="37" t="s">
        <v>391</v>
      </c>
      <c r="AB249" s="28"/>
      <c r="AC249" s="24"/>
      <c r="AD249" s="24"/>
    </row>
    <row r="250">
      <c r="A250" s="25"/>
      <c r="B250" s="17" t="s">
        <v>979</v>
      </c>
      <c r="C250" s="17">
        <v>9.939026809E9</v>
      </c>
      <c r="D250" s="17">
        <v>70.0</v>
      </c>
      <c r="E250" s="55" t="s">
        <v>367</v>
      </c>
      <c r="F250" s="52"/>
      <c r="G250" s="37" t="s">
        <v>375</v>
      </c>
      <c r="H250" s="37" t="s">
        <v>407</v>
      </c>
      <c r="I250" s="37" t="s">
        <v>980</v>
      </c>
      <c r="J250" s="37" t="s">
        <v>930</v>
      </c>
      <c r="K250" s="17" t="s">
        <v>931</v>
      </c>
      <c r="L250" s="37" t="s">
        <v>932</v>
      </c>
      <c r="M250" s="37" t="s">
        <v>932</v>
      </c>
      <c r="N250" s="56" t="s">
        <v>9</v>
      </c>
      <c r="O250" s="55" t="s">
        <v>4</v>
      </c>
      <c r="P250" s="55" t="s">
        <v>4</v>
      </c>
      <c r="Q250" s="37" t="s">
        <v>444</v>
      </c>
      <c r="R250" s="52"/>
      <c r="S250" s="55" t="s">
        <v>380</v>
      </c>
      <c r="T250" s="52"/>
      <c r="U250" s="55" t="s">
        <v>380</v>
      </c>
      <c r="V250" s="52"/>
      <c r="W250" s="37" t="s">
        <v>937</v>
      </c>
      <c r="X250" s="55" t="s">
        <v>4</v>
      </c>
      <c r="Y250" s="55" t="s">
        <v>4</v>
      </c>
      <c r="Z250" s="55" t="s">
        <v>4</v>
      </c>
      <c r="AA250" s="37" t="s">
        <v>391</v>
      </c>
      <c r="AB250" s="28"/>
      <c r="AC250" s="24"/>
      <c r="AD250" s="24"/>
    </row>
    <row r="251">
      <c r="A251" s="25"/>
      <c r="B251" s="17" t="s">
        <v>981</v>
      </c>
      <c r="C251" s="17">
        <v>7.631212149E9</v>
      </c>
      <c r="D251" s="17">
        <v>24.0</v>
      </c>
      <c r="E251" s="55" t="s">
        <v>367</v>
      </c>
      <c r="F251" s="37" t="s">
        <v>382</v>
      </c>
      <c r="G251" s="37" t="s">
        <v>518</v>
      </c>
      <c r="H251" s="37" t="s">
        <v>512</v>
      </c>
      <c r="I251" s="37" t="s">
        <v>518</v>
      </c>
      <c r="J251" s="37" t="s">
        <v>930</v>
      </c>
      <c r="K251" s="17" t="s">
        <v>931</v>
      </c>
      <c r="L251" s="37" t="s">
        <v>932</v>
      </c>
      <c r="M251" s="37" t="s">
        <v>982</v>
      </c>
      <c r="N251" s="56" t="s">
        <v>9</v>
      </c>
      <c r="O251" s="55" t="s">
        <v>4</v>
      </c>
      <c r="P251" s="55" t="s">
        <v>380</v>
      </c>
      <c r="Q251" s="52"/>
      <c r="R251" s="52"/>
      <c r="S251" s="55" t="s">
        <v>380</v>
      </c>
      <c r="T251" s="52"/>
      <c r="U251" s="55" t="s">
        <v>380</v>
      </c>
      <c r="V251" s="52"/>
      <c r="W251" s="37" t="s">
        <v>937</v>
      </c>
      <c r="X251" s="55" t="s">
        <v>4</v>
      </c>
      <c r="Y251" s="55" t="s">
        <v>4</v>
      </c>
      <c r="Z251" s="55" t="s">
        <v>4</v>
      </c>
      <c r="AA251" s="37" t="s">
        <v>391</v>
      </c>
      <c r="AB251" s="28"/>
      <c r="AC251" s="24"/>
      <c r="AD251" s="24"/>
    </row>
    <row r="252">
      <c r="A252" s="25"/>
      <c r="B252" s="17" t="s">
        <v>983</v>
      </c>
      <c r="C252" s="17">
        <v>7.03301347E9</v>
      </c>
      <c r="D252" s="17"/>
      <c r="E252" s="55"/>
      <c r="F252" s="52"/>
      <c r="G252" s="52"/>
      <c r="H252" s="52"/>
      <c r="I252" s="52"/>
      <c r="J252" s="37" t="s">
        <v>930</v>
      </c>
      <c r="K252" s="17" t="s">
        <v>931</v>
      </c>
      <c r="L252" s="52"/>
      <c r="M252" s="52"/>
      <c r="N252" s="56" t="s">
        <v>13</v>
      </c>
      <c r="O252" s="55"/>
      <c r="P252" s="55"/>
      <c r="Q252" s="52"/>
      <c r="R252" s="52"/>
      <c r="S252" s="55"/>
      <c r="T252" s="52"/>
      <c r="U252" s="55"/>
      <c r="V252" s="52"/>
      <c r="W252" s="52"/>
      <c r="X252" s="55"/>
      <c r="Y252" s="55"/>
      <c r="Z252" s="55"/>
      <c r="AA252" s="37"/>
      <c r="AB252" s="28"/>
      <c r="AC252" s="24"/>
      <c r="AD252" s="24"/>
    </row>
    <row r="253">
      <c r="A253" s="25"/>
      <c r="B253" s="17" t="s">
        <v>984</v>
      </c>
      <c r="C253" s="17">
        <v>7.367838076E9</v>
      </c>
      <c r="D253" s="17">
        <v>52.0</v>
      </c>
      <c r="E253" s="55" t="s">
        <v>367</v>
      </c>
      <c r="F253" s="37" t="s">
        <v>536</v>
      </c>
      <c r="G253" s="37" t="s">
        <v>518</v>
      </c>
      <c r="H253" s="37" t="s">
        <v>418</v>
      </c>
      <c r="I253" s="37" t="s">
        <v>518</v>
      </c>
      <c r="J253" s="37" t="s">
        <v>930</v>
      </c>
      <c r="K253" s="17" t="s">
        <v>931</v>
      </c>
      <c r="L253" s="37" t="s">
        <v>932</v>
      </c>
      <c r="M253" s="37" t="s">
        <v>982</v>
      </c>
      <c r="N253" s="56" t="s">
        <v>9</v>
      </c>
      <c r="O253" s="55" t="s">
        <v>4</v>
      </c>
      <c r="P253" s="55" t="s">
        <v>4</v>
      </c>
      <c r="Q253" s="37" t="s">
        <v>444</v>
      </c>
      <c r="R253" s="37" t="s">
        <v>985</v>
      </c>
      <c r="S253" s="55" t="s">
        <v>4</v>
      </c>
      <c r="T253" s="37" t="s">
        <v>986</v>
      </c>
      <c r="U253" s="55" t="s">
        <v>4</v>
      </c>
      <c r="V253" s="37" t="s">
        <v>987</v>
      </c>
      <c r="W253" s="37" t="s">
        <v>937</v>
      </c>
      <c r="X253" s="55" t="s">
        <v>4</v>
      </c>
      <c r="Y253" s="55" t="s">
        <v>4</v>
      </c>
      <c r="Z253" s="55" t="s">
        <v>4</v>
      </c>
      <c r="AA253" s="37" t="s">
        <v>391</v>
      </c>
      <c r="AB253" s="28"/>
      <c r="AC253" s="24"/>
      <c r="AD253" s="24"/>
    </row>
    <row r="254">
      <c r="A254" s="25"/>
      <c r="B254" s="17" t="s">
        <v>988</v>
      </c>
      <c r="C254" s="17">
        <v>9.508652602E9</v>
      </c>
      <c r="D254" s="17">
        <v>39.0</v>
      </c>
      <c r="E254" s="55" t="s">
        <v>367</v>
      </c>
      <c r="F254" s="37" t="s">
        <v>441</v>
      </c>
      <c r="G254" s="37" t="s">
        <v>518</v>
      </c>
      <c r="H254" s="52"/>
      <c r="I254" s="37" t="s">
        <v>518</v>
      </c>
      <c r="J254" s="37" t="s">
        <v>930</v>
      </c>
      <c r="K254" s="17" t="s">
        <v>931</v>
      </c>
      <c r="L254" s="37" t="s">
        <v>932</v>
      </c>
      <c r="M254" s="37" t="s">
        <v>982</v>
      </c>
      <c r="N254" s="56" t="s">
        <v>9</v>
      </c>
      <c r="O254" s="55" t="s">
        <v>4</v>
      </c>
      <c r="P254" s="55" t="s">
        <v>4</v>
      </c>
      <c r="Q254" s="37" t="s">
        <v>444</v>
      </c>
      <c r="R254" s="52"/>
      <c r="S254" s="55" t="s">
        <v>4</v>
      </c>
      <c r="T254" s="37" t="s">
        <v>959</v>
      </c>
      <c r="U254" s="55" t="s">
        <v>4</v>
      </c>
      <c r="V254" s="37" t="s">
        <v>989</v>
      </c>
      <c r="W254" s="37" t="s">
        <v>937</v>
      </c>
      <c r="X254" s="55" t="s">
        <v>4</v>
      </c>
      <c r="Y254" s="55" t="s">
        <v>4</v>
      </c>
      <c r="Z254" s="55" t="s">
        <v>4</v>
      </c>
      <c r="AA254" s="37" t="s">
        <v>391</v>
      </c>
      <c r="AB254" s="28"/>
      <c r="AC254" s="24"/>
      <c r="AD254" s="24"/>
    </row>
    <row r="255">
      <c r="A255" s="25"/>
      <c r="B255" s="17" t="s">
        <v>990</v>
      </c>
      <c r="C255" s="17">
        <v>7.543848949E9</v>
      </c>
      <c r="D255" s="17"/>
      <c r="E255" s="55"/>
      <c r="F255" s="52"/>
      <c r="G255" s="52"/>
      <c r="H255" s="52"/>
      <c r="I255" s="52"/>
      <c r="J255" s="37" t="s">
        <v>930</v>
      </c>
      <c r="K255" s="17" t="s">
        <v>931</v>
      </c>
      <c r="L255" s="52"/>
      <c r="M255" s="52"/>
      <c r="N255" s="56" t="s">
        <v>13</v>
      </c>
      <c r="O255" s="55"/>
      <c r="P255" s="55"/>
      <c r="Q255" s="52"/>
      <c r="R255" s="52"/>
      <c r="S255" s="55"/>
      <c r="T255" s="52"/>
      <c r="U255" s="55"/>
      <c r="V255" s="52"/>
      <c r="W255" s="52"/>
      <c r="X255" s="55"/>
      <c r="Y255" s="55"/>
      <c r="Z255" s="55"/>
      <c r="AA255" s="37"/>
      <c r="AB255" s="28"/>
      <c r="AC255" s="24"/>
      <c r="AD255" s="24"/>
    </row>
    <row r="256">
      <c r="A256" s="25"/>
      <c r="B256" s="17" t="s">
        <v>991</v>
      </c>
      <c r="C256" s="17">
        <v>8.092728916E9</v>
      </c>
      <c r="D256" s="17"/>
      <c r="E256" s="55"/>
      <c r="F256" s="52"/>
      <c r="G256" s="52"/>
      <c r="H256" s="52"/>
      <c r="I256" s="52"/>
      <c r="J256" s="37" t="s">
        <v>930</v>
      </c>
      <c r="K256" s="17" t="s">
        <v>931</v>
      </c>
      <c r="L256" s="52"/>
      <c r="M256" s="52"/>
      <c r="N256" s="56" t="s">
        <v>27</v>
      </c>
      <c r="O256" s="55"/>
      <c r="P256" s="55"/>
      <c r="Q256" s="52"/>
      <c r="R256" s="52"/>
      <c r="S256" s="55"/>
      <c r="T256" s="52"/>
      <c r="U256" s="55"/>
      <c r="V256" s="52"/>
      <c r="W256" s="52"/>
      <c r="X256" s="55"/>
      <c r="Y256" s="55"/>
      <c r="Z256" s="55"/>
      <c r="AA256" s="37"/>
      <c r="AB256" s="28"/>
      <c r="AC256" s="24"/>
      <c r="AD256" s="24"/>
    </row>
    <row r="257">
      <c r="A257" s="25"/>
      <c r="B257" s="17" t="s">
        <v>992</v>
      </c>
      <c r="C257" s="17">
        <v>9.113325794E9</v>
      </c>
      <c r="D257" s="17">
        <v>29.0</v>
      </c>
      <c r="E257" s="55" t="s">
        <v>367</v>
      </c>
      <c r="F257" s="37" t="s">
        <v>536</v>
      </c>
      <c r="G257" s="37" t="s">
        <v>518</v>
      </c>
      <c r="H257" s="37" t="s">
        <v>512</v>
      </c>
      <c r="I257" s="37" t="s">
        <v>518</v>
      </c>
      <c r="J257" s="37" t="s">
        <v>930</v>
      </c>
      <c r="K257" s="17" t="s">
        <v>931</v>
      </c>
      <c r="L257" s="37" t="s">
        <v>932</v>
      </c>
      <c r="M257" s="37" t="s">
        <v>993</v>
      </c>
      <c r="N257" s="56" t="s">
        <v>9</v>
      </c>
      <c r="O257" s="55" t="s">
        <v>4</v>
      </c>
      <c r="P257" s="55" t="s">
        <v>4</v>
      </c>
      <c r="Q257" s="37" t="s">
        <v>444</v>
      </c>
      <c r="R257" s="37" t="s">
        <v>994</v>
      </c>
      <c r="S257" s="55" t="s">
        <v>380</v>
      </c>
      <c r="T257" s="52"/>
      <c r="U257" s="55" t="s">
        <v>380</v>
      </c>
      <c r="V257" s="52"/>
      <c r="W257" s="37" t="s">
        <v>937</v>
      </c>
      <c r="X257" s="55" t="s">
        <v>4</v>
      </c>
      <c r="Y257" s="55" t="s">
        <v>4</v>
      </c>
      <c r="Z257" s="55" t="s">
        <v>4</v>
      </c>
      <c r="AA257" s="37" t="s">
        <v>391</v>
      </c>
      <c r="AB257" s="28"/>
      <c r="AC257" s="24"/>
      <c r="AD257" s="24"/>
    </row>
    <row r="258">
      <c r="A258" s="25"/>
      <c r="B258" s="17" t="s">
        <v>995</v>
      </c>
      <c r="C258" s="17">
        <v>8.292199733E9</v>
      </c>
      <c r="D258" s="17">
        <v>32.0</v>
      </c>
      <c r="E258" s="55" t="s">
        <v>367</v>
      </c>
      <c r="F258" s="37" t="s">
        <v>996</v>
      </c>
      <c r="G258" s="37" t="s">
        <v>518</v>
      </c>
      <c r="H258" s="37" t="s">
        <v>512</v>
      </c>
      <c r="I258" s="37" t="s">
        <v>518</v>
      </c>
      <c r="J258" s="37" t="s">
        <v>930</v>
      </c>
      <c r="K258" s="17" t="s">
        <v>931</v>
      </c>
      <c r="L258" s="37" t="s">
        <v>932</v>
      </c>
      <c r="M258" s="37" t="s">
        <v>997</v>
      </c>
      <c r="N258" s="56" t="s">
        <v>9</v>
      </c>
      <c r="O258" s="55" t="s">
        <v>4</v>
      </c>
      <c r="P258" s="55" t="s">
        <v>4</v>
      </c>
      <c r="Q258" s="37" t="s">
        <v>444</v>
      </c>
      <c r="R258" s="52"/>
      <c r="S258" s="55" t="s">
        <v>380</v>
      </c>
      <c r="T258" s="52"/>
      <c r="U258" s="55" t="s">
        <v>380</v>
      </c>
      <c r="V258" s="52"/>
      <c r="W258" s="37" t="s">
        <v>937</v>
      </c>
      <c r="X258" s="55" t="s">
        <v>4</v>
      </c>
      <c r="Y258" s="55" t="s">
        <v>4</v>
      </c>
      <c r="Z258" s="55" t="s">
        <v>4</v>
      </c>
      <c r="AA258" s="37" t="s">
        <v>391</v>
      </c>
      <c r="AB258" s="28"/>
      <c r="AC258" s="24"/>
      <c r="AD258" s="24"/>
    </row>
    <row r="259">
      <c r="A259" s="25"/>
      <c r="B259" s="17" t="s">
        <v>998</v>
      </c>
      <c r="C259" s="17">
        <v>9.955445933E9</v>
      </c>
      <c r="D259" s="17"/>
      <c r="E259" s="55"/>
      <c r="F259" s="52"/>
      <c r="G259" s="52"/>
      <c r="H259" s="52"/>
      <c r="I259" s="52"/>
      <c r="J259" s="37" t="s">
        <v>930</v>
      </c>
      <c r="K259" s="17" t="s">
        <v>931</v>
      </c>
      <c r="L259" s="52"/>
      <c r="M259" s="52"/>
      <c r="N259" s="56" t="s">
        <v>23</v>
      </c>
      <c r="O259" s="55"/>
      <c r="P259" s="55"/>
      <c r="Q259" s="52"/>
      <c r="R259" s="52"/>
      <c r="S259" s="55"/>
      <c r="T259" s="52"/>
      <c r="U259" s="55"/>
      <c r="V259" s="52"/>
      <c r="W259" s="52"/>
      <c r="X259" s="55"/>
      <c r="Y259" s="55"/>
      <c r="Z259" s="55"/>
      <c r="AA259" s="37"/>
      <c r="AB259" s="28"/>
      <c r="AC259" s="24"/>
      <c r="AD259" s="24"/>
    </row>
    <row r="260">
      <c r="A260" s="25"/>
      <c r="B260" s="17" t="s">
        <v>999</v>
      </c>
      <c r="C260" s="17">
        <v>9.30491355E9</v>
      </c>
      <c r="D260" s="17">
        <v>27.0</v>
      </c>
      <c r="E260" s="55" t="s">
        <v>367</v>
      </c>
      <c r="F260" s="37" t="s">
        <v>1000</v>
      </c>
      <c r="G260" s="37" t="s">
        <v>518</v>
      </c>
      <c r="H260" s="37" t="s">
        <v>1001</v>
      </c>
      <c r="I260" s="37" t="s">
        <v>518</v>
      </c>
      <c r="J260" s="37" t="s">
        <v>930</v>
      </c>
      <c r="K260" s="17" t="s">
        <v>931</v>
      </c>
      <c r="L260" s="37" t="s">
        <v>932</v>
      </c>
      <c r="M260" s="37" t="s">
        <v>1002</v>
      </c>
      <c r="N260" s="56" t="s">
        <v>9</v>
      </c>
      <c r="O260" s="55" t="s">
        <v>4</v>
      </c>
      <c r="P260" s="55" t="s">
        <v>380</v>
      </c>
      <c r="Q260" s="52"/>
      <c r="R260" s="37" t="s">
        <v>1003</v>
      </c>
      <c r="S260" s="55" t="s">
        <v>4</v>
      </c>
      <c r="T260" s="37" t="s">
        <v>1004</v>
      </c>
      <c r="U260" s="55" t="s">
        <v>4</v>
      </c>
      <c r="V260" s="37" t="s">
        <v>1005</v>
      </c>
      <c r="W260" s="37" t="s">
        <v>937</v>
      </c>
      <c r="X260" s="55" t="s">
        <v>4</v>
      </c>
      <c r="Y260" s="55" t="s">
        <v>4</v>
      </c>
      <c r="Z260" s="55" t="s">
        <v>4</v>
      </c>
      <c r="AA260" s="37" t="s">
        <v>391</v>
      </c>
      <c r="AB260" s="28"/>
      <c r="AC260" s="24"/>
      <c r="AD260" s="24"/>
    </row>
    <row r="261">
      <c r="A261" s="25"/>
      <c r="B261" s="17" t="s">
        <v>1006</v>
      </c>
      <c r="C261" s="17">
        <v>6.377194795E9</v>
      </c>
      <c r="D261" s="17">
        <v>28.0</v>
      </c>
      <c r="E261" s="55" t="s">
        <v>367</v>
      </c>
      <c r="F261" s="37" t="s">
        <v>382</v>
      </c>
      <c r="G261" s="37" t="s">
        <v>518</v>
      </c>
      <c r="H261" s="37" t="s">
        <v>512</v>
      </c>
      <c r="I261" s="37" t="s">
        <v>518</v>
      </c>
      <c r="J261" s="37" t="s">
        <v>930</v>
      </c>
      <c r="K261" s="17" t="s">
        <v>931</v>
      </c>
      <c r="L261" s="37" t="s">
        <v>932</v>
      </c>
      <c r="M261" s="37" t="s">
        <v>1007</v>
      </c>
      <c r="N261" s="56" t="s">
        <v>9</v>
      </c>
      <c r="O261" s="55" t="s">
        <v>4</v>
      </c>
      <c r="P261" s="55" t="s">
        <v>380</v>
      </c>
      <c r="Q261" s="52"/>
      <c r="R261" s="52"/>
      <c r="S261" s="55" t="s">
        <v>380</v>
      </c>
      <c r="T261" s="52"/>
      <c r="U261" s="55" t="s">
        <v>380</v>
      </c>
      <c r="V261" s="52"/>
      <c r="W261" s="37" t="s">
        <v>937</v>
      </c>
      <c r="X261" s="55" t="s">
        <v>4</v>
      </c>
      <c r="Y261" s="55" t="s">
        <v>4</v>
      </c>
      <c r="Z261" s="55" t="s">
        <v>4</v>
      </c>
      <c r="AA261" s="37" t="s">
        <v>391</v>
      </c>
      <c r="AB261" s="28"/>
      <c r="AC261" s="24"/>
      <c r="AD261" s="24"/>
    </row>
    <row r="262">
      <c r="A262" s="25"/>
      <c r="B262" s="17" t="s">
        <v>1008</v>
      </c>
      <c r="C262" s="17">
        <v>7.091361785E9</v>
      </c>
      <c r="D262" s="17"/>
      <c r="E262" s="55"/>
      <c r="F262" s="52"/>
      <c r="G262" s="52"/>
      <c r="H262" s="52"/>
      <c r="I262" s="52"/>
      <c r="J262" s="37" t="s">
        <v>930</v>
      </c>
      <c r="K262" s="17" t="s">
        <v>931</v>
      </c>
      <c r="L262" s="52"/>
      <c r="M262" s="52"/>
      <c r="N262" s="56" t="s">
        <v>23</v>
      </c>
      <c r="O262" s="55"/>
      <c r="P262" s="55"/>
      <c r="Q262" s="52"/>
      <c r="R262" s="52"/>
      <c r="S262" s="55"/>
      <c r="T262" s="52"/>
      <c r="U262" s="55"/>
      <c r="V262" s="52"/>
      <c r="W262" s="52"/>
      <c r="X262" s="55"/>
      <c r="Y262" s="55"/>
      <c r="Z262" s="55"/>
      <c r="AA262" s="37"/>
      <c r="AB262" s="28"/>
      <c r="AC262" s="24"/>
      <c r="AD262" s="24"/>
    </row>
    <row r="263">
      <c r="A263" s="25"/>
      <c r="B263" s="17" t="s">
        <v>1009</v>
      </c>
      <c r="C263" s="17">
        <v>8.084852393E9</v>
      </c>
      <c r="D263" s="17"/>
      <c r="E263" s="55"/>
      <c r="F263" s="52"/>
      <c r="G263" s="52"/>
      <c r="H263" s="52"/>
      <c r="I263" s="52"/>
      <c r="J263" s="37" t="s">
        <v>930</v>
      </c>
      <c r="K263" s="17" t="s">
        <v>931</v>
      </c>
      <c r="L263" s="52"/>
      <c r="M263" s="52"/>
      <c r="N263" s="56" t="s">
        <v>27</v>
      </c>
      <c r="O263" s="55"/>
      <c r="P263" s="55"/>
      <c r="Q263" s="52"/>
      <c r="R263" s="52"/>
      <c r="S263" s="55"/>
      <c r="T263" s="52"/>
      <c r="U263" s="55"/>
      <c r="V263" s="52"/>
      <c r="W263" s="52"/>
      <c r="X263" s="55"/>
      <c r="Y263" s="55"/>
      <c r="Z263" s="55"/>
      <c r="AA263" s="37"/>
      <c r="AB263" s="28"/>
      <c r="AC263" s="24"/>
      <c r="AD263" s="24"/>
    </row>
    <row r="264">
      <c r="A264" s="25"/>
      <c r="B264" s="17" t="s">
        <v>1010</v>
      </c>
      <c r="C264" s="17">
        <v>8.97241464E9</v>
      </c>
      <c r="D264" s="17">
        <v>31.0</v>
      </c>
      <c r="E264" s="55" t="s">
        <v>367</v>
      </c>
      <c r="F264" s="37" t="s">
        <v>1011</v>
      </c>
      <c r="G264" s="37" t="s">
        <v>518</v>
      </c>
      <c r="H264" s="37" t="s">
        <v>512</v>
      </c>
      <c r="I264" s="37" t="s">
        <v>518</v>
      </c>
      <c r="J264" s="37" t="s">
        <v>930</v>
      </c>
      <c r="K264" s="17" t="s">
        <v>931</v>
      </c>
      <c r="L264" s="37" t="s">
        <v>932</v>
      </c>
      <c r="M264" s="37" t="s">
        <v>1012</v>
      </c>
      <c r="N264" s="56" t="s">
        <v>9</v>
      </c>
      <c r="O264" s="55" t="s">
        <v>4</v>
      </c>
      <c r="P264" s="55" t="s">
        <v>380</v>
      </c>
      <c r="Q264" s="52"/>
      <c r="R264" s="52"/>
      <c r="S264" s="55" t="s">
        <v>4</v>
      </c>
      <c r="T264" s="37" t="s">
        <v>1013</v>
      </c>
      <c r="U264" s="55" t="s">
        <v>4</v>
      </c>
      <c r="V264" s="37" t="s">
        <v>1014</v>
      </c>
      <c r="W264" s="37" t="s">
        <v>937</v>
      </c>
      <c r="X264" s="55" t="s">
        <v>4</v>
      </c>
      <c r="Y264" s="55" t="s">
        <v>4</v>
      </c>
      <c r="Z264" s="55" t="s">
        <v>4</v>
      </c>
      <c r="AA264" s="37" t="s">
        <v>391</v>
      </c>
      <c r="AB264" s="28"/>
      <c r="AC264" s="24"/>
      <c r="AD264" s="24"/>
    </row>
    <row r="265">
      <c r="A265" s="25"/>
      <c r="B265" s="17" t="s">
        <v>1015</v>
      </c>
      <c r="C265" s="17">
        <v>7.488257331E9</v>
      </c>
      <c r="D265" s="17"/>
      <c r="E265" s="55"/>
      <c r="F265" s="52"/>
      <c r="G265" s="52"/>
      <c r="H265" s="52"/>
      <c r="I265" s="52"/>
      <c r="J265" s="37" t="s">
        <v>930</v>
      </c>
      <c r="K265" s="17" t="s">
        <v>931</v>
      </c>
      <c r="L265" s="52"/>
      <c r="M265" s="52"/>
      <c r="N265" s="56" t="s">
        <v>23</v>
      </c>
      <c r="O265" s="55"/>
      <c r="P265" s="55"/>
      <c r="Q265" s="52"/>
      <c r="R265" s="52"/>
      <c r="S265" s="55"/>
      <c r="T265" s="52"/>
      <c r="U265" s="55"/>
      <c r="V265" s="52"/>
      <c r="W265" s="52"/>
      <c r="X265" s="55"/>
      <c r="Y265" s="55"/>
      <c r="Z265" s="55"/>
      <c r="AA265" s="37"/>
      <c r="AB265" s="28"/>
      <c r="AC265" s="24"/>
      <c r="AD265" s="24"/>
    </row>
    <row r="266">
      <c r="A266" s="25"/>
      <c r="B266" s="17" t="s">
        <v>1016</v>
      </c>
      <c r="C266" s="17">
        <v>9.162258006E9</v>
      </c>
      <c r="D266" s="17">
        <v>29.0</v>
      </c>
      <c r="E266" s="55" t="s">
        <v>405</v>
      </c>
      <c r="F266" s="52"/>
      <c r="G266" s="37" t="s">
        <v>375</v>
      </c>
      <c r="H266" s="37" t="s">
        <v>407</v>
      </c>
      <c r="I266" s="37" t="s">
        <v>1017</v>
      </c>
      <c r="J266" s="37" t="s">
        <v>930</v>
      </c>
      <c r="K266" s="17" t="s">
        <v>931</v>
      </c>
      <c r="L266" s="37" t="s">
        <v>932</v>
      </c>
      <c r="M266" s="37" t="s">
        <v>1018</v>
      </c>
      <c r="N266" s="56" t="s">
        <v>9</v>
      </c>
      <c r="O266" s="55" t="s">
        <v>4</v>
      </c>
      <c r="P266" s="55" t="s">
        <v>380</v>
      </c>
      <c r="Q266" s="52"/>
      <c r="R266" s="52"/>
      <c r="S266" s="55" t="s">
        <v>380</v>
      </c>
      <c r="T266" s="52"/>
      <c r="U266" s="55" t="s">
        <v>380</v>
      </c>
      <c r="V266" s="52"/>
      <c r="W266" s="37" t="s">
        <v>937</v>
      </c>
      <c r="X266" s="55" t="s">
        <v>4</v>
      </c>
      <c r="Y266" s="55" t="s">
        <v>380</v>
      </c>
      <c r="Z266" s="55" t="s">
        <v>4</v>
      </c>
      <c r="AA266" s="37" t="s">
        <v>391</v>
      </c>
      <c r="AB266" s="28"/>
      <c r="AC266" s="24"/>
      <c r="AD266" s="24"/>
    </row>
    <row r="267">
      <c r="A267" s="25"/>
      <c r="B267" s="17" t="s">
        <v>1019</v>
      </c>
      <c r="C267" s="17">
        <v>8.102597758E9</v>
      </c>
      <c r="D267" s="17">
        <v>27.0</v>
      </c>
      <c r="E267" s="55" t="s">
        <v>367</v>
      </c>
      <c r="F267" s="52"/>
      <c r="G267" s="37" t="s">
        <v>375</v>
      </c>
      <c r="H267" s="37" t="s">
        <v>1020</v>
      </c>
      <c r="I267" s="37" t="s">
        <v>375</v>
      </c>
      <c r="J267" s="37" t="s">
        <v>930</v>
      </c>
      <c r="K267" s="17" t="s">
        <v>931</v>
      </c>
      <c r="L267" s="37" t="s">
        <v>932</v>
      </c>
      <c r="M267" s="37" t="s">
        <v>1018</v>
      </c>
      <c r="N267" s="56" t="s">
        <v>9</v>
      </c>
      <c r="O267" s="55" t="s">
        <v>4</v>
      </c>
      <c r="P267" s="55" t="s">
        <v>4</v>
      </c>
      <c r="Q267" s="52"/>
      <c r="R267" s="52"/>
      <c r="S267" s="55" t="s">
        <v>380</v>
      </c>
      <c r="T267" s="52"/>
      <c r="U267" s="55" t="s">
        <v>380</v>
      </c>
      <c r="V267" s="52"/>
      <c r="W267" s="37" t="s">
        <v>937</v>
      </c>
      <c r="X267" s="55" t="s">
        <v>4</v>
      </c>
      <c r="Y267" s="55" t="s">
        <v>4</v>
      </c>
      <c r="Z267" s="55" t="s">
        <v>4</v>
      </c>
      <c r="AA267" s="37" t="s">
        <v>391</v>
      </c>
      <c r="AB267" s="28"/>
      <c r="AC267" s="24"/>
      <c r="AD267" s="24"/>
    </row>
    <row r="268">
      <c r="A268" s="25"/>
      <c r="B268" s="17" t="s">
        <v>1021</v>
      </c>
      <c r="C268" s="17">
        <v>8.368302453E9</v>
      </c>
      <c r="D268" s="17">
        <v>38.0</v>
      </c>
      <c r="E268" s="55" t="s">
        <v>367</v>
      </c>
      <c r="F268" s="37" t="s">
        <v>441</v>
      </c>
      <c r="G268" s="37" t="s">
        <v>518</v>
      </c>
      <c r="H268" s="37" t="s">
        <v>512</v>
      </c>
      <c r="I268" s="37" t="s">
        <v>518</v>
      </c>
      <c r="J268" s="37" t="s">
        <v>930</v>
      </c>
      <c r="K268" s="17" t="s">
        <v>931</v>
      </c>
      <c r="L268" s="37" t="s">
        <v>932</v>
      </c>
      <c r="M268" s="37" t="s">
        <v>1022</v>
      </c>
      <c r="N268" s="56" t="s">
        <v>9</v>
      </c>
      <c r="O268" s="55" t="s">
        <v>4</v>
      </c>
      <c r="P268" s="55" t="s">
        <v>4</v>
      </c>
      <c r="Q268" s="37" t="s">
        <v>444</v>
      </c>
      <c r="R268" s="37" t="s">
        <v>1023</v>
      </c>
      <c r="S268" s="55" t="s">
        <v>4</v>
      </c>
      <c r="T268" s="37" t="s">
        <v>1024</v>
      </c>
      <c r="U268" s="55" t="s">
        <v>4</v>
      </c>
      <c r="V268" s="37" t="s">
        <v>1025</v>
      </c>
      <c r="W268" s="37" t="s">
        <v>937</v>
      </c>
      <c r="X268" s="55" t="s">
        <v>4</v>
      </c>
      <c r="Y268" s="55" t="s">
        <v>4</v>
      </c>
      <c r="Z268" s="55" t="s">
        <v>4</v>
      </c>
      <c r="AA268" s="37" t="s">
        <v>391</v>
      </c>
      <c r="AB268" s="28"/>
      <c r="AC268" s="24"/>
      <c r="AD268" s="24"/>
    </row>
    <row r="269">
      <c r="A269" s="25"/>
      <c r="B269" s="17" t="s">
        <v>1026</v>
      </c>
      <c r="C269" s="17">
        <v>9.304212043E9</v>
      </c>
      <c r="D269" s="17"/>
      <c r="E269" s="55"/>
      <c r="F269" s="52"/>
      <c r="G269" s="52"/>
      <c r="H269" s="52"/>
      <c r="I269" s="52"/>
      <c r="J269" s="37" t="s">
        <v>930</v>
      </c>
      <c r="K269" s="17" t="s">
        <v>931</v>
      </c>
      <c r="L269" s="52"/>
      <c r="M269" s="52"/>
      <c r="N269" s="56" t="s">
        <v>23</v>
      </c>
      <c r="O269" s="55"/>
      <c r="P269" s="55"/>
      <c r="Q269" s="52"/>
      <c r="R269" s="52"/>
      <c r="S269" s="55"/>
      <c r="T269" s="52"/>
      <c r="U269" s="55"/>
      <c r="V269" s="52"/>
      <c r="W269" s="52"/>
      <c r="X269" s="55"/>
      <c r="Y269" s="55"/>
      <c r="Z269" s="55"/>
      <c r="AA269" s="37"/>
      <c r="AB269" s="28"/>
      <c r="AC269" s="24"/>
      <c r="AD269" s="24"/>
    </row>
    <row r="270">
      <c r="A270" s="25"/>
      <c r="B270" s="17" t="s">
        <v>1027</v>
      </c>
      <c r="C270" s="17">
        <v>7.274878501E9</v>
      </c>
      <c r="D270" s="17">
        <v>33.0</v>
      </c>
      <c r="E270" s="55" t="s">
        <v>367</v>
      </c>
      <c r="F270" s="37" t="s">
        <v>1028</v>
      </c>
      <c r="G270" s="37" t="s">
        <v>375</v>
      </c>
      <c r="H270" s="37" t="s">
        <v>383</v>
      </c>
      <c r="I270" s="37" t="s">
        <v>1029</v>
      </c>
      <c r="J270" s="37" t="s">
        <v>930</v>
      </c>
      <c r="K270" s="17" t="s">
        <v>931</v>
      </c>
      <c r="L270" s="37" t="s">
        <v>932</v>
      </c>
      <c r="M270" s="37" t="s">
        <v>1030</v>
      </c>
      <c r="N270" s="56" t="s">
        <v>9</v>
      </c>
      <c r="O270" s="55" t="s">
        <v>4</v>
      </c>
      <c r="P270" s="55" t="s">
        <v>380</v>
      </c>
      <c r="Q270" s="52"/>
      <c r="R270" s="52"/>
      <c r="S270" s="55" t="s">
        <v>380</v>
      </c>
      <c r="T270" s="52"/>
      <c r="U270" s="55" t="s">
        <v>380</v>
      </c>
      <c r="V270" s="52"/>
      <c r="W270" s="37" t="s">
        <v>937</v>
      </c>
      <c r="X270" s="55" t="s">
        <v>4</v>
      </c>
      <c r="Y270" s="55" t="s">
        <v>4</v>
      </c>
      <c r="Z270" s="55" t="s">
        <v>4</v>
      </c>
      <c r="AA270" s="37" t="s">
        <v>391</v>
      </c>
      <c r="AB270" s="28"/>
      <c r="AC270" s="24"/>
      <c r="AD270" s="24"/>
    </row>
    <row r="271">
      <c r="A271" s="25"/>
      <c r="B271" s="17" t="s">
        <v>1031</v>
      </c>
      <c r="C271" s="17">
        <v>6.299737282E9</v>
      </c>
      <c r="D271" s="17"/>
      <c r="E271" s="55"/>
      <c r="F271" s="52"/>
      <c r="G271" s="52"/>
      <c r="H271" s="52"/>
      <c r="I271" s="52"/>
      <c r="J271" s="37" t="s">
        <v>930</v>
      </c>
      <c r="K271" s="17" t="s">
        <v>931</v>
      </c>
      <c r="L271" s="52"/>
      <c r="M271" s="52"/>
      <c r="N271" s="56" t="s">
        <v>13</v>
      </c>
      <c r="O271" s="55"/>
      <c r="P271" s="55"/>
      <c r="Q271" s="52"/>
      <c r="R271" s="52"/>
      <c r="S271" s="55"/>
      <c r="T271" s="52"/>
      <c r="U271" s="55"/>
      <c r="V271" s="52"/>
      <c r="W271" s="52"/>
      <c r="X271" s="55"/>
      <c r="Y271" s="55"/>
      <c r="Z271" s="55"/>
      <c r="AA271" s="37"/>
      <c r="AB271" s="28"/>
      <c r="AC271" s="24"/>
      <c r="AD271" s="24"/>
    </row>
    <row r="272">
      <c r="A272" s="25"/>
      <c r="B272" s="17" t="s">
        <v>1032</v>
      </c>
      <c r="C272" s="17">
        <v>8.809354786E9</v>
      </c>
      <c r="D272" s="17"/>
      <c r="E272" s="55"/>
      <c r="F272" s="52"/>
      <c r="G272" s="52"/>
      <c r="H272" s="52"/>
      <c r="I272" s="52"/>
      <c r="J272" s="37" t="s">
        <v>930</v>
      </c>
      <c r="K272" s="17" t="s">
        <v>931</v>
      </c>
      <c r="L272" s="52"/>
      <c r="M272" s="52"/>
      <c r="N272" s="56" t="s">
        <v>13</v>
      </c>
      <c r="O272" s="55"/>
      <c r="P272" s="55"/>
      <c r="Q272" s="52"/>
      <c r="R272" s="52"/>
      <c r="S272" s="55"/>
      <c r="T272" s="52"/>
      <c r="U272" s="55"/>
      <c r="V272" s="52"/>
      <c r="W272" s="52"/>
      <c r="X272" s="55"/>
      <c r="Y272" s="55"/>
      <c r="Z272" s="55"/>
      <c r="AA272" s="37"/>
      <c r="AB272" s="28"/>
      <c r="AC272" s="24"/>
      <c r="AD272" s="24"/>
    </row>
    <row r="273">
      <c r="A273" s="25"/>
      <c r="B273" s="17" t="s">
        <v>1033</v>
      </c>
      <c r="C273" s="17">
        <v>7.739969599E9</v>
      </c>
      <c r="D273" s="17"/>
      <c r="E273" s="55"/>
      <c r="F273" s="52"/>
      <c r="G273" s="52"/>
      <c r="H273" s="52"/>
      <c r="I273" s="52"/>
      <c r="J273" s="37" t="s">
        <v>930</v>
      </c>
      <c r="K273" s="17" t="s">
        <v>931</v>
      </c>
      <c r="L273" s="52"/>
      <c r="M273" s="52"/>
      <c r="N273" s="56" t="s">
        <v>13</v>
      </c>
      <c r="O273" s="55"/>
      <c r="P273" s="55"/>
      <c r="Q273" s="52"/>
      <c r="R273" s="52"/>
      <c r="S273" s="55"/>
      <c r="T273" s="52"/>
      <c r="U273" s="55"/>
      <c r="V273" s="52"/>
      <c r="W273" s="52"/>
      <c r="X273" s="55"/>
      <c r="Y273" s="55"/>
      <c r="Z273" s="55"/>
      <c r="AA273" s="37"/>
      <c r="AB273" s="28"/>
      <c r="AC273" s="24"/>
      <c r="AD273" s="24"/>
    </row>
    <row r="274">
      <c r="A274" s="25"/>
      <c r="B274" s="17" t="s">
        <v>991</v>
      </c>
      <c r="C274" s="17">
        <v>6.202368484E9</v>
      </c>
      <c r="D274" s="17">
        <v>49.0</v>
      </c>
      <c r="E274" s="55" t="s">
        <v>367</v>
      </c>
      <c r="F274" s="52"/>
      <c r="G274" s="37" t="s">
        <v>375</v>
      </c>
      <c r="H274" s="37" t="s">
        <v>407</v>
      </c>
      <c r="I274" s="37" t="s">
        <v>1017</v>
      </c>
      <c r="J274" s="37" t="s">
        <v>930</v>
      </c>
      <c r="K274" s="17" t="s">
        <v>931</v>
      </c>
      <c r="L274" s="37" t="s">
        <v>932</v>
      </c>
      <c r="M274" s="37" t="s">
        <v>1034</v>
      </c>
      <c r="N274" s="56" t="s">
        <v>9</v>
      </c>
      <c r="O274" s="55" t="s">
        <v>4</v>
      </c>
      <c r="P274" s="55" t="s">
        <v>4</v>
      </c>
      <c r="Q274" s="37" t="s">
        <v>444</v>
      </c>
      <c r="R274" s="52"/>
      <c r="S274" s="55" t="s">
        <v>4</v>
      </c>
      <c r="T274" s="37" t="s">
        <v>1035</v>
      </c>
      <c r="U274" s="55" t="s">
        <v>380</v>
      </c>
      <c r="V274" s="52"/>
      <c r="W274" s="37" t="s">
        <v>937</v>
      </c>
      <c r="X274" s="55" t="s">
        <v>4</v>
      </c>
      <c r="Y274" s="55" t="s">
        <v>4</v>
      </c>
      <c r="Z274" s="55" t="s">
        <v>4</v>
      </c>
      <c r="AA274" s="37" t="s">
        <v>391</v>
      </c>
      <c r="AB274" s="28"/>
      <c r="AC274" s="24"/>
      <c r="AD274" s="24"/>
    </row>
    <row r="275">
      <c r="A275" s="25"/>
      <c r="B275" s="17" t="s">
        <v>1036</v>
      </c>
      <c r="C275" s="17">
        <v>9.650501192E9</v>
      </c>
      <c r="D275" s="17">
        <v>34.0</v>
      </c>
      <c r="E275" s="55" t="s">
        <v>367</v>
      </c>
      <c r="F275" s="52"/>
      <c r="G275" s="37" t="s">
        <v>518</v>
      </c>
      <c r="H275" s="37" t="s">
        <v>407</v>
      </c>
      <c r="I275" s="37" t="s">
        <v>518</v>
      </c>
      <c r="J275" s="37" t="s">
        <v>930</v>
      </c>
      <c r="K275" s="17" t="s">
        <v>931</v>
      </c>
      <c r="L275" s="37" t="s">
        <v>932</v>
      </c>
      <c r="M275" s="37" t="s">
        <v>1037</v>
      </c>
      <c r="N275" s="56" t="s">
        <v>9</v>
      </c>
      <c r="O275" s="55" t="s">
        <v>4</v>
      </c>
      <c r="P275" s="55" t="s">
        <v>4</v>
      </c>
      <c r="Q275" s="37" t="s">
        <v>444</v>
      </c>
      <c r="R275" s="52"/>
      <c r="S275" s="55" t="s">
        <v>4</v>
      </c>
      <c r="T275" s="37" t="s">
        <v>1038</v>
      </c>
      <c r="U275" s="55" t="s">
        <v>4</v>
      </c>
      <c r="V275" s="37" t="s">
        <v>1039</v>
      </c>
      <c r="W275" s="37" t="s">
        <v>1040</v>
      </c>
      <c r="X275" s="55" t="s">
        <v>4</v>
      </c>
      <c r="Y275" s="55" t="s">
        <v>4</v>
      </c>
      <c r="Z275" s="55" t="s">
        <v>4</v>
      </c>
      <c r="AA275" s="37" t="s">
        <v>391</v>
      </c>
      <c r="AB275" s="28"/>
      <c r="AC275" s="24"/>
      <c r="AD275" s="24"/>
    </row>
    <row r="276">
      <c r="A276" s="25"/>
      <c r="B276" s="17" t="s">
        <v>1041</v>
      </c>
      <c r="C276" s="17">
        <v>9.934019475E9</v>
      </c>
      <c r="D276" s="17">
        <v>36.0</v>
      </c>
      <c r="E276" s="55" t="s">
        <v>367</v>
      </c>
      <c r="F276" s="52"/>
      <c r="G276" s="37" t="s">
        <v>518</v>
      </c>
      <c r="H276" s="37" t="s">
        <v>1042</v>
      </c>
      <c r="I276" s="37" t="s">
        <v>518</v>
      </c>
      <c r="J276" s="37" t="s">
        <v>930</v>
      </c>
      <c r="K276" s="17" t="s">
        <v>931</v>
      </c>
      <c r="L276" s="37" t="s">
        <v>1043</v>
      </c>
      <c r="M276" s="37" t="s">
        <v>1044</v>
      </c>
      <c r="N276" s="56" t="s">
        <v>9</v>
      </c>
      <c r="O276" s="55" t="s">
        <v>4</v>
      </c>
      <c r="P276" s="55" t="s">
        <v>4</v>
      </c>
      <c r="Q276" s="37" t="s">
        <v>444</v>
      </c>
      <c r="R276" s="52"/>
      <c r="S276" s="55" t="s">
        <v>4</v>
      </c>
      <c r="T276" s="37" t="s">
        <v>1045</v>
      </c>
      <c r="U276" s="55" t="s">
        <v>4</v>
      </c>
      <c r="V276" s="37" t="s">
        <v>1046</v>
      </c>
      <c r="W276" s="37" t="s">
        <v>1040</v>
      </c>
      <c r="X276" s="55" t="s">
        <v>4</v>
      </c>
      <c r="Y276" s="55" t="s">
        <v>4</v>
      </c>
      <c r="Z276" s="55" t="s">
        <v>4</v>
      </c>
      <c r="AA276" s="37" t="s">
        <v>391</v>
      </c>
      <c r="AB276" s="28"/>
      <c r="AC276" s="24"/>
      <c r="AD276" s="24"/>
    </row>
    <row r="277">
      <c r="A277" s="25"/>
      <c r="B277" s="17" t="s">
        <v>1047</v>
      </c>
      <c r="C277" s="17">
        <v>9.973950437E9</v>
      </c>
      <c r="D277" s="17">
        <v>55.0</v>
      </c>
      <c r="E277" s="55" t="s">
        <v>367</v>
      </c>
      <c r="F277" s="52"/>
      <c r="G277" s="37" t="s">
        <v>375</v>
      </c>
      <c r="H277" s="37" t="s">
        <v>637</v>
      </c>
      <c r="I277" s="37" t="s">
        <v>1048</v>
      </c>
      <c r="J277" s="37" t="s">
        <v>930</v>
      </c>
      <c r="K277" s="17" t="s">
        <v>931</v>
      </c>
      <c r="L277" s="37" t="s">
        <v>932</v>
      </c>
      <c r="M277" s="37" t="s">
        <v>1049</v>
      </c>
      <c r="N277" s="56" t="s">
        <v>9</v>
      </c>
      <c r="O277" s="55" t="s">
        <v>4</v>
      </c>
      <c r="P277" s="55" t="s">
        <v>4</v>
      </c>
      <c r="Q277" s="37" t="s">
        <v>444</v>
      </c>
      <c r="R277" s="52"/>
      <c r="S277" s="55" t="s">
        <v>4</v>
      </c>
      <c r="T277" s="37" t="s">
        <v>1050</v>
      </c>
      <c r="U277" s="55" t="s">
        <v>4</v>
      </c>
      <c r="V277" s="37" t="s">
        <v>1051</v>
      </c>
      <c r="W277" s="37" t="s">
        <v>1040</v>
      </c>
      <c r="X277" s="55" t="s">
        <v>4</v>
      </c>
      <c r="Y277" s="55" t="s">
        <v>4</v>
      </c>
      <c r="Z277" s="55" t="s">
        <v>4</v>
      </c>
      <c r="AA277" s="37" t="s">
        <v>391</v>
      </c>
      <c r="AB277" s="28"/>
      <c r="AC277" s="24"/>
      <c r="AD277" s="24"/>
    </row>
    <row r="278">
      <c r="A278" s="31"/>
      <c r="B278" s="17" t="s">
        <v>1052</v>
      </c>
      <c r="C278" s="18">
        <v>9.931730841E9</v>
      </c>
      <c r="D278" s="26">
        <v>33.0</v>
      </c>
      <c r="E278" s="55" t="s">
        <v>367</v>
      </c>
      <c r="F278" s="26" t="s">
        <v>441</v>
      </c>
      <c r="G278" s="26" t="s">
        <v>551</v>
      </c>
      <c r="H278" s="26" t="s">
        <v>383</v>
      </c>
      <c r="I278" s="26" t="s">
        <v>880</v>
      </c>
      <c r="J278" s="37" t="s">
        <v>930</v>
      </c>
      <c r="K278" s="17" t="s">
        <v>931</v>
      </c>
      <c r="L278" s="26" t="s">
        <v>1053</v>
      </c>
      <c r="M278" s="26" t="s">
        <v>1044</v>
      </c>
      <c r="N278" s="56" t="s">
        <v>9</v>
      </c>
      <c r="O278" s="55" t="s">
        <v>4</v>
      </c>
      <c r="P278" s="55" t="s">
        <v>4</v>
      </c>
      <c r="Q278" s="26" t="s">
        <v>867</v>
      </c>
      <c r="R278" s="26" t="s">
        <v>652</v>
      </c>
      <c r="S278" s="55" t="s">
        <v>4</v>
      </c>
      <c r="T278" s="37"/>
      <c r="U278" s="55" t="s">
        <v>4</v>
      </c>
      <c r="V278" s="37"/>
      <c r="W278" s="37" t="s">
        <v>869</v>
      </c>
      <c r="X278" s="55" t="s">
        <v>4</v>
      </c>
      <c r="Y278" s="55" t="s">
        <v>4</v>
      </c>
      <c r="Z278" s="55" t="s">
        <v>4</v>
      </c>
      <c r="AA278" s="37" t="s">
        <v>391</v>
      </c>
      <c r="AB278" s="28"/>
      <c r="AC278" s="24"/>
      <c r="AD278" s="24"/>
    </row>
    <row r="279">
      <c r="A279" s="32"/>
      <c r="B279" s="33"/>
      <c r="C279" s="34"/>
      <c r="D279" s="26"/>
      <c r="E279" s="55"/>
      <c r="F279" s="26"/>
      <c r="G279" s="26"/>
      <c r="H279" s="26"/>
      <c r="I279" s="26"/>
      <c r="J279" s="37"/>
      <c r="K279" s="17"/>
      <c r="L279" s="26"/>
      <c r="M279" s="26"/>
      <c r="N279" s="56"/>
      <c r="O279" s="55"/>
      <c r="P279" s="55"/>
      <c r="Q279" s="26"/>
      <c r="R279" s="26"/>
      <c r="S279" s="55"/>
      <c r="T279" s="37"/>
      <c r="U279" s="55"/>
      <c r="V279" s="37"/>
      <c r="W279" s="37"/>
      <c r="X279" s="55"/>
      <c r="Y279" s="55"/>
      <c r="Z279" s="55"/>
      <c r="AA279" s="37"/>
      <c r="AB279" s="33"/>
      <c r="AC279" s="24"/>
      <c r="AD279" s="24"/>
    </row>
    <row r="280">
      <c r="A280" s="16" t="s">
        <v>1054</v>
      </c>
      <c r="B280" s="53" t="s">
        <v>1055</v>
      </c>
      <c r="C280" s="53">
        <v>7.250067597E9</v>
      </c>
      <c r="D280" s="53">
        <v>35.0</v>
      </c>
      <c r="E280" s="55" t="s">
        <v>405</v>
      </c>
      <c r="F280" s="53" t="s">
        <v>1056</v>
      </c>
      <c r="G280" s="53" t="s">
        <v>375</v>
      </c>
      <c r="H280" s="53" t="s">
        <v>383</v>
      </c>
      <c r="I280" s="53" t="s">
        <v>1057</v>
      </c>
      <c r="J280" s="26" t="s">
        <v>1058</v>
      </c>
      <c r="K280" s="37" t="s">
        <v>1059</v>
      </c>
      <c r="L280" s="53" t="s">
        <v>1060</v>
      </c>
      <c r="M280" s="53" t="s">
        <v>1061</v>
      </c>
      <c r="N280" s="56" t="s">
        <v>9</v>
      </c>
      <c r="O280" s="55" t="s">
        <v>4</v>
      </c>
      <c r="P280" s="55" t="s">
        <v>4</v>
      </c>
      <c r="Q280" s="53"/>
      <c r="R280" s="53"/>
      <c r="S280" s="55" t="s">
        <v>4</v>
      </c>
      <c r="T280" s="37"/>
      <c r="U280" s="55" t="s">
        <v>4</v>
      </c>
      <c r="V280" s="37"/>
      <c r="W280" s="37" t="s">
        <v>869</v>
      </c>
      <c r="X280" s="55" t="s">
        <v>4</v>
      </c>
      <c r="Y280" s="55" t="s">
        <v>4</v>
      </c>
      <c r="Z280" s="55" t="s">
        <v>4</v>
      </c>
      <c r="AA280" s="37" t="s">
        <v>391</v>
      </c>
      <c r="AB280" s="28"/>
      <c r="AC280" s="24"/>
      <c r="AD280" s="24"/>
    </row>
    <row r="281">
      <c r="A281" s="25"/>
      <c r="B281" s="53" t="s">
        <v>1062</v>
      </c>
      <c r="C281" s="53">
        <v>7.782031609E9</v>
      </c>
      <c r="D281" s="53">
        <v>45.0</v>
      </c>
      <c r="E281" s="55" t="s">
        <v>367</v>
      </c>
      <c r="F281" s="53" t="s">
        <v>374</v>
      </c>
      <c r="G281" s="53" t="s">
        <v>375</v>
      </c>
      <c r="H281" s="53" t="s">
        <v>418</v>
      </c>
      <c r="I281" s="53" t="s">
        <v>1063</v>
      </c>
      <c r="J281" s="26" t="s">
        <v>1058</v>
      </c>
      <c r="K281" s="37" t="s">
        <v>1059</v>
      </c>
      <c r="L281" s="53" t="s">
        <v>1060</v>
      </c>
      <c r="M281" s="53" t="s">
        <v>1061</v>
      </c>
      <c r="N281" s="56" t="s">
        <v>9</v>
      </c>
      <c r="O281" s="55" t="s">
        <v>4</v>
      </c>
      <c r="P281" s="55" t="s">
        <v>4</v>
      </c>
      <c r="Q281" s="53" t="s">
        <v>867</v>
      </c>
      <c r="R281" s="53"/>
      <c r="S281" s="55" t="s">
        <v>4</v>
      </c>
      <c r="T281" s="37"/>
      <c r="U281" s="55" t="s">
        <v>4</v>
      </c>
      <c r="V281" s="37"/>
      <c r="W281" s="37" t="s">
        <v>869</v>
      </c>
      <c r="X281" s="55" t="s">
        <v>4</v>
      </c>
      <c r="Y281" s="55" t="s">
        <v>4</v>
      </c>
      <c r="Z281" s="55" t="s">
        <v>4</v>
      </c>
      <c r="AA281" s="37" t="s">
        <v>391</v>
      </c>
      <c r="AB281" s="28"/>
      <c r="AC281" s="24"/>
      <c r="AD281" s="24"/>
    </row>
    <row r="282">
      <c r="A282" s="25"/>
      <c r="B282" s="53" t="s">
        <v>1064</v>
      </c>
      <c r="C282" s="53">
        <v>7.631687849E9</v>
      </c>
      <c r="D282" s="53">
        <v>33.0</v>
      </c>
      <c r="E282" s="55" t="s">
        <v>405</v>
      </c>
      <c r="F282" s="53" t="s">
        <v>1056</v>
      </c>
      <c r="G282" s="53" t="s">
        <v>375</v>
      </c>
      <c r="H282" s="53" t="s">
        <v>418</v>
      </c>
      <c r="I282" s="53" t="s">
        <v>1057</v>
      </c>
      <c r="J282" s="26" t="s">
        <v>1058</v>
      </c>
      <c r="K282" s="37" t="s">
        <v>1059</v>
      </c>
      <c r="L282" s="53" t="s">
        <v>1060</v>
      </c>
      <c r="M282" s="53" t="s">
        <v>1061</v>
      </c>
      <c r="N282" s="56" t="s">
        <v>9</v>
      </c>
      <c r="O282" s="55" t="s">
        <v>4</v>
      </c>
      <c r="P282" s="55" t="s">
        <v>4</v>
      </c>
      <c r="Q282" s="53" t="s">
        <v>867</v>
      </c>
      <c r="R282" s="53" t="s">
        <v>652</v>
      </c>
      <c r="S282" s="55" t="s">
        <v>4</v>
      </c>
      <c r="T282" s="37"/>
      <c r="U282" s="55" t="s">
        <v>4</v>
      </c>
      <c r="V282" s="37"/>
      <c r="W282" s="37" t="s">
        <v>869</v>
      </c>
      <c r="X282" s="55" t="s">
        <v>4</v>
      </c>
      <c r="Y282" s="55" t="s">
        <v>4</v>
      </c>
      <c r="Z282" s="55" t="s">
        <v>4</v>
      </c>
      <c r="AA282" s="37" t="s">
        <v>391</v>
      </c>
      <c r="AB282" s="28"/>
      <c r="AC282" s="24"/>
      <c r="AD282" s="24"/>
    </row>
    <row r="283">
      <c r="A283" s="25"/>
      <c r="B283" s="53" t="s">
        <v>1065</v>
      </c>
      <c r="C283" s="53">
        <v>9.1220362E9</v>
      </c>
      <c r="D283" s="53">
        <v>29.0</v>
      </c>
      <c r="E283" s="55" t="s">
        <v>367</v>
      </c>
      <c r="F283" s="53" t="s">
        <v>925</v>
      </c>
      <c r="G283" s="53" t="s">
        <v>375</v>
      </c>
      <c r="H283" s="53" t="s">
        <v>1066</v>
      </c>
      <c r="I283" s="53" t="s">
        <v>1067</v>
      </c>
      <c r="J283" s="26" t="s">
        <v>1058</v>
      </c>
      <c r="K283" s="37" t="s">
        <v>1059</v>
      </c>
      <c r="L283" s="53" t="s">
        <v>1068</v>
      </c>
      <c r="M283" s="53" t="s">
        <v>1061</v>
      </c>
      <c r="N283" s="56" t="s">
        <v>9</v>
      </c>
      <c r="O283" s="55" t="s">
        <v>4</v>
      </c>
      <c r="P283" s="55" t="s">
        <v>4</v>
      </c>
      <c r="Q283" s="53" t="s">
        <v>867</v>
      </c>
      <c r="R283" s="53" t="s">
        <v>652</v>
      </c>
      <c r="S283" s="55" t="s">
        <v>4</v>
      </c>
      <c r="T283" s="37"/>
      <c r="U283" s="55" t="s">
        <v>4</v>
      </c>
      <c r="V283" s="37"/>
      <c r="W283" s="37" t="s">
        <v>869</v>
      </c>
      <c r="X283" s="55" t="s">
        <v>4</v>
      </c>
      <c r="Y283" s="55" t="s">
        <v>4</v>
      </c>
      <c r="Z283" s="55" t="s">
        <v>4</v>
      </c>
      <c r="AA283" s="37" t="s">
        <v>391</v>
      </c>
      <c r="AB283" s="28"/>
      <c r="AC283" s="24"/>
      <c r="AD283" s="24"/>
    </row>
    <row r="284">
      <c r="A284" s="25"/>
      <c r="B284" s="53" t="s">
        <v>1069</v>
      </c>
      <c r="C284" s="53">
        <v>8.877843337E9</v>
      </c>
      <c r="D284" s="53">
        <v>29.0</v>
      </c>
      <c r="E284" s="55" t="s">
        <v>367</v>
      </c>
      <c r="F284" s="53" t="s">
        <v>925</v>
      </c>
      <c r="G284" s="53" t="s">
        <v>375</v>
      </c>
      <c r="H284" s="53" t="s">
        <v>418</v>
      </c>
      <c r="I284" s="53" t="s">
        <v>840</v>
      </c>
      <c r="J284" s="26" t="s">
        <v>1058</v>
      </c>
      <c r="K284" s="37" t="s">
        <v>1059</v>
      </c>
      <c r="L284" s="53" t="s">
        <v>1060</v>
      </c>
      <c r="M284" s="53" t="s">
        <v>1061</v>
      </c>
      <c r="N284" s="56" t="s">
        <v>9</v>
      </c>
      <c r="O284" s="55" t="s">
        <v>4</v>
      </c>
      <c r="P284" s="55" t="s">
        <v>380</v>
      </c>
      <c r="Q284" s="53"/>
      <c r="R284" s="53"/>
      <c r="S284" s="55" t="s">
        <v>4</v>
      </c>
      <c r="T284" s="37"/>
      <c r="U284" s="55" t="s">
        <v>4</v>
      </c>
      <c r="V284" s="37"/>
      <c r="W284" s="37" t="s">
        <v>869</v>
      </c>
      <c r="X284" s="55" t="s">
        <v>4</v>
      </c>
      <c r="Y284" s="55" t="s">
        <v>4</v>
      </c>
      <c r="Z284" s="55" t="s">
        <v>4</v>
      </c>
      <c r="AA284" s="37" t="s">
        <v>391</v>
      </c>
      <c r="AB284" s="28"/>
      <c r="AC284" s="24"/>
      <c r="AD284" s="24"/>
    </row>
    <row r="285">
      <c r="A285" s="25"/>
      <c r="B285" s="53" t="s">
        <v>1070</v>
      </c>
      <c r="C285" s="53">
        <v>9.523837176E9</v>
      </c>
      <c r="D285" s="53">
        <v>25.0</v>
      </c>
      <c r="E285" s="55" t="s">
        <v>367</v>
      </c>
      <c r="F285" s="53" t="s">
        <v>925</v>
      </c>
      <c r="G285" s="53" t="s">
        <v>375</v>
      </c>
      <c r="H285" s="53" t="s">
        <v>407</v>
      </c>
      <c r="I285" s="53" t="s">
        <v>902</v>
      </c>
      <c r="J285" s="26" t="s">
        <v>1058</v>
      </c>
      <c r="K285" s="37" t="s">
        <v>1059</v>
      </c>
      <c r="L285" s="53" t="s">
        <v>1060</v>
      </c>
      <c r="M285" s="53" t="s">
        <v>1061</v>
      </c>
      <c r="N285" s="56" t="s">
        <v>9</v>
      </c>
      <c r="O285" s="55" t="s">
        <v>4</v>
      </c>
      <c r="P285" s="55" t="s">
        <v>4</v>
      </c>
      <c r="Q285" s="53" t="s">
        <v>867</v>
      </c>
      <c r="R285" s="53"/>
      <c r="S285" s="55" t="s">
        <v>4</v>
      </c>
      <c r="T285" s="37"/>
      <c r="U285" s="55" t="s">
        <v>4</v>
      </c>
      <c r="V285" s="37"/>
      <c r="W285" s="37" t="s">
        <v>869</v>
      </c>
      <c r="X285" s="55" t="s">
        <v>4</v>
      </c>
      <c r="Y285" s="55" t="s">
        <v>4</v>
      </c>
      <c r="Z285" s="55" t="s">
        <v>4</v>
      </c>
      <c r="AA285" s="37" t="s">
        <v>391</v>
      </c>
      <c r="AB285" s="28"/>
      <c r="AC285" s="24"/>
      <c r="AD285" s="24"/>
    </row>
    <row r="286">
      <c r="A286" s="25"/>
      <c r="B286" s="53" t="s">
        <v>1071</v>
      </c>
      <c r="C286" s="53">
        <v>9.162375949E9</v>
      </c>
      <c r="D286" s="53">
        <v>56.0</v>
      </c>
      <c r="E286" s="55" t="s">
        <v>367</v>
      </c>
      <c r="F286" s="53" t="s">
        <v>429</v>
      </c>
      <c r="G286" s="53" t="s">
        <v>375</v>
      </c>
      <c r="H286" s="53" t="s">
        <v>383</v>
      </c>
      <c r="I286" s="53" t="s">
        <v>377</v>
      </c>
      <c r="J286" s="26" t="s">
        <v>1058</v>
      </c>
      <c r="K286" s="37" t="s">
        <v>1059</v>
      </c>
      <c r="L286" s="53" t="s">
        <v>1060</v>
      </c>
      <c r="M286" s="53" t="s">
        <v>1072</v>
      </c>
      <c r="N286" s="56" t="s">
        <v>9</v>
      </c>
      <c r="O286" s="55" t="s">
        <v>4</v>
      </c>
      <c r="P286" s="55" t="s">
        <v>4</v>
      </c>
      <c r="Q286" s="53" t="s">
        <v>867</v>
      </c>
      <c r="R286" s="53" t="s">
        <v>652</v>
      </c>
      <c r="S286" s="55" t="s">
        <v>4</v>
      </c>
      <c r="T286" s="37"/>
      <c r="U286" s="55" t="s">
        <v>4</v>
      </c>
      <c r="V286" s="37"/>
      <c r="W286" s="37" t="s">
        <v>869</v>
      </c>
      <c r="X286" s="55" t="s">
        <v>4</v>
      </c>
      <c r="Y286" s="55" t="s">
        <v>4</v>
      </c>
      <c r="Z286" s="55" t="s">
        <v>4</v>
      </c>
      <c r="AA286" s="37" t="s">
        <v>391</v>
      </c>
      <c r="AB286" s="28"/>
      <c r="AC286" s="24"/>
      <c r="AD286" s="24"/>
    </row>
    <row r="287">
      <c r="A287" s="25"/>
      <c r="B287" s="53" t="s">
        <v>1073</v>
      </c>
      <c r="C287" s="26">
        <v>7.258810506E9</v>
      </c>
      <c r="D287" s="53">
        <v>22.0</v>
      </c>
      <c r="E287" s="55" t="s">
        <v>367</v>
      </c>
      <c r="F287" s="53" t="s">
        <v>1074</v>
      </c>
      <c r="G287" s="53" t="s">
        <v>375</v>
      </c>
      <c r="H287" s="53" t="s">
        <v>637</v>
      </c>
      <c r="I287" s="53" t="s">
        <v>377</v>
      </c>
      <c r="J287" s="26" t="s">
        <v>1058</v>
      </c>
      <c r="K287" s="37" t="s">
        <v>1059</v>
      </c>
      <c r="L287" s="53" t="s">
        <v>1060</v>
      </c>
      <c r="M287" s="53" t="s">
        <v>1072</v>
      </c>
      <c r="N287" s="56" t="s">
        <v>9</v>
      </c>
      <c r="O287" s="55" t="s">
        <v>4</v>
      </c>
      <c r="P287" s="55" t="s">
        <v>4</v>
      </c>
      <c r="Q287" s="53" t="s">
        <v>867</v>
      </c>
      <c r="R287" s="53" t="s">
        <v>652</v>
      </c>
      <c r="S287" s="55" t="s">
        <v>4</v>
      </c>
      <c r="T287" s="37"/>
      <c r="U287" s="55" t="s">
        <v>4</v>
      </c>
      <c r="V287" s="37"/>
      <c r="W287" s="37" t="s">
        <v>869</v>
      </c>
      <c r="X287" s="55" t="s">
        <v>4</v>
      </c>
      <c r="Y287" s="55" t="s">
        <v>4</v>
      </c>
      <c r="Z287" s="55" t="s">
        <v>4</v>
      </c>
      <c r="AA287" s="37" t="s">
        <v>391</v>
      </c>
      <c r="AB287" s="28"/>
      <c r="AC287" s="24"/>
      <c r="AD287" s="24"/>
    </row>
    <row r="288">
      <c r="A288" s="25"/>
      <c r="B288" s="53" t="s">
        <v>1075</v>
      </c>
      <c r="C288" s="53">
        <v>8.969428464E9</v>
      </c>
      <c r="D288" s="53">
        <v>35.0</v>
      </c>
      <c r="E288" s="55" t="s">
        <v>367</v>
      </c>
      <c r="F288" s="53" t="s">
        <v>441</v>
      </c>
      <c r="G288" s="53" t="s">
        <v>375</v>
      </c>
      <c r="H288" s="53" t="s">
        <v>383</v>
      </c>
      <c r="I288" s="53" t="s">
        <v>377</v>
      </c>
      <c r="J288" s="26" t="s">
        <v>1058</v>
      </c>
      <c r="K288" s="37" t="s">
        <v>1059</v>
      </c>
      <c r="L288" s="53" t="s">
        <v>1060</v>
      </c>
      <c r="M288" s="53" t="s">
        <v>1072</v>
      </c>
      <c r="N288" s="56" t="s">
        <v>9</v>
      </c>
      <c r="O288" s="55" t="s">
        <v>4</v>
      </c>
      <c r="P288" s="55" t="s">
        <v>4</v>
      </c>
      <c r="Q288" s="53" t="s">
        <v>867</v>
      </c>
      <c r="R288" s="53" t="s">
        <v>652</v>
      </c>
      <c r="S288" s="55" t="s">
        <v>4</v>
      </c>
      <c r="T288" s="37"/>
      <c r="U288" s="55" t="s">
        <v>4</v>
      </c>
      <c r="V288" s="37"/>
      <c r="W288" s="37" t="s">
        <v>869</v>
      </c>
      <c r="X288" s="55" t="s">
        <v>4</v>
      </c>
      <c r="Y288" s="55" t="s">
        <v>4</v>
      </c>
      <c r="Z288" s="55" t="s">
        <v>4</v>
      </c>
      <c r="AA288" s="37" t="s">
        <v>391</v>
      </c>
      <c r="AB288" s="28"/>
      <c r="AC288" s="24"/>
      <c r="AD288" s="24"/>
    </row>
    <row r="289">
      <c r="A289" s="25"/>
      <c r="B289" s="53" t="s">
        <v>1076</v>
      </c>
      <c r="C289" s="53">
        <v>9.97308057E9</v>
      </c>
      <c r="D289" s="53"/>
      <c r="E289" s="55" t="s">
        <v>367</v>
      </c>
      <c r="F289" s="53" t="s">
        <v>429</v>
      </c>
      <c r="G289" s="53" t="s">
        <v>375</v>
      </c>
      <c r="H289" s="53" t="s">
        <v>383</v>
      </c>
      <c r="I289" s="53" t="s">
        <v>377</v>
      </c>
      <c r="J289" s="26" t="s">
        <v>1058</v>
      </c>
      <c r="K289" s="37" t="s">
        <v>1059</v>
      </c>
      <c r="L289" s="53" t="s">
        <v>1060</v>
      </c>
      <c r="M289" s="53" t="s">
        <v>1061</v>
      </c>
      <c r="N289" s="56" t="s">
        <v>9</v>
      </c>
      <c r="O289" s="55" t="s">
        <v>4</v>
      </c>
      <c r="P289" s="55" t="s">
        <v>4</v>
      </c>
      <c r="Q289" s="53"/>
      <c r="R289" s="53"/>
      <c r="S289" s="55" t="s">
        <v>4</v>
      </c>
      <c r="T289" s="37"/>
      <c r="U289" s="55" t="s">
        <v>4</v>
      </c>
      <c r="V289" s="37"/>
      <c r="W289" s="37" t="s">
        <v>869</v>
      </c>
      <c r="X289" s="55" t="s">
        <v>4</v>
      </c>
      <c r="Y289" s="55" t="s">
        <v>4</v>
      </c>
      <c r="Z289" s="55" t="s">
        <v>4</v>
      </c>
      <c r="AA289" s="37" t="s">
        <v>391</v>
      </c>
      <c r="AB289" s="28"/>
      <c r="AC289" s="24"/>
      <c r="AD289" s="24"/>
    </row>
    <row r="290">
      <c r="A290" s="25"/>
      <c r="B290" s="53" t="s">
        <v>1077</v>
      </c>
      <c r="C290" s="53">
        <v>8.8093012E9</v>
      </c>
      <c r="D290" s="53"/>
      <c r="E290" s="55"/>
      <c r="F290" s="53"/>
      <c r="G290" s="53"/>
      <c r="H290" s="53"/>
      <c r="I290" s="53"/>
      <c r="J290" s="19"/>
      <c r="K290" s="37" t="s">
        <v>1059</v>
      </c>
      <c r="L290" s="53"/>
      <c r="M290" s="53"/>
      <c r="N290" s="56" t="s">
        <v>13</v>
      </c>
      <c r="O290" s="55"/>
      <c r="P290" s="55"/>
      <c r="Q290" s="53"/>
      <c r="R290" s="53"/>
      <c r="S290" s="55"/>
      <c r="T290" s="37"/>
      <c r="U290" s="55"/>
      <c r="V290" s="37"/>
      <c r="W290" s="37"/>
      <c r="X290" s="55"/>
      <c r="Y290" s="55"/>
      <c r="Z290" s="55"/>
      <c r="AA290" s="37"/>
      <c r="AB290" s="28"/>
      <c r="AC290" s="24"/>
      <c r="AD290" s="24"/>
    </row>
    <row r="291">
      <c r="A291" s="25"/>
      <c r="B291" s="53" t="s">
        <v>1078</v>
      </c>
      <c r="C291" s="53">
        <v>7.76683456E9</v>
      </c>
      <c r="D291" s="53"/>
      <c r="E291" s="55"/>
      <c r="F291" s="53"/>
      <c r="G291" s="53"/>
      <c r="H291" s="53"/>
      <c r="I291" s="53"/>
      <c r="J291" s="19"/>
      <c r="K291" s="37" t="s">
        <v>1059</v>
      </c>
      <c r="L291" s="53"/>
      <c r="M291" s="53"/>
      <c r="N291" s="56" t="s">
        <v>9</v>
      </c>
      <c r="O291" s="55"/>
      <c r="P291" s="55"/>
      <c r="Q291" s="53"/>
      <c r="R291" s="53"/>
      <c r="S291" s="55"/>
      <c r="T291" s="37"/>
      <c r="U291" s="55"/>
      <c r="V291" s="37"/>
      <c r="W291" s="37"/>
      <c r="X291" s="55"/>
      <c r="Y291" s="55"/>
      <c r="Z291" s="55"/>
      <c r="AA291" s="37"/>
      <c r="AB291" s="17" t="s">
        <v>1079</v>
      </c>
      <c r="AC291" s="24"/>
      <c r="AD291" s="24"/>
    </row>
    <row r="292">
      <c r="A292" s="25"/>
      <c r="B292" s="53" t="s">
        <v>1080</v>
      </c>
      <c r="C292" s="53">
        <v>7.8701618E9</v>
      </c>
      <c r="D292" s="53">
        <v>33.0</v>
      </c>
      <c r="E292" s="55" t="s">
        <v>367</v>
      </c>
      <c r="F292" s="53" t="s">
        <v>1081</v>
      </c>
      <c r="G292" s="53" t="s">
        <v>375</v>
      </c>
      <c r="H292" s="53" t="s">
        <v>407</v>
      </c>
      <c r="I292" s="53" t="s">
        <v>825</v>
      </c>
      <c r="J292" s="26" t="s">
        <v>1058</v>
      </c>
      <c r="K292" s="37" t="s">
        <v>1059</v>
      </c>
      <c r="L292" s="53" t="s">
        <v>1060</v>
      </c>
      <c r="M292" s="53" t="s">
        <v>1061</v>
      </c>
      <c r="N292" s="56" t="s">
        <v>9</v>
      </c>
      <c r="O292" s="55" t="s">
        <v>4</v>
      </c>
      <c r="P292" s="55" t="s">
        <v>4</v>
      </c>
      <c r="Q292" s="53"/>
      <c r="R292" s="53"/>
      <c r="S292" s="55" t="s">
        <v>4</v>
      </c>
      <c r="T292" s="37"/>
      <c r="U292" s="55" t="s">
        <v>4</v>
      </c>
      <c r="V292" s="37"/>
      <c r="W292" s="37" t="s">
        <v>869</v>
      </c>
      <c r="X292" s="55" t="s">
        <v>4</v>
      </c>
      <c r="Y292" s="55" t="s">
        <v>4</v>
      </c>
      <c r="Z292" s="55" t="s">
        <v>4</v>
      </c>
      <c r="AA292" s="37" t="s">
        <v>391</v>
      </c>
      <c r="AB292" s="28"/>
      <c r="AC292" s="24"/>
      <c r="AD292" s="24"/>
    </row>
    <row r="293">
      <c r="A293" s="25"/>
      <c r="B293" s="53" t="s">
        <v>1082</v>
      </c>
      <c r="C293" s="53">
        <v>6.201361489E9</v>
      </c>
      <c r="D293" s="53">
        <v>36.0</v>
      </c>
      <c r="E293" s="55" t="s">
        <v>405</v>
      </c>
      <c r="F293" s="53" t="s">
        <v>1083</v>
      </c>
      <c r="G293" s="53" t="s">
        <v>375</v>
      </c>
      <c r="H293" s="53" t="s">
        <v>383</v>
      </c>
      <c r="I293" s="53" t="s">
        <v>377</v>
      </c>
      <c r="J293" s="26" t="s">
        <v>1058</v>
      </c>
      <c r="K293" s="37" t="s">
        <v>1059</v>
      </c>
      <c r="L293" s="53" t="s">
        <v>1060</v>
      </c>
      <c r="M293" s="53" t="s">
        <v>1061</v>
      </c>
      <c r="N293" s="56" t="s">
        <v>9</v>
      </c>
      <c r="O293" s="55" t="s">
        <v>4</v>
      </c>
      <c r="P293" s="55" t="s">
        <v>4</v>
      </c>
      <c r="Q293" s="53" t="s">
        <v>888</v>
      </c>
      <c r="R293" s="53"/>
      <c r="S293" s="55" t="s">
        <v>4</v>
      </c>
      <c r="T293" s="37"/>
      <c r="U293" s="55" t="s">
        <v>4</v>
      </c>
      <c r="V293" s="37"/>
      <c r="W293" s="37" t="s">
        <v>869</v>
      </c>
      <c r="X293" s="55" t="s">
        <v>4</v>
      </c>
      <c r="Y293" s="55" t="s">
        <v>4</v>
      </c>
      <c r="Z293" s="55" t="s">
        <v>4</v>
      </c>
      <c r="AA293" s="37" t="s">
        <v>391</v>
      </c>
      <c r="AB293" s="28"/>
      <c r="AC293" s="24"/>
      <c r="AD293" s="24"/>
    </row>
    <row r="294">
      <c r="A294" s="25"/>
      <c r="B294" s="53" t="s">
        <v>1084</v>
      </c>
      <c r="C294" s="53">
        <v>8.521710511E9</v>
      </c>
      <c r="D294" s="53"/>
      <c r="E294" s="55"/>
      <c r="F294" s="53"/>
      <c r="G294" s="53"/>
      <c r="H294" s="53"/>
      <c r="I294" s="53"/>
      <c r="J294" s="19"/>
      <c r="K294" s="37" t="s">
        <v>1059</v>
      </c>
      <c r="L294" s="53"/>
      <c r="M294" s="53"/>
      <c r="N294" s="56" t="s">
        <v>23</v>
      </c>
      <c r="O294" s="55"/>
      <c r="P294" s="55"/>
      <c r="Q294" s="53"/>
      <c r="R294" s="53"/>
      <c r="S294" s="55"/>
      <c r="T294" s="37"/>
      <c r="U294" s="55"/>
      <c r="V294" s="37"/>
      <c r="W294" s="37"/>
      <c r="X294" s="55"/>
      <c r="Y294" s="55"/>
      <c r="Z294" s="55"/>
      <c r="AA294" s="37"/>
      <c r="AB294" s="28"/>
      <c r="AC294" s="24"/>
      <c r="AD294" s="24"/>
    </row>
    <row r="295">
      <c r="A295" s="25"/>
      <c r="B295" s="53" t="s">
        <v>1085</v>
      </c>
      <c r="C295" s="53">
        <v>9.155238041E9</v>
      </c>
      <c r="D295" s="53"/>
      <c r="E295" s="55"/>
      <c r="F295" s="53"/>
      <c r="G295" s="53"/>
      <c r="H295" s="53"/>
      <c r="I295" s="53"/>
      <c r="J295" s="19"/>
      <c r="K295" s="37" t="s">
        <v>1059</v>
      </c>
      <c r="L295" s="53"/>
      <c r="M295" s="53"/>
      <c r="N295" s="56" t="s">
        <v>13</v>
      </c>
      <c r="O295" s="55"/>
      <c r="P295" s="55"/>
      <c r="Q295" s="53"/>
      <c r="R295" s="53"/>
      <c r="S295" s="55"/>
      <c r="T295" s="37"/>
      <c r="U295" s="55"/>
      <c r="V295" s="37"/>
      <c r="W295" s="37"/>
      <c r="X295" s="55"/>
      <c r="Y295" s="55"/>
      <c r="Z295" s="55"/>
      <c r="AA295" s="37"/>
      <c r="AB295" s="28"/>
      <c r="AC295" s="24"/>
      <c r="AD295" s="24"/>
    </row>
    <row r="296">
      <c r="A296" s="25"/>
      <c r="B296" s="53" t="s">
        <v>1086</v>
      </c>
      <c r="C296" s="53">
        <v>9.162880879E9</v>
      </c>
      <c r="D296" s="53">
        <v>30.0</v>
      </c>
      <c r="E296" s="55" t="s">
        <v>367</v>
      </c>
      <c r="F296" s="53" t="s">
        <v>441</v>
      </c>
      <c r="G296" s="53" t="s">
        <v>375</v>
      </c>
      <c r="H296" s="53" t="s">
        <v>1087</v>
      </c>
      <c r="I296" s="53" t="s">
        <v>1088</v>
      </c>
      <c r="J296" s="26" t="s">
        <v>1058</v>
      </c>
      <c r="K296" s="37" t="s">
        <v>1059</v>
      </c>
      <c r="L296" s="53" t="s">
        <v>1060</v>
      </c>
      <c r="M296" s="53" t="s">
        <v>1089</v>
      </c>
      <c r="N296" s="56" t="s">
        <v>9</v>
      </c>
      <c r="O296" s="55" t="s">
        <v>4</v>
      </c>
      <c r="P296" s="55" t="s">
        <v>4</v>
      </c>
      <c r="Q296" s="53"/>
      <c r="R296" s="53"/>
      <c r="S296" s="55" t="s">
        <v>4</v>
      </c>
      <c r="T296" s="37"/>
      <c r="U296" s="55" t="s">
        <v>4</v>
      </c>
      <c r="V296" s="37"/>
      <c r="W296" s="37" t="s">
        <v>869</v>
      </c>
      <c r="X296" s="55" t="s">
        <v>4</v>
      </c>
      <c r="Y296" s="55" t="s">
        <v>4</v>
      </c>
      <c r="Z296" s="55" t="s">
        <v>4</v>
      </c>
      <c r="AA296" s="37" t="s">
        <v>391</v>
      </c>
      <c r="AB296" s="28"/>
      <c r="AC296" s="24"/>
      <c r="AD296" s="24"/>
    </row>
    <row r="297">
      <c r="A297" s="25"/>
      <c r="B297" s="53" t="s">
        <v>1090</v>
      </c>
      <c r="C297" s="53">
        <v>9.13578471E9</v>
      </c>
      <c r="D297" s="53"/>
      <c r="E297" s="55"/>
      <c r="F297" s="53"/>
      <c r="G297" s="53"/>
      <c r="H297" s="53"/>
      <c r="I297" s="53"/>
      <c r="J297" s="19"/>
      <c r="K297" s="37" t="s">
        <v>1059</v>
      </c>
      <c r="L297" s="53"/>
      <c r="M297" s="53"/>
      <c r="N297" s="56" t="s">
        <v>23</v>
      </c>
      <c r="O297" s="55"/>
      <c r="P297" s="55"/>
      <c r="Q297" s="53"/>
      <c r="R297" s="53"/>
      <c r="S297" s="55"/>
      <c r="T297" s="37"/>
      <c r="U297" s="55"/>
      <c r="V297" s="37"/>
      <c r="W297" s="37"/>
      <c r="X297" s="55"/>
      <c r="Y297" s="55"/>
      <c r="Z297" s="55"/>
      <c r="AA297" s="37"/>
      <c r="AB297" s="28"/>
      <c r="AC297" s="24"/>
      <c r="AD297" s="24"/>
    </row>
    <row r="298">
      <c r="A298" s="25"/>
      <c r="B298" s="53" t="s">
        <v>1091</v>
      </c>
      <c r="C298" s="53">
        <v>9.693680804E9</v>
      </c>
      <c r="D298" s="53">
        <v>34.0</v>
      </c>
      <c r="E298" s="55" t="s">
        <v>405</v>
      </c>
      <c r="F298" s="53" t="s">
        <v>1056</v>
      </c>
      <c r="G298" s="53" t="s">
        <v>375</v>
      </c>
      <c r="H298" s="53" t="s">
        <v>383</v>
      </c>
      <c r="I298" s="53" t="s">
        <v>377</v>
      </c>
      <c r="J298" s="26" t="s">
        <v>1058</v>
      </c>
      <c r="K298" s="37" t="s">
        <v>1059</v>
      </c>
      <c r="L298" s="53" t="s">
        <v>1060</v>
      </c>
      <c r="M298" s="53" t="s">
        <v>1092</v>
      </c>
      <c r="N298" s="56" t="s">
        <v>9</v>
      </c>
      <c r="O298" s="55" t="s">
        <v>4</v>
      </c>
      <c r="P298" s="55" t="s">
        <v>4</v>
      </c>
      <c r="Q298" s="53"/>
      <c r="R298" s="53"/>
      <c r="S298" s="55" t="s">
        <v>380</v>
      </c>
      <c r="T298" s="37"/>
      <c r="U298" s="55" t="s">
        <v>380</v>
      </c>
      <c r="V298" s="37"/>
      <c r="W298" s="37" t="s">
        <v>869</v>
      </c>
      <c r="X298" s="55" t="s">
        <v>4</v>
      </c>
      <c r="Y298" s="55" t="s">
        <v>4</v>
      </c>
      <c r="Z298" s="55" t="s">
        <v>4</v>
      </c>
      <c r="AA298" s="37" t="s">
        <v>391</v>
      </c>
      <c r="AB298" s="28"/>
      <c r="AC298" s="24"/>
      <c r="AD298" s="24"/>
    </row>
    <row r="299">
      <c r="A299" s="25"/>
      <c r="B299" s="53" t="s">
        <v>1093</v>
      </c>
      <c r="C299" s="53">
        <v>7.542002246E9</v>
      </c>
      <c r="D299" s="53">
        <v>32.0</v>
      </c>
      <c r="E299" s="55" t="s">
        <v>405</v>
      </c>
      <c r="F299" s="53" t="s">
        <v>1056</v>
      </c>
      <c r="G299" s="53" t="s">
        <v>375</v>
      </c>
      <c r="H299" s="53" t="s">
        <v>407</v>
      </c>
      <c r="I299" s="53" t="s">
        <v>825</v>
      </c>
      <c r="J299" s="26" t="s">
        <v>1058</v>
      </c>
      <c r="K299" s="37" t="s">
        <v>1059</v>
      </c>
      <c r="L299" s="53" t="s">
        <v>1060</v>
      </c>
      <c r="M299" s="53" t="s">
        <v>1061</v>
      </c>
      <c r="N299" s="56" t="s">
        <v>9</v>
      </c>
      <c r="O299" s="55" t="s">
        <v>4</v>
      </c>
      <c r="P299" s="55" t="s">
        <v>4</v>
      </c>
      <c r="Q299" s="53" t="s">
        <v>867</v>
      </c>
      <c r="R299" s="53" t="s">
        <v>652</v>
      </c>
      <c r="S299" s="55" t="s">
        <v>4</v>
      </c>
      <c r="T299" s="37"/>
      <c r="U299" s="55" t="s">
        <v>4</v>
      </c>
      <c r="V299" s="37"/>
      <c r="W299" s="37" t="s">
        <v>869</v>
      </c>
      <c r="X299" s="55" t="s">
        <v>4</v>
      </c>
      <c r="Y299" s="55" t="s">
        <v>4</v>
      </c>
      <c r="Z299" s="55" t="s">
        <v>4</v>
      </c>
      <c r="AA299" s="37" t="s">
        <v>391</v>
      </c>
      <c r="AB299" s="28"/>
      <c r="AC299" s="24"/>
      <c r="AD299" s="24"/>
    </row>
    <row r="300">
      <c r="A300" s="25"/>
      <c r="B300" s="53" t="s">
        <v>1094</v>
      </c>
      <c r="C300" s="53">
        <v>9.771139826E9</v>
      </c>
      <c r="D300" s="53"/>
      <c r="E300" s="55"/>
      <c r="F300" s="53"/>
      <c r="G300" s="53"/>
      <c r="H300" s="53"/>
      <c r="I300" s="53"/>
      <c r="J300" s="26" t="s">
        <v>1058</v>
      </c>
      <c r="K300" s="37" t="s">
        <v>1059</v>
      </c>
      <c r="L300" s="53" t="s">
        <v>1060</v>
      </c>
      <c r="M300" s="53" t="s">
        <v>1061</v>
      </c>
      <c r="N300" s="56" t="s">
        <v>9</v>
      </c>
      <c r="O300" s="55" t="s">
        <v>4</v>
      </c>
      <c r="P300" s="55"/>
      <c r="Q300" s="53"/>
      <c r="R300" s="53"/>
      <c r="S300" s="55" t="s">
        <v>4</v>
      </c>
      <c r="T300" s="37"/>
      <c r="U300" s="55" t="s">
        <v>4</v>
      </c>
      <c r="V300" s="37"/>
      <c r="W300" s="37"/>
      <c r="X300" s="55" t="s">
        <v>4</v>
      </c>
      <c r="Y300" s="55" t="s">
        <v>4</v>
      </c>
      <c r="Z300" s="55" t="s">
        <v>4</v>
      </c>
      <c r="AA300" s="37" t="s">
        <v>391</v>
      </c>
      <c r="AB300" s="28"/>
      <c r="AC300" s="24"/>
      <c r="AD300" s="24"/>
    </row>
    <row r="301">
      <c r="A301" s="25"/>
      <c r="B301" s="53" t="s">
        <v>1095</v>
      </c>
      <c r="C301" s="53">
        <v>8.340645622E9</v>
      </c>
      <c r="D301" s="53">
        <v>22.0</v>
      </c>
      <c r="E301" s="55" t="s">
        <v>367</v>
      </c>
      <c r="F301" s="53" t="s">
        <v>925</v>
      </c>
      <c r="G301" s="53" t="s">
        <v>375</v>
      </c>
      <c r="H301" s="53" t="s">
        <v>383</v>
      </c>
      <c r="I301" s="53" t="s">
        <v>1096</v>
      </c>
      <c r="J301" s="26" t="s">
        <v>1058</v>
      </c>
      <c r="K301" s="37" t="s">
        <v>1059</v>
      </c>
      <c r="L301" s="53" t="s">
        <v>1060</v>
      </c>
      <c r="M301" s="53" t="s">
        <v>1061</v>
      </c>
      <c r="N301" s="56" t="s">
        <v>9</v>
      </c>
      <c r="O301" s="55" t="s">
        <v>4</v>
      </c>
      <c r="P301" s="55" t="s">
        <v>4</v>
      </c>
      <c r="Q301" s="53"/>
      <c r="R301" s="53"/>
      <c r="S301" s="55" t="s">
        <v>4</v>
      </c>
      <c r="T301" s="37"/>
      <c r="U301" s="55" t="s">
        <v>4</v>
      </c>
      <c r="V301" s="37"/>
      <c r="W301" s="37" t="s">
        <v>869</v>
      </c>
      <c r="X301" s="55" t="s">
        <v>4</v>
      </c>
      <c r="Y301" s="55" t="s">
        <v>4</v>
      </c>
      <c r="Z301" s="55" t="s">
        <v>4</v>
      </c>
      <c r="AA301" s="37" t="s">
        <v>391</v>
      </c>
      <c r="AB301" s="28"/>
      <c r="AC301" s="24"/>
      <c r="AD301" s="24"/>
    </row>
    <row r="302">
      <c r="A302" s="25"/>
      <c r="B302" s="53" t="s">
        <v>1097</v>
      </c>
      <c r="C302" s="53">
        <v>9.123447073E9</v>
      </c>
      <c r="D302" s="53">
        <v>19.0</v>
      </c>
      <c r="E302" s="55" t="s">
        <v>367</v>
      </c>
      <c r="F302" s="53" t="s">
        <v>1074</v>
      </c>
      <c r="G302" s="53" t="s">
        <v>375</v>
      </c>
      <c r="H302" s="53" t="s">
        <v>926</v>
      </c>
      <c r="I302" s="53" t="s">
        <v>377</v>
      </c>
      <c r="J302" s="26" t="s">
        <v>1058</v>
      </c>
      <c r="K302" s="37" t="s">
        <v>1059</v>
      </c>
      <c r="L302" s="53" t="s">
        <v>1060</v>
      </c>
      <c r="M302" s="53" t="s">
        <v>1061</v>
      </c>
      <c r="N302" s="56" t="s">
        <v>9</v>
      </c>
      <c r="O302" s="55" t="s">
        <v>4</v>
      </c>
      <c r="P302" s="55" t="s">
        <v>4</v>
      </c>
      <c r="Q302" s="53" t="s">
        <v>867</v>
      </c>
      <c r="R302" s="53" t="s">
        <v>652</v>
      </c>
      <c r="S302" s="55" t="s">
        <v>4</v>
      </c>
      <c r="T302" s="37"/>
      <c r="U302" s="55" t="s">
        <v>4</v>
      </c>
      <c r="V302" s="37"/>
      <c r="W302" s="37" t="s">
        <v>869</v>
      </c>
      <c r="X302" s="55" t="s">
        <v>4</v>
      </c>
      <c r="Y302" s="55" t="s">
        <v>4</v>
      </c>
      <c r="Z302" s="55" t="s">
        <v>4</v>
      </c>
      <c r="AA302" s="37" t="s">
        <v>391</v>
      </c>
      <c r="AB302" s="28"/>
      <c r="AC302" s="24"/>
      <c r="AD302" s="24"/>
    </row>
    <row r="303">
      <c r="A303" s="25"/>
      <c r="B303" s="53" t="s">
        <v>1098</v>
      </c>
      <c r="C303" s="53">
        <v>7.488901148E9</v>
      </c>
      <c r="D303" s="53">
        <v>19.0</v>
      </c>
      <c r="E303" s="55" t="s">
        <v>367</v>
      </c>
      <c r="F303" s="53" t="s">
        <v>920</v>
      </c>
      <c r="G303" s="53" t="s">
        <v>375</v>
      </c>
      <c r="H303" s="53" t="s">
        <v>926</v>
      </c>
      <c r="I303" s="53" t="s">
        <v>377</v>
      </c>
      <c r="J303" s="26" t="s">
        <v>1058</v>
      </c>
      <c r="K303" s="37" t="s">
        <v>1059</v>
      </c>
      <c r="L303" s="53" t="s">
        <v>1060</v>
      </c>
      <c r="M303" s="53" t="s">
        <v>1061</v>
      </c>
      <c r="N303" s="56" t="s">
        <v>9</v>
      </c>
      <c r="O303" s="55" t="s">
        <v>4</v>
      </c>
      <c r="P303" s="55" t="s">
        <v>4</v>
      </c>
      <c r="Q303" s="53" t="s">
        <v>867</v>
      </c>
      <c r="R303" s="53" t="s">
        <v>652</v>
      </c>
      <c r="S303" s="55" t="s">
        <v>4</v>
      </c>
      <c r="T303" s="37"/>
      <c r="U303" s="55" t="s">
        <v>4</v>
      </c>
      <c r="V303" s="37"/>
      <c r="W303" s="37" t="s">
        <v>869</v>
      </c>
      <c r="X303" s="55" t="s">
        <v>4</v>
      </c>
      <c r="Y303" s="55" t="s">
        <v>4</v>
      </c>
      <c r="Z303" s="55" t="s">
        <v>4</v>
      </c>
      <c r="AA303" s="37" t="s">
        <v>391</v>
      </c>
      <c r="AB303" s="28"/>
      <c r="AC303" s="24"/>
      <c r="AD303" s="24"/>
    </row>
    <row r="304">
      <c r="A304" s="25"/>
      <c r="B304" s="53" t="s">
        <v>1099</v>
      </c>
      <c r="C304" s="53">
        <v>8.298545911E9</v>
      </c>
      <c r="D304" s="53"/>
      <c r="E304" s="55"/>
      <c r="F304" s="53"/>
      <c r="G304" s="53"/>
      <c r="H304" s="53"/>
      <c r="I304" s="53"/>
      <c r="J304" s="19"/>
      <c r="K304" s="37" t="s">
        <v>1059</v>
      </c>
      <c r="L304" s="53"/>
      <c r="M304" s="53"/>
      <c r="N304" s="56" t="s">
        <v>27</v>
      </c>
      <c r="O304" s="55"/>
      <c r="P304" s="55"/>
      <c r="Q304" s="53"/>
      <c r="R304" s="53"/>
      <c r="S304" s="55"/>
      <c r="T304" s="37"/>
      <c r="U304" s="55"/>
      <c r="V304" s="37"/>
      <c r="W304" s="37"/>
      <c r="X304" s="55"/>
      <c r="Y304" s="55"/>
      <c r="Z304" s="55"/>
      <c r="AA304" s="37"/>
      <c r="AB304" s="28"/>
      <c r="AC304" s="24"/>
      <c r="AD304" s="24"/>
    </row>
    <row r="305">
      <c r="A305" s="25"/>
      <c r="B305" s="53" t="s">
        <v>1100</v>
      </c>
      <c r="C305" s="53">
        <v>9.934813501E9</v>
      </c>
      <c r="D305" s="53">
        <v>45.0</v>
      </c>
      <c r="E305" s="55" t="s">
        <v>405</v>
      </c>
      <c r="F305" s="53" t="s">
        <v>636</v>
      </c>
      <c r="G305" s="53" t="s">
        <v>375</v>
      </c>
      <c r="H305" s="53" t="s">
        <v>418</v>
      </c>
      <c r="I305" s="53" t="s">
        <v>1057</v>
      </c>
      <c r="J305" s="26" t="s">
        <v>1058</v>
      </c>
      <c r="K305" s="37" t="s">
        <v>1059</v>
      </c>
      <c r="L305" s="53" t="s">
        <v>1068</v>
      </c>
      <c r="M305" s="53" t="s">
        <v>1101</v>
      </c>
      <c r="N305" s="56" t="s">
        <v>9</v>
      </c>
      <c r="O305" s="55" t="s">
        <v>4</v>
      </c>
      <c r="P305" s="55" t="s">
        <v>4</v>
      </c>
      <c r="Q305" s="53" t="s">
        <v>867</v>
      </c>
      <c r="R305" s="53" t="s">
        <v>652</v>
      </c>
      <c r="S305" s="55" t="s">
        <v>4</v>
      </c>
      <c r="T305" s="37"/>
      <c r="U305" s="55" t="s">
        <v>4</v>
      </c>
      <c r="V305" s="37"/>
      <c r="W305" s="37" t="s">
        <v>869</v>
      </c>
      <c r="X305" s="55" t="s">
        <v>4</v>
      </c>
      <c r="Y305" s="55" t="s">
        <v>4</v>
      </c>
      <c r="Z305" s="55" t="s">
        <v>4</v>
      </c>
      <c r="AA305" s="37" t="s">
        <v>391</v>
      </c>
      <c r="AB305" s="28"/>
      <c r="AC305" s="24"/>
      <c r="AD305" s="24"/>
    </row>
    <row r="306">
      <c r="A306" s="25"/>
      <c r="B306" s="53" t="s">
        <v>1102</v>
      </c>
      <c r="C306" s="53">
        <v>7.667144607E9</v>
      </c>
      <c r="D306" s="53">
        <v>18.0</v>
      </c>
      <c r="E306" s="55" t="s">
        <v>367</v>
      </c>
      <c r="F306" s="53" t="s">
        <v>925</v>
      </c>
      <c r="G306" s="53" t="s">
        <v>375</v>
      </c>
      <c r="H306" s="53" t="s">
        <v>926</v>
      </c>
      <c r="I306" s="53" t="s">
        <v>1103</v>
      </c>
      <c r="J306" s="26" t="s">
        <v>1058</v>
      </c>
      <c r="K306" s="37" t="s">
        <v>1059</v>
      </c>
      <c r="L306" s="53" t="s">
        <v>1060</v>
      </c>
      <c r="M306" s="53" t="s">
        <v>1104</v>
      </c>
      <c r="N306" s="56" t="s">
        <v>9</v>
      </c>
      <c r="O306" s="55" t="s">
        <v>4</v>
      </c>
      <c r="P306" s="55" t="s">
        <v>4</v>
      </c>
      <c r="Q306" s="53"/>
      <c r="R306" s="53"/>
      <c r="S306" s="55" t="s">
        <v>4</v>
      </c>
      <c r="T306" s="37"/>
      <c r="U306" s="55" t="s">
        <v>4</v>
      </c>
      <c r="V306" s="37"/>
      <c r="W306" s="37"/>
      <c r="X306" s="55" t="s">
        <v>4</v>
      </c>
      <c r="Y306" s="55" t="s">
        <v>4</v>
      </c>
      <c r="Z306" s="55" t="s">
        <v>4</v>
      </c>
      <c r="AA306" s="37" t="s">
        <v>391</v>
      </c>
      <c r="AB306" s="28"/>
      <c r="AC306" s="24"/>
      <c r="AD306" s="24"/>
    </row>
    <row r="307">
      <c r="A307" s="25"/>
      <c r="B307" s="53" t="s">
        <v>1105</v>
      </c>
      <c r="C307" s="53">
        <v>7.739679907E9</v>
      </c>
      <c r="D307" s="53">
        <v>40.0</v>
      </c>
      <c r="E307" s="55"/>
      <c r="F307" s="53" t="s">
        <v>1106</v>
      </c>
      <c r="G307" s="53" t="s">
        <v>375</v>
      </c>
      <c r="H307" s="53" t="s">
        <v>663</v>
      </c>
      <c r="I307" s="53" t="s">
        <v>384</v>
      </c>
      <c r="J307" s="26" t="s">
        <v>1058</v>
      </c>
      <c r="K307" s="37" t="s">
        <v>1059</v>
      </c>
      <c r="L307" s="53" t="s">
        <v>1068</v>
      </c>
      <c r="M307" s="53"/>
      <c r="N307" s="56" t="s">
        <v>9</v>
      </c>
      <c r="O307" s="55" t="s">
        <v>4</v>
      </c>
      <c r="P307" s="55" t="s">
        <v>380</v>
      </c>
      <c r="Q307" s="53"/>
      <c r="R307" s="53"/>
      <c r="S307" s="55" t="s">
        <v>4</v>
      </c>
      <c r="T307" s="37"/>
      <c r="U307" s="55" t="s">
        <v>380</v>
      </c>
      <c r="V307" s="37"/>
      <c r="W307" s="37" t="s">
        <v>869</v>
      </c>
      <c r="X307" s="55" t="s">
        <v>4</v>
      </c>
      <c r="Y307" s="55" t="s">
        <v>4</v>
      </c>
      <c r="Z307" s="55" t="s">
        <v>4</v>
      </c>
      <c r="AA307" s="37" t="s">
        <v>391</v>
      </c>
      <c r="AB307" s="28"/>
      <c r="AC307" s="24"/>
      <c r="AD307" s="24"/>
    </row>
    <row r="308">
      <c r="A308" s="25"/>
      <c r="B308" s="53" t="s">
        <v>1107</v>
      </c>
      <c r="C308" s="53">
        <v>9.304298942E9</v>
      </c>
      <c r="D308" s="53">
        <v>23.0</v>
      </c>
      <c r="E308" s="55" t="s">
        <v>367</v>
      </c>
      <c r="F308" s="53" t="s">
        <v>1108</v>
      </c>
      <c r="G308" s="53" t="s">
        <v>375</v>
      </c>
      <c r="H308" s="53" t="s">
        <v>663</v>
      </c>
      <c r="I308" s="53" t="s">
        <v>377</v>
      </c>
      <c r="J308" s="26" t="s">
        <v>1058</v>
      </c>
      <c r="K308" s="37" t="s">
        <v>1059</v>
      </c>
      <c r="L308" s="53" t="s">
        <v>1068</v>
      </c>
      <c r="M308" s="53" t="s">
        <v>1109</v>
      </c>
      <c r="N308" s="56" t="s">
        <v>9</v>
      </c>
      <c r="O308" s="55" t="s">
        <v>4</v>
      </c>
      <c r="P308" s="55" t="s">
        <v>4</v>
      </c>
      <c r="Q308" s="53"/>
      <c r="R308" s="53"/>
      <c r="S308" s="55" t="s">
        <v>4</v>
      </c>
      <c r="T308" s="37"/>
      <c r="U308" s="55" t="s">
        <v>4</v>
      </c>
      <c r="V308" s="37"/>
      <c r="W308" s="37" t="s">
        <v>869</v>
      </c>
      <c r="X308" s="55" t="s">
        <v>4</v>
      </c>
      <c r="Y308" s="55" t="s">
        <v>4</v>
      </c>
      <c r="Z308" s="55" t="s">
        <v>4</v>
      </c>
      <c r="AA308" s="37" t="s">
        <v>391</v>
      </c>
      <c r="AB308" s="28"/>
      <c r="AC308" s="24"/>
      <c r="AD308" s="24"/>
    </row>
    <row r="309">
      <c r="A309" s="25"/>
      <c r="B309" s="53" t="s">
        <v>1110</v>
      </c>
      <c r="C309" s="53">
        <v>9.905470638E9</v>
      </c>
      <c r="D309" s="53">
        <v>29.0</v>
      </c>
      <c r="E309" s="55" t="s">
        <v>367</v>
      </c>
      <c r="F309" s="53" t="s">
        <v>1074</v>
      </c>
      <c r="G309" s="53" t="s">
        <v>375</v>
      </c>
      <c r="H309" s="53" t="s">
        <v>383</v>
      </c>
      <c r="I309" s="53" t="s">
        <v>1111</v>
      </c>
      <c r="J309" s="26" t="s">
        <v>1058</v>
      </c>
      <c r="K309" s="37" t="s">
        <v>1059</v>
      </c>
      <c r="L309" s="53" t="s">
        <v>1112</v>
      </c>
      <c r="M309" s="53" t="s">
        <v>1113</v>
      </c>
      <c r="N309" s="56" t="s">
        <v>9</v>
      </c>
      <c r="O309" s="55" t="s">
        <v>4</v>
      </c>
      <c r="P309" s="55" t="s">
        <v>4</v>
      </c>
      <c r="Q309" s="53"/>
      <c r="R309" s="53"/>
      <c r="S309" s="55" t="s">
        <v>4</v>
      </c>
      <c r="T309" s="37"/>
      <c r="U309" s="55" t="s">
        <v>4</v>
      </c>
      <c r="V309" s="37"/>
      <c r="W309" s="37" t="s">
        <v>869</v>
      </c>
      <c r="X309" s="55" t="s">
        <v>4</v>
      </c>
      <c r="Y309" s="55" t="s">
        <v>4</v>
      </c>
      <c r="Z309" s="55" t="s">
        <v>4</v>
      </c>
      <c r="AA309" s="37" t="s">
        <v>391</v>
      </c>
      <c r="AB309" s="28"/>
      <c r="AC309" s="24"/>
      <c r="AD309" s="24"/>
    </row>
    <row r="310">
      <c r="A310" s="25"/>
      <c r="B310" s="53" t="s">
        <v>453</v>
      </c>
      <c r="C310" s="53">
        <v>7.762822074E9</v>
      </c>
      <c r="D310" s="53">
        <v>28.0</v>
      </c>
      <c r="E310" s="55" t="s">
        <v>367</v>
      </c>
      <c r="F310" s="53" t="s">
        <v>1074</v>
      </c>
      <c r="G310" s="53" t="s">
        <v>375</v>
      </c>
      <c r="H310" s="53" t="s">
        <v>1066</v>
      </c>
      <c r="I310" s="53" t="s">
        <v>377</v>
      </c>
      <c r="J310" s="26" t="s">
        <v>1058</v>
      </c>
      <c r="K310" s="37" t="s">
        <v>1059</v>
      </c>
      <c r="L310" s="53" t="s">
        <v>1061</v>
      </c>
      <c r="M310" s="53" t="s">
        <v>1114</v>
      </c>
      <c r="N310" s="56" t="s">
        <v>9</v>
      </c>
      <c r="O310" s="55" t="s">
        <v>4</v>
      </c>
      <c r="P310" s="55" t="s">
        <v>380</v>
      </c>
      <c r="Q310" s="53"/>
      <c r="R310" s="53"/>
      <c r="S310" s="55" t="s">
        <v>4</v>
      </c>
      <c r="T310" s="37"/>
      <c r="U310" s="55" t="s">
        <v>4</v>
      </c>
      <c r="V310" s="37"/>
      <c r="W310" s="37" t="s">
        <v>869</v>
      </c>
      <c r="X310" s="55" t="s">
        <v>4</v>
      </c>
      <c r="Y310" s="55" t="s">
        <v>4</v>
      </c>
      <c r="Z310" s="55" t="s">
        <v>4</v>
      </c>
      <c r="AA310" s="37" t="s">
        <v>391</v>
      </c>
      <c r="AB310" s="28"/>
      <c r="AC310" s="24"/>
      <c r="AD310" s="24"/>
    </row>
    <row r="311">
      <c r="A311" s="25"/>
      <c r="B311" s="53" t="s">
        <v>98</v>
      </c>
      <c r="C311" s="53">
        <v>6.204145586E9</v>
      </c>
      <c r="D311" s="53">
        <v>35.0</v>
      </c>
      <c r="E311" s="55" t="s">
        <v>367</v>
      </c>
      <c r="F311" s="53" t="s">
        <v>1115</v>
      </c>
      <c r="G311" s="53" t="s">
        <v>518</v>
      </c>
      <c r="H311" s="53"/>
      <c r="I311" s="53" t="s">
        <v>518</v>
      </c>
      <c r="J311" s="26" t="s">
        <v>1116</v>
      </c>
      <c r="K311" s="37" t="s">
        <v>1059</v>
      </c>
      <c r="L311" s="53"/>
      <c r="M311" s="53" t="s">
        <v>1117</v>
      </c>
      <c r="N311" s="56" t="s">
        <v>9</v>
      </c>
      <c r="O311" s="55" t="s">
        <v>380</v>
      </c>
      <c r="P311" s="55" t="s">
        <v>380</v>
      </c>
      <c r="Q311" s="53"/>
      <c r="R311" s="53"/>
      <c r="S311" s="55" t="s">
        <v>380</v>
      </c>
      <c r="T311" s="37"/>
      <c r="U311" s="55" t="s">
        <v>380</v>
      </c>
      <c r="V311" s="37"/>
      <c r="W311" s="37" t="s">
        <v>946</v>
      </c>
      <c r="X311" s="55" t="s">
        <v>4</v>
      </c>
      <c r="Y311" s="55" t="s">
        <v>380</v>
      </c>
      <c r="Z311" s="55" t="s">
        <v>4</v>
      </c>
      <c r="AA311" s="37" t="s">
        <v>391</v>
      </c>
      <c r="AB311" s="17" t="s">
        <v>1118</v>
      </c>
      <c r="AC311" s="24"/>
      <c r="AD311" s="24"/>
    </row>
    <row r="312">
      <c r="A312" s="25"/>
      <c r="B312" s="53" t="s">
        <v>1119</v>
      </c>
      <c r="C312" s="53">
        <v>8.294364226E9</v>
      </c>
      <c r="D312" s="53">
        <v>22.0</v>
      </c>
      <c r="E312" s="55" t="s">
        <v>367</v>
      </c>
      <c r="F312" s="53" t="s">
        <v>382</v>
      </c>
      <c r="G312" s="53" t="s">
        <v>375</v>
      </c>
      <c r="H312" s="53" t="s">
        <v>926</v>
      </c>
      <c r="I312" s="53" t="s">
        <v>384</v>
      </c>
      <c r="J312" s="26" t="s">
        <v>1058</v>
      </c>
      <c r="K312" s="37" t="s">
        <v>1059</v>
      </c>
      <c r="L312" s="53" t="s">
        <v>1112</v>
      </c>
      <c r="M312" s="53" t="s">
        <v>1120</v>
      </c>
      <c r="N312" s="56" t="s">
        <v>9</v>
      </c>
      <c r="O312" s="55" t="s">
        <v>4</v>
      </c>
      <c r="P312" s="55" t="s">
        <v>380</v>
      </c>
      <c r="Q312" s="53"/>
      <c r="R312" s="53"/>
      <c r="S312" s="55" t="s">
        <v>4</v>
      </c>
      <c r="T312" s="37" t="s">
        <v>1121</v>
      </c>
      <c r="U312" s="55" t="s">
        <v>4</v>
      </c>
      <c r="V312" s="37" t="s">
        <v>1122</v>
      </c>
      <c r="W312" s="37" t="s">
        <v>869</v>
      </c>
      <c r="X312" s="55" t="s">
        <v>4</v>
      </c>
      <c r="Y312" s="55" t="s">
        <v>380</v>
      </c>
      <c r="Z312" s="55" t="s">
        <v>4</v>
      </c>
      <c r="AA312" s="37" t="s">
        <v>391</v>
      </c>
      <c r="AB312" s="28"/>
      <c r="AC312" s="24"/>
      <c r="AD312" s="24"/>
    </row>
    <row r="313">
      <c r="A313" s="25"/>
      <c r="B313" s="53" t="s">
        <v>1123</v>
      </c>
      <c r="C313" s="53">
        <v>7.050666705E9</v>
      </c>
      <c r="D313" s="53">
        <v>24.0</v>
      </c>
      <c r="E313" s="55" t="s">
        <v>367</v>
      </c>
      <c r="F313" s="53" t="s">
        <v>441</v>
      </c>
      <c r="G313" s="53" t="s">
        <v>375</v>
      </c>
      <c r="H313" s="53" t="s">
        <v>418</v>
      </c>
      <c r="I313" s="53" t="s">
        <v>1124</v>
      </c>
      <c r="J313" s="26" t="s">
        <v>1058</v>
      </c>
      <c r="K313" s="37" t="s">
        <v>1059</v>
      </c>
      <c r="L313" s="53" t="s">
        <v>1112</v>
      </c>
      <c r="M313" s="53" t="s">
        <v>1125</v>
      </c>
      <c r="N313" s="56" t="s">
        <v>9</v>
      </c>
      <c r="O313" s="55" t="s">
        <v>4</v>
      </c>
      <c r="P313" s="55" t="s">
        <v>4</v>
      </c>
      <c r="Q313" s="53"/>
      <c r="R313" s="53"/>
      <c r="S313" s="55" t="s">
        <v>380</v>
      </c>
      <c r="T313" s="37"/>
      <c r="U313" s="55" t="s">
        <v>380</v>
      </c>
      <c r="V313" s="37"/>
      <c r="W313" s="37" t="s">
        <v>869</v>
      </c>
      <c r="X313" s="55" t="s">
        <v>4</v>
      </c>
      <c r="Y313" s="55" t="s">
        <v>4</v>
      </c>
      <c r="Z313" s="55" t="s">
        <v>4</v>
      </c>
      <c r="AA313" s="37" t="s">
        <v>391</v>
      </c>
      <c r="AB313" s="28"/>
      <c r="AC313" s="24"/>
      <c r="AD313" s="24"/>
    </row>
    <row r="314">
      <c r="A314" s="25"/>
      <c r="B314" s="53" t="s">
        <v>1126</v>
      </c>
      <c r="C314" s="53">
        <v>9.065032392E9</v>
      </c>
      <c r="D314" s="53"/>
      <c r="E314" s="55"/>
      <c r="F314" s="53"/>
      <c r="G314" s="53"/>
      <c r="H314" s="53"/>
      <c r="I314" s="53"/>
      <c r="J314" s="19"/>
      <c r="K314" s="37" t="s">
        <v>1059</v>
      </c>
      <c r="L314" s="53"/>
      <c r="M314" s="53"/>
      <c r="N314" s="56" t="s">
        <v>27</v>
      </c>
      <c r="O314" s="55"/>
      <c r="P314" s="55"/>
      <c r="Q314" s="53"/>
      <c r="R314" s="53"/>
      <c r="S314" s="55"/>
      <c r="T314" s="37"/>
      <c r="U314" s="55"/>
      <c r="V314" s="37"/>
      <c r="W314" s="37"/>
      <c r="X314" s="55"/>
      <c r="Y314" s="55"/>
      <c r="Z314" s="55"/>
      <c r="AA314" s="37"/>
      <c r="AB314" s="28"/>
      <c r="AC314" s="24"/>
      <c r="AD314" s="24"/>
    </row>
    <row r="315">
      <c r="A315" s="25"/>
      <c r="B315" s="53" t="s">
        <v>1127</v>
      </c>
      <c r="C315" s="53">
        <v>9.298014227E9</v>
      </c>
      <c r="D315" s="53"/>
      <c r="E315" s="55"/>
      <c r="F315" s="53"/>
      <c r="G315" s="53"/>
      <c r="H315" s="53"/>
      <c r="I315" s="53"/>
      <c r="J315" s="19"/>
      <c r="K315" s="37" t="s">
        <v>1059</v>
      </c>
      <c r="L315" s="53"/>
      <c r="M315" s="53"/>
      <c r="N315" s="56" t="s">
        <v>27</v>
      </c>
      <c r="O315" s="55"/>
      <c r="P315" s="55"/>
      <c r="Q315" s="53"/>
      <c r="R315" s="53"/>
      <c r="S315" s="55"/>
      <c r="T315" s="37"/>
      <c r="U315" s="55"/>
      <c r="V315" s="37"/>
      <c r="W315" s="37"/>
      <c r="X315" s="55"/>
      <c r="Y315" s="55"/>
      <c r="Z315" s="55"/>
      <c r="AA315" s="37"/>
      <c r="AB315" s="17" t="s">
        <v>916</v>
      </c>
      <c r="AC315" s="24"/>
      <c r="AD315" s="24"/>
    </row>
    <row r="316">
      <c r="A316" s="25"/>
      <c r="B316" s="53" t="s">
        <v>1128</v>
      </c>
      <c r="C316" s="53">
        <v>7.372872439E9</v>
      </c>
      <c r="D316" s="53"/>
      <c r="E316" s="55"/>
      <c r="F316" s="53"/>
      <c r="G316" s="53"/>
      <c r="H316" s="53"/>
      <c r="I316" s="53"/>
      <c r="J316" s="19"/>
      <c r="K316" s="37" t="s">
        <v>1059</v>
      </c>
      <c r="L316" s="53"/>
      <c r="M316" s="53"/>
      <c r="N316" s="56" t="s">
        <v>13</v>
      </c>
      <c r="O316" s="55"/>
      <c r="P316" s="55"/>
      <c r="Q316" s="53"/>
      <c r="R316" s="53"/>
      <c r="S316" s="55"/>
      <c r="T316" s="37"/>
      <c r="U316" s="55"/>
      <c r="V316" s="37"/>
      <c r="W316" s="37"/>
      <c r="X316" s="55"/>
      <c r="Y316" s="55"/>
      <c r="Z316" s="55"/>
      <c r="AA316" s="37"/>
      <c r="AB316" s="28"/>
      <c r="AC316" s="24"/>
      <c r="AD316" s="24"/>
    </row>
    <row r="317">
      <c r="A317" s="25"/>
      <c r="B317" s="53" t="s">
        <v>1129</v>
      </c>
      <c r="C317" s="53">
        <v>6.206658148E9</v>
      </c>
      <c r="D317" s="53">
        <v>28.0</v>
      </c>
      <c r="E317" s="55" t="s">
        <v>367</v>
      </c>
      <c r="F317" s="53"/>
      <c r="G317" s="53" t="s">
        <v>375</v>
      </c>
      <c r="H317" s="53" t="s">
        <v>1130</v>
      </c>
      <c r="I317" s="53" t="s">
        <v>1131</v>
      </c>
      <c r="J317" s="26" t="s">
        <v>1058</v>
      </c>
      <c r="K317" s="37" t="s">
        <v>1059</v>
      </c>
      <c r="L317" s="53" t="s">
        <v>1068</v>
      </c>
      <c r="M317" s="53" t="s">
        <v>1132</v>
      </c>
      <c r="N317" s="56" t="s">
        <v>9</v>
      </c>
      <c r="O317" s="55" t="s">
        <v>4</v>
      </c>
      <c r="P317" s="55" t="s">
        <v>380</v>
      </c>
      <c r="Q317" s="53"/>
      <c r="R317" s="53"/>
      <c r="S317" s="55" t="s">
        <v>380</v>
      </c>
      <c r="T317" s="37"/>
      <c r="U317" s="55" t="s">
        <v>380</v>
      </c>
      <c r="V317" s="37"/>
      <c r="W317" s="37" t="s">
        <v>869</v>
      </c>
      <c r="X317" s="55" t="s">
        <v>4</v>
      </c>
      <c r="Y317" s="55" t="s">
        <v>4</v>
      </c>
      <c r="Z317" s="55" t="s">
        <v>4</v>
      </c>
      <c r="AA317" s="37" t="s">
        <v>391</v>
      </c>
      <c r="AB317" s="28"/>
      <c r="AC317" s="24"/>
      <c r="AD317" s="24"/>
    </row>
    <row r="318">
      <c r="A318" s="25"/>
      <c r="B318" s="53" t="s">
        <v>1133</v>
      </c>
      <c r="C318" s="53">
        <v>9.771145018E9</v>
      </c>
      <c r="D318" s="53">
        <v>60.0</v>
      </c>
      <c r="E318" s="55" t="s">
        <v>367</v>
      </c>
      <c r="F318" s="53" t="s">
        <v>374</v>
      </c>
      <c r="G318" s="53" t="s">
        <v>375</v>
      </c>
      <c r="H318" s="53" t="s">
        <v>926</v>
      </c>
      <c r="I318" s="53" t="s">
        <v>377</v>
      </c>
      <c r="J318" s="26" t="s">
        <v>1058</v>
      </c>
      <c r="K318" s="37" t="s">
        <v>1059</v>
      </c>
      <c r="L318" s="53" t="s">
        <v>1068</v>
      </c>
      <c r="M318" s="53" t="s">
        <v>1061</v>
      </c>
      <c r="N318" s="56" t="s">
        <v>9</v>
      </c>
      <c r="O318" s="55" t="s">
        <v>4</v>
      </c>
      <c r="P318" s="55" t="s">
        <v>4</v>
      </c>
      <c r="Q318" s="53" t="s">
        <v>867</v>
      </c>
      <c r="R318" s="53" t="s">
        <v>652</v>
      </c>
      <c r="S318" s="55" t="s">
        <v>4</v>
      </c>
      <c r="T318" s="37"/>
      <c r="U318" s="55" t="s">
        <v>4</v>
      </c>
      <c r="V318" s="37"/>
      <c r="W318" s="37"/>
      <c r="X318" s="55" t="s">
        <v>4</v>
      </c>
      <c r="Y318" s="55" t="s">
        <v>4</v>
      </c>
      <c r="Z318" s="55" t="s">
        <v>4</v>
      </c>
      <c r="AA318" s="37" t="s">
        <v>391</v>
      </c>
      <c r="AB318" s="28"/>
      <c r="AC318" s="24"/>
      <c r="AD318" s="24"/>
    </row>
    <row r="319">
      <c r="A319" s="25"/>
      <c r="B319" s="53" t="s">
        <v>1134</v>
      </c>
      <c r="C319" s="53">
        <v>9.162937438E9</v>
      </c>
      <c r="D319" s="53">
        <v>30.0</v>
      </c>
      <c r="E319" s="55" t="s">
        <v>367</v>
      </c>
      <c r="F319" s="53"/>
      <c r="G319" s="53" t="s">
        <v>375</v>
      </c>
      <c r="H319" s="53"/>
      <c r="I319" s="53"/>
      <c r="J319" s="26" t="s">
        <v>1058</v>
      </c>
      <c r="K319" s="37" t="s">
        <v>1059</v>
      </c>
      <c r="L319" s="53" t="s">
        <v>1068</v>
      </c>
      <c r="M319" s="53" t="s">
        <v>1061</v>
      </c>
      <c r="N319" s="56" t="s">
        <v>9</v>
      </c>
      <c r="O319" s="55" t="s">
        <v>4</v>
      </c>
      <c r="P319" s="55" t="s">
        <v>380</v>
      </c>
      <c r="Q319" s="53"/>
      <c r="R319" s="53"/>
      <c r="S319" s="55" t="s">
        <v>4</v>
      </c>
      <c r="T319" s="37" t="s">
        <v>1121</v>
      </c>
      <c r="U319" s="55" t="s">
        <v>4</v>
      </c>
      <c r="V319" s="37" t="s">
        <v>1135</v>
      </c>
      <c r="W319" s="37" t="s">
        <v>869</v>
      </c>
      <c r="X319" s="55" t="s">
        <v>4</v>
      </c>
      <c r="Y319" s="55" t="s">
        <v>4</v>
      </c>
      <c r="Z319" s="55" t="s">
        <v>4</v>
      </c>
      <c r="AA319" s="37" t="s">
        <v>391</v>
      </c>
      <c r="AB319" s="28"/>
      <c r="AC319" s="24"/>
      <c r="AD319" s="24"/>
    </row>
    <row r="320">
      <c r="A320" s="25"/>
      <c r="B320" s="53" t="s">
        <v>89</v>
      </c>
      <c r="C320" s="53">
        <v>9.110956925E9</v>
      </c>
      <c r="D320" s="53">
        <v>46.0</v>
      </c>
      <c r="E320" s="55" t="s">
        <v>367</v>
      </c>
      <c r="F320" s="53" t="s">
        <v>374</v>
      </c>
      <c r="G320" s="53" t="s">
        <v>375</v>
      </c>
      <c r="H320" s="53" t="s">
        <v>383</v>
      </c>
      <c r="I320" s="53" t="s">
        <v>1136</v>
      </c>
      <c r="J320" s="26" t="s">
        <v>1058</v>
      </c>
      <c r="K320" s="37" t="s">
        <v>1059</v>
      </c>
      <c r="L320" s="53" t="s">
        <v>1068</v>
      </c>
      <c r="M320" s="53" t="s">
        <v>1137</v>
      </c>
      <c r="N320" s="56" t="s">
        <v>9</v>
      </c>
      <c r="O320" s="55" t="s">
        <v>4</v>
      </c>
      <c r="P320" s="55" t="s">
        <v>4</v>
      </c>
      <c r="Q320" s="53" t="s">
        <v>444</v>
      </c>
      <c r="R320" s="53"/>
      <c r="S320" s="55" t="s">
        <v>4</v>
      </c>
      <c r="T320" s="37" t="s">
        <v>768</v>
      </c>
      <c r="U320" s="55" t="s">
        <v>380</v>
      </c>
      <c r="V320" s="37"/>
      <c r="W320" s="37" t="s">
        <v>869</v>
      </c>
      <c r="X320" s="55" t="s">
        <v>4</v>
      </c>
      <c r="Y320" s="55" t="s">
        <v>4</v>
      </c>
      <c r="Z320" s="55" t="s">
        <v>4</v>
      </c>
      <c r="AA320" s="37" t="s">
        <v>391</v>
      </c>
      <c r="AB320" s="28"/>
      <c r="AC320" s="24"/>
      <c r="AD320" s="24"/>
    </row>
    <row r="321">
      <c r="A321" s="25"/>
      <c r="B321" s="53" t="s">
        <v>1138</v>
      </c>
      <c r="C321" s="53">
        <v>6.200375751E9</v>
      </c>
      <c r="D321" s="53"/>
      <c r="E321" s="55"/>
      <c r="F321" s="53"/>
      <c r="G321" s="53"/>
      <c r="H321" s="53"/>
      <c r="I321" s="53"/>
      <c r="J321" s="19"/>
      <c r="K321" s="37" t="s">
        <v>1059</v>
      </c>
      <c r="L321" s="53"/>
      <c r="M321" s="53"/>
      <c r="N321" s="56" t="s">
        <v>54</v>
      </c>
      <c r="O321" s="55"/>
      <c r="P321" s="55"/>
      <c r="Q321" s="53"/>
      <c r="R321" s="53"/>
      <c r="S321" s="55"/>
      <c r="T321" s="37"/>
      <c r="U321" s="55"/>
      <c r="V321" s="37"/>
      <c r="W321" s="37"/>
      <c r="X321" s="55"/>
      <c r="Y321" s="55"/>
      <c r="Z321" s="55"/>
      <c r="AA321" s="37"/>
      <c r="AB321" s="28"/>
      <c r="AC321" s="24"/>
      <c r="AD321" s="24"/>
    </row>
    <row r="322">
      <c r="A322" s="25"/>
      <c r="B322" s="53" t="s">
        <v>1139</v>
      </c>
      <c r="C322" s="53">
        <v>7.654886047E9</v>
      </c>
      <c r="D322" s="53">
        <v>27.0</v>
      </c>
      <c r="E322" s="55" t="s">
        <v>367</v>
      </c>
      <c r="F322" s="53"/>
      <c r="G322" s="53" t="s">
        <v>518</v>
      </c>
      <c r="H322" s="53" t="s">
        <v>804</v>
      </c>
      <c r="I322" s="53" t="s">
        <v>1140</v>
      </c>
      <c r="J322" s="26" t="s">
        <v>1058</v>
      </c>
      <c r="K322" s="37" t="s">
        <v>1059</v>
      </c>
      <c r="L322" s="53" t="s">
        <v>1068</v>
      </c>
      <c r="M322" s="53" t="s">
        <v>1061</v>
      </c>
      <c r="N322" s="56" t="s">
        <v>9</v>
      </c>
      <c r="O322" s="55" t="s">
        <v>4</v>
      </c>
      <c r="P322" s="55" t="s">
        <v>4</v>
      </c>
      <c r="Q322" s="53" t="s">
        <v>444</v>
      </c>
      <c r="R322" s="53" t="s">
        <v>1141</v>
      </c>
      <c r="S322" s="55" t="s">
        <v>4</v>
      </c>
      <c r="T322" s="37" t="s">
        <v>1142</v>
      </c>
      <c r="U322" s="55" t="s">
        <v>4</v>
      </c>
      <c r="V322" s="37" t="s">
        <v>1143</v>
      </c>
      <c r="W322" s="37" t="s">
        <v>869</v>
      </c>
      <c r="X322" s="55" t="s">
        <v>4</v>
      </c>
      <c r="Y322" s="55" t="s">
        <v>4</v>
      </c>
      <c r="Z322" s="55" t="s">
        <v>4</v>
      </c>
      <c r="AA322" s="37" t="s">
        <v>391</v>
      </c>
      <c r="AB322" s="28"/>
      <c r="AC322" s="24"/>
      <c r="AD322" s="24"/>
    </row>
    <row r="323">
      <c r="A323" s="25"/>
      <c r="B323" s="57" t="s">
        <v>1144</v>
      </c>
      <c r="C323" s="53">
        <v>8.521201092E9</v>
      </c>
      <c r="D323" s="53"/>
      <c r="E323" s="55"/>
      <c r="F323" s="53"/>
      <c r="G323" s="53"/>
      <c r="H323" s="53"/>
      <c r="I323" s="53"/>
      <c r="J323" s="19"/>
      <c r="K323" s="37" t="s">
        <v>1059</v>
      </c>
      <c r="L323" s="53"/>
      <c r="M323" s="53"/>
      <c r="N323" s="56" t="s">
        <v>9</v>
      </c>
      <c r="O323" s="55"/>
      <c r="P323" s="55"/>
      <c r="Q323" s="53"/>
      <c r="R323" s="53"/>
      <c r="S323" s="55"/>
      <c r="T323" s="37"/>
      <c r="U323" s="55"/>
      <c r="V323" s="37"/>
      <c r="W323" s="37"/>
      <c r="X323" s="55"/>
      <c r="Y323" s="55"/>
      <c r="Z323" s="55"/>
      <c r="AA323" s="37"/>
      <c r="AB323" s="17" t="s">
        <v>1145</v>
      </c>
      <c r="AC323" s="24"/>
      <c r="AD323" s="24"/>
    </row>
    <row r="324">
      <c r="A324" s="25"/>
      <c r="B324" s="53" t="s">
        <v>1146</v>
      </c>
      <c r="C324" s="53">
        <v>8.084565771E9</v>
      </c>
      <c r="D324" s="53"/>
      <c r="E324" s="55"/>
      <c r="F324" s="53"/>
      <c r="G324" s="53"/>
      <c r="H324" s="53"/>
      <c r="I324" s="53"/>
      <c r="J324" s="19"/>
      <c r="K324" s="37" t="s">
        <v>1059</v>
      </c>
      <c r="L324" s="53"/>
      <c r="M324" s="53"/>
      <c r="N324" s="56" t="s">
        <v>27</v>
      </c>
      <c r="O324" s="55"/>
      <c r="P324" s="55"/>
      <c r="Q324" s="53"/>
      <c r="R324" s="53"/>
      <c r="S324" s="55"/>
      <c r="T324" s="37"/>
      <c r="U324" s="55"/>
      <c r="V324" s="37"/>
      <c r="W324" s="37"/>
      <c r="X324" s="55"/>
      <c r="Y324" s="55"/>
      <c r="Z324" s="55"/>
      <c r="AA324" s="37"/>
      <c r="AB324" s="28"/>
      <c r="AC324" s="24"/>
      <c r="AD324" s="24"/>
    </row>
    <row r="325">
      <c r="A325" s="25"/>
      <c r="B325" s="53" t="s">
        <v>1147</v>
      </c>
      <c r="C325" s="53">
        <v>9.555937428E9</v>
      </c>
      <c r="D325" s="53"/>
      <c r="E325" s="55"/>
      <c r="F325" s="53"/>
      <c r="G325" s="53"/>
      <c r="H325" s="53"/>
      <c r="I325" s="53"/>
      <c r="J325" s="19"/>
      <c r="K325" s="37" t="s">
        <v>1059</v>
      </c>
      <c r="L325" s="53"/>
      <c r="M325" s="53"/>
      <c r="N325" s="56" t="s">
        <v>27</v>
      </c>
      <c r="O325" s="55"/>
      <c r="P325" s="55"/>
      <c r="Q325" s="53"/>
      <c r="R325" s="53"/>
      <c r="S325" s="55"/>
      <c r="T325" s="37"/>
      <c r="U325" s="55"/>
      <c r="V325" s="37"/>
      <c r="W325" s="37"/>
      <c r="X325" s="55"/>
      <c r="Y325" s="55"/>
      <c r="Z325" s="55"/>
      <c r="AA325" s="37"/>
      <c r="AB325" s="28"/>
      <c r="AC325" s="24"/>
      <c r="AD325" s="24"/>
    </row>
    <row r="326">
      <c r="A326" s="25"/>
      <c r="B326" s="53" t="s">
        <v>1148</v>
      </c>
      <c r="C326" s="53">
        <v>9.135066161E9</v>
      </c>
      <c r="D326" s="53"/>
      <c r="E326" s="55"/>
      <c r="F326" s="53"/>
      <c r="G326" s="53"/>
      <c r="H326" s="53"/>
      <c r="I326" s="53"/>
      <c r="J326" s="19"/>
      <c r="K326" s="37" t="s">
        <v>1059</v>
      </c>
      <c r="L326" s="53"/>
      <c r="M326" s="53"/>
      <c r="N326" s="56" t="s">
        <v>13</v>
      </c>
      <c r="O326" s="55"/>
      <c r="P326" s="55"/>
      <c r="Q326" s="53"/>
      <c r="R326" s="53"/>
      <c r="S326" s="55"/>
      <c r="T326" s="37"/>
      <c r="U326" s="55"/>
      <c r="V326" s="37"/>
      <c r="W326" s="37"/>
      <c r="X326" s="55"/>
      <c r="Y326" s="55"/>
      <c r="Z326" s="55"/>
      <c r="AA326" s="37"/>
      <c r="AB326" s="28"/>
      <c r="AC326" s="24"/>
      <c r="AD326" s="24"/>
    </row>
    <row r="327">
      <c r="A327" s="25"/>
      <c r="B327" s="58" t="s">
        <v>1149</v>
      </c>
      <c r="C327" s="58">
        <v>8.298014227E9</v>
      </c>
      <c r="D327" s="58"/>
      <c r="E327" s="55"/>
      <c r="F327" s="58"/>
      <c r="G327" s="58"/>
      <c r="H327" s="58"/>
      <c r="I327" s="58"/>
      <c r="J327" s="59"/>
      <c r="K327" s="37" t="s">
        <v>1059</v>
      </c>
      <c r="L327" s="58"/>
      <c r="M327" s="58"/>
      <c r="N327" s="56" t="s">
        <v>27</v>
      </c>
      <c r="O327" s="55"/>
      <c r="P327" s="55"/>
      <c r="Q327" s="53"/>
      <c r="R327" s="53"/>
      <c r="S327" s="55"/>
      <c r="T327" s="37"/>
      <c r="U327" s="55"/>
      <c r="V327" s="37"/>
      <c r="W327" s="37"/>
      <c r="X327" s="55"/>
      <c r="Y327" s="55"/>
      <c r="Z327" s="55"/>
      <c r="AA327" s="37"/>
      <c r="AB327" s="28"/>
      <c r="AC327" s="60"/>
      <c r="AD327" s="60"/>
    </row>
    <row r="328">
      <c r="A328" s="25"/>
      <c r="B328" s="53" t="s">
        <v>1150</v>
      </c>
      <c r="C328" s="53">
        <v>8.676019903E9</v>
      </c>
      <c r="D328" s="53">
        <v>98.0</v>
      </c>
      <c r="E328" s="55" t="s">
        <v>367</v>
      </c>
      <c r="F328" s="53" t="s">
        <v>429</v>
      </c>
      <c r="G328" s="53" t="s">
        <v>375</v>
      </c>
      <c r="H328" s="53" t="s">
        <v>663</v>
      </c>
      <c r="I328" s="53" t="s">
        <v>1057</v>
      </c>
      <c r="J328" s="26" t="s">
        <v>1058</v>
      </c>
      <c r="K328" s="37" t="s">
        <v>1059</v>
      </c>
      <c r="L328" s="53" t="s">
        <v>1060</v>
      </c>
      <c r="M328" s="53" t="s">
        <v>1061</v>
      </c>
      <c r="N328" s="56" t="s">
        <v>9</v>
      </c>
      <c r="O328" s="55" t="s">
        <v>4</v>
      </c>
      <c r="P328" s="55" t="s">
        <v>4</v>
      </c>
      <c r="Q328" s="53" t="s">
        <v>867</v>
      </c>
      <c r="R328" s="53" t="s">
        <v>652</v>
      </c>
      <c r="S328" s="55" t="s">
        <v>4</v>
      </c>
      <c r="T328" s="37"/>
      <c r="U328" s="55" t="s">
        <v>4</v>
      </c>
      <c r="V328" s="37"/>
      <c r="W328" s="37" t="s">
        <v>869</v>
      </c>
      <c r="X328" s="55" t="s">
        <v>4</v>
      </c>
      <c r="Y328" s="55" t="s">
        <v>4</v>
      </c>
      <c r="Z328" s="55" t="s">
        <v>4</v>
      </c>
      <c r="AA328" s="37" t="s">
        <v>391</v>
      </c>
      <c r="AB328" s="28"/>
      <c r="AC328" s="24"/>
      <c r="AD328" s="24"/>
    </row>
    <row r="329" ht="27.75" customHeight="1">
      <c r="A329" s="25"/>
      <c r="B329" s="53" t="s">
        <v>1151</v>
      </c>
      <c r="C329" s="53">
        <v>9.031965995E9</v>
      </c>
      <c r="D329" s="53"/>
      <c r="E329" s="55"/>
      <c r="F329" s="53"/>
      <c r="G329" s="53"/>
      <c r="H329" s="53"/>
      <c r="I329" s="53"/>
      <c r="J329" s="19"/>
      <c r="K329" s="37" t="s">
        <v>1059</v>
      </c>
      <c r="L329" s="53"/>
      <c r="M329" s="53"/>
      <c r="N329" s="56" t="s">
        <v>9</v>
      </c>
      <c r="O329" s="55"/>
      <c r="P329" s="55"/>
      <c r="Q329" s="53"/>
      <c r="R329" s="53"/>
      <c r="S329" s="55"/>
      <c r="T329" s="37"/>
      <c r="U329" s="55"/>
      <c r="V329" s="37"/>
      <c r="W329" s="37"/>
      <c r="X329" s="55"/>
      <c r="Y329" s="55"/>
      <c r="Z329" s="55"/>
      <c r="AA329" s="37" t="s">
        <v>391</v>
      </c>
      <c r="AB329" s="17" t="s">
        <v>1152</v>
      </c>
      <c r="AC329" s="24"/>
      <c r="AD329" s="24"/>
    </row>
    <row r="330">
      <c r="A330" s="25"/>
      <c r="B330" s="53" t="s">
        <v>1153</v>
      </c>
      <c r="C330" s="53">
        <v>7.643053695E9</v>
      </c>
      <c r="D330" s="53"/>
      <c r="E330" s="55"/>
      <c r="F330" s="53"/>
      <c r="G330" s="53"/>
      <c r="H330" s="53"/>
      <c r="I330" s="53"/>
      <c r="J330" s="19"/>
      <c r="K330" s="37" t="s">
        <v>1059</v>
      </c>
      <c r="L330" s="53"/>
      <c r="M330" s="53"/>
      <c r="N330" s="56" t="s">
        <v>13</v>
      </c>
      <c r="O330" s="55"/>
      <c r="P330" s="55"/>
      <c r="Q330" s="53"/>
      <c r="R330" s="53"/>
      <c r="S330" s="55"/>
      <c r="T330" s="37"/>
      <c r="U330" s="55"/>
      <c r="V330" s="37"/>
      <c r="W330" s="37"/>
      <c r="X330" s="55"/>
      <c r="Y330" s="55"/>
      <c r="Z330" s="55"/>
      <c r="AA330" s="37"/>
      <c r="AB330" s="28"/>
      <c r="AC330" s="24"/>
      <c r="AD330" s="24"/>
    </row>
    <row r="331">
      <c r="A331" s="25"/>
      <c r="B331" s="53" t="s">
        <v>1154</v>
      </c>
      <c r="C331" s="53">
        <v>7.520154067E9</v>
      </c>
      <c r="D331" s="53">
        <v>19.0</v>
      </c>
      <c r="E331" s="55" t="s">
        <v>367</v>
      </c>
      <c r="F331" s="53" t="s">
        <v>1074</v>
      </c>
      <c r="G331" s="53" t="s">
        <v>375</v>
      </c>
      <c r="H331" s="53" t="s">
        <v>407</v>
      </c>
      <c r="I331" s="53" t="s">
        <v>1155</v>
      </c>
      <c r="J331" s="26" t="s">
        <v>1058</v>
      </c>
      <c r="K331" s="37" t="s">
        <v>1059</v>
      </c>
      <c r="L331" s="53" t="s">
        <v>1060</v>
      </c>
      <c r="M331" s="53" t="s">
        <v>1061</v>
      </c>
      <c r="N331" s="56" t="s">
        <v>9</v>
      </c>
      <c r="O331" s="55" t="s">
        <v>4</v>
      </c>
      <c r="P331" s="55" t="s">
        <v>380</v>
      </c>
      <c r="Q331" s="53"/>
      <c r="R331" s="53"/>
      <c r="S331" s="55" t="s">
        <v>380</v>
      </c>
      <c r="T331" s="37"/>
      <c r="U331" s="55" t="s">
        <v>380</v>
      </c>
      <c r="V331" s="37"/>
      <c r="W331" s="37" t="s">
        <v>869</v>
      </c>
      <c r="X331" s="55" t="s">
        <v>4</v>
      </c>
      <c r="Y331" s="55" t="s">
        <v>4</v>
      </c>
      <c r="Z331" s="55" t="s">
        <v>4</v>
      </c>
      <c r="AA331" s="37" t="s">
        <v>391</v>
      </c>
      <c r="AB331" s="28"/>
      <c r="AC331" s="24"/>
      <c r="AD331" s="24"/>
    </row>
    <row r="332">
      <c r="A332" s="25"/>
      <c r="B332" s="53" t="s">
        <v>1156</v>
      </c>
      <c r="C332" s="53">
        <v>9.065032392E9</v>
      </c>
      <c r="D332" s="53">
        <v>18.0</v>
      </c>
      <c r="E332" s="55" t="s">
        <v>367</v>
      </c>
      <c r="F332" s="53" t="s">
        <v>1074</v>
      </c>
      <c r="G332" s="53" t="s">
        <v>375</v>
      </c>
      <c r="H332" s="53" t="s">
        <v>1020</v>
      </c>
      <c r="I332" s="53" t="s">
        <v>1157</v>
      </c>
      <c r="J332" s="26" t="s">
        <v>1058</v>
      </c>
      <c r="K332" s="37" t="s">
        <v>1059</v>
      </c>
      <c r="L332" s="53" t="s">
        <v>1060</v>
      </c>
      <c r="M332" s="53" t="s">
        <v>1061</v>
      </c>
      <c r="N332" s="56" t="s">
        <v>9</v>
      </c>
      <c r="O332" s="55" t="s">
        <v>4</v>
      </c>
      <c r="P332" s="55" t="s">
        <v>380</v>
      </c>
      <c r="Q332" s="53"/>
      <c r="R332" s="53"/>
      <c r="S332" s="55" t="s">
        <v>380</v>
      </c>
      <c r="T332" s="37"/>
      <c r="U332" s="55" t="s">
        <v>380</v>
      </c>
      <c r="V332" s="37"/>
      <c r="W332" s="37" t="s">
        <v>869</v>
      </c>
      <c r="X332" s="55" t="s">
        <v>4</v>
      </c>
      <c r="Y332" s="55" t="s">
        <v>4</v>
      </c>
      <c r="Z332" s="55" t="s">
        <v>4</v>
      </c>
      <c r="AA332" s="37" t="s">
        <v>391</v>
      </c>
      <c r="AB332" s="28"/>
      <c r="AC332" s="24"/>
      <c r="AD332" s="24"/>
    </row>
    <row r="333">
      <c r="A333" s="25"/>
      <c r="B333" s="53" t="s">
        <v>1126</v>
      </c>
      <c r="C333" s="53">
        <v>9.065032392E9</v>
      </c>
      <c r="D333" s="53"/>
      <c r="E333" s="55"/>
      <c r="F333" s="53"/>
      <c r="G333" s="53"/>
      <c r="H333" s="53"/>
      <c r="I333" s="53"/>
      <c r="J333" s="19"/>
      <c r="K333" s="37" t="s">
        <v>1059</v>
      </c>
      <c r="L333" s="53"/>
      <c r="M333" s="53"/>
      <c r="N333" s="56" t="s">
        <v>23</v>
      </c>
      <c r="O333" s="55"/>
      <c r="P333" s="55"/>
      <c r="Q333" s="53"/>
      <c r="R333" s="53"/>
      <c r="S333" s="55"/>
      <c r="T333" s="37"/>
      <c r="U333" s="55"/>
      <c r="V333" s="37"/>
      <c r="W333" s="37"/>
      <c r="X333" s="55"/>
      <c r="Y333" s="55"/>
      <c r="Z333" s="55"/>
      <c r="AA333" s="37"/>
      <c r="AB333" s="28"/>
      <c r="AC333" s="24"/>
      <c r="AD333" s="24"/>
    </row>
    <row r="334">
      <c r="A334" s="25"/>
      <c r="B334" s="53" t="s">
        <v>1139</v>
      </c>
      <c r="C334" s="53">
        <v>7.654886047E9</v>
      </c>
      <c r="D334" s="53"/>
      <c r="E334" s="55"/>
      <c r="F334" s="53"/>
      <c r="G334" s="53"/>
      <c r="H334" s="53"/>
      <c r="I334" s="53"/>
      <c r="J334" s="19"/>
      <c r="K334" s="37" t="s">
        <v>1059</v>
      </c>
      <c r="L334" s="53"/>
      <c r="M334" s="53"/>
      <c r="N334" s="56" t="s">
        <v>13</v>
      </c>
      <c r="O334" s="55"/>
      <c r="P334" s="55"/>
      <c r="Q334" s="53"/>
      <c r="R334" s="53"/>
      <c r="S334" s="55"/>
      <c r="T334" s="37"/>
      <c r="U334" s="55"/>
      <c r="V334" s="37"/>
      <c r="W334" s="37"/>
      <c r="X334" s="55"/>
      <c r="Y334" s="55"/>
      <c r="Z334" s="55"/>
      <c r="AA334" s="37"/>
      <c r="AB334" s="28"/>
      <c r="AC334" s="24"/>
      <c r="AD334" s="24"/>
    </row>
    <row r="335">
      <c r="A335" s="25"/>
      <c r="B335" s="53" t="s">
        <v>1158</v>
      </c>
      <c r="C335" s="53">
        <v>7.670713702E9</v>
      </c>
      <c r="D335" s="53"/>
      <c r="E335" s="55"/>
      <c r="F335" s="53"/>
      <c r="G335" s="53"/>
      <c r="H335" s="53"/>
      <c r="I335" s="53"/>
      <c r="J335" s="19"/>
      <c r="K335" s="37" t="s">
        <v>1059</v>
      </c>
      <c r="L335" s="53"/>
      <c r="M335" s="53"/>
      <c r="N335" s="56" t="s">
        <v>30</v>
      </c>
      <c r="O335" s="55"/>
      <c r="P335" s="55"/>
      <c r="Q335" s="53"/>
      <c r="R335" s="53"/>
      <c r="S335" s="55"/>
      <c r="T335" s="37"/>
      <c r="U335" s="55"/>
      <c r="V335" s="37"/>
      <c r="W335" s="37"/>
      <c r="X335" s="55"/>
      <c r="Y335" s="55"/>
      <c r="Z335" s="55"/>
      <c r="AA335" s="37"/>
      <c r="AB335" s="28"/>
      <c r="AC335" s="24"/>
      <c r="AD335" s="24"/>
    </row>
    <row r="336">
      <c r="A336" s="25"/>
      <c r="B336" s="53" t="s">
        <v>1159</v>
      </c>
      <c r="C336" s="53">
        <v>8.676923016E9</v>
      </c>
      <c r="D336" s="53"/>
      <c r="E336" s="55"/>
      <c r="F336" s="53"/>
      <c r="G336" s="53"/>
      <c r="H336" s="53"/>
      <c r="I336" s="53"/>
      <c r="J336" s="19"/>
      <c r="K336" s="37" t="s">
        <v>1059</v>
      </c>
      <c r="L336" s="53"/>
      <c r="M336" s="53"/>
      <c r="N336" s="56" t="s">
        <v>13</v>
      </c>
      <c r="O336" s="55"/>
      <c r="P336" s="55"/>
      <c r="Q336" s="53"/>
      <c r="R336" s="53"/>
      <c r="S336" s="55"/>
      <c r="T336" s="37"/>
      <c r="U336" s="55"/>
      <c r="V336" s="37"/>
      <c r="W336" s="37"/>
      <c r="X336" s="55"/>
      <c r="Y336" s="55"/>
      <c r="Z336" s="55"/>
      <c r="AA336" s="37"/>
      <c r="AB336" s="28"/>
      <c r="AC336" s="24"/>
      <c r="AD336" s="24"/>
    </row>
    <row r="337">
      <c r="A337" s="31"/>
      <c r="B337" s="53" t="s">
        <v>1160</v>
      </c>
      <c r="C337" s="53">
        <v>9.608143848E9</v>
      </c>
      <c r="D337" s="53"/>
      <c r="E337" s="55"/>
      <c r="F337" s="53"/>
      <c r="G337" s="53"/>
      <c r="H337" s="53"/>
      <c r="I337" s="53"/>
      <c r="J337" s="19"/>
      <c r="K337" s="37" t="s">
        <v>1059</v>
      </c>
      <c r="L337" s="53"/>
      <c r="M337" s="53"/>
      <c r="N337" s="56" t="s">
        <v>23</v>
      </c>
      <c r="O337" s="55"/>
      <c r="P337" s="55"/>
      <c r="Q337" s="53"/>
      <c r="R337" s="53"/>
      <c r="S337" s="55"/>
      <c r="T337" s="37"/>
      <c r="U337" s="55"/>
      <c r="V337" s="37"/>
      <c r="W337" s="37"/>
      <c r="X337" s="55"/>
      <c r="Y337" s="55"/>
      <c r="Z337" s="55"/>
      <c r="AA337" s="37"/>
      <c r="AB337" s="28"/>
      <c r="AC337" s="24"/>
      <c r="AD337" s="24"/>
    </row>
    <row r="338">
      <c r="A338" s="32"/>
      <c r="B338" s="33"/>
      <c r="C338" s="34"/>
      <c r="D338" s="53"/>
      <c r="E338" s="55"/>
      <c r="F338" s="53"/>
      <c r="G338" s="53"/>
      <c r="H338" s="53"/>
      <c r="I338" s="53"/>
      <c r="J338" s="19"/>
      <c r="K338" s="37"/>
      <c r="L338" s="53"/>
      <c r="M338" s="53"/>
      <c r="N338" s="56"/>
      <c r="O338" s="55"/>
      <c r="P338" s="55"/>
      <c r="Q338" s="53"/>
      <c r="R338" s="53"/>
      <c r="S338" s="55"/>
      <c r="T338" s="37"/>
      <c r="U338" s="55"/>
      <c r="V338" s="37"/>
      <c r="W338" s="37"/>
      <c r="X338" s="55"/>
      <c r="Y338" s="55"/>
      <c r="Z338" s="55"/>
      <c r="AA338" s="37"/>
      <c r="AB338" s="28"/>
      <c r="AC338" s="24"/>
      <c r="AD338" s="24"/>
    </row>
    <row r="339">
      <c r="A339" s="16" t="s">
        <v>1161</v>
      </c>
      <c r="B339" s="53" t="s">
        <v>1162</v>
      </c>
      <c r="C339" s="53">
        <v>9.852787878E9</v>
      </c>
      <c r="D339" s="53">
        <v>29.0</v>
      </c>
      <c r="E339" s="55" t="s">
        <v>367</v>
      </c>
      <c r="F339" s="53" t="s">
        <v>1163</v>
      </c>
      <c r="G339" s="53" t="s">
        <v>551</v>
      </c>
      <c r="H339" s="53" t="s">
        <v>1164</v>
      </c>
      <c r="I339" s="53" t="s">
        <v>551</v>
      </c>
      <c r="J339" s="26" t="s">
        <v>1165</v>
      </c>
      <c r="K339" s="37" t="s">
        <v>1166</v>
      </c>
      <c r="L339" s="53" t="s">
        <v>1165</v>
      </c>
      <c r="M339" s="53" t="s">
        <v>1165</v>
      </c>
      <c r="N339" s="56" t="s">
        <v>9</v>
      </c>
      <c r="O339" s="55" t="s">
        <v>4</v>
      </c>
      <c r="P339" s="55" t="s">
        <v>4</v>
      </c>
      <c r="Q339" s="53" t="s">
        <v>867</v>
      </c>
      <c r="R339" s="53" t="s">
        <v>652</v>
      </c>
      <c r="S339" s="55" t="s">
        <v>4</v>
      </c>
      <c r="T339" s="37"/>
      <c r="U339" s="55" t="s">
        <v>4</v>
      </c>
      <c r="V339" s="37"/>
      <c r="W339" s="37" t="s">
        <v>1167</v>
      </c>
      <c r="X339" s="55" t="s">
        <v>4</v>
      </c>
      <c r="Y339" s="55" t="s">
        <v>4</v>
      </c>
      <c r="Z339" s="55" t="s">
        <v>4</v>
      </c>
      <c r="AA339" s="37" t="s">
        <v>391</v>
      </c>
      <c r="AB339" s="28"/>
      <c r="AC339" s="24"/>
      <c r="AD339" s="24"/>
    </row>
    <row r="340">
      <c r="A340" s="25"/>
      <c r="B340" s="53" t="s">
        <v>1168</v>
      </c>
      <c r="C340" s="53">
        <v>8.804625606E9</v>
      </c>
      <c r="D340" s="53"/>
      <c r="E340" s="55"/>
      <c r="F340" s="53"/>
      <c r="G340" s="53"/>
      <c r="H340" s="53"/>
      <c r="I340" s="53"/>
      <c r="J340" s="19"/>
      <c r="K340" s="37" t="s">
        <v>1166</v>
      </c>
      <c r="L340" s="53"/>
      <c r="M340" s="53"/>
      <c r="N340" s="56" t="s">
        <v>30</v>
      </c>
      <c r="O340" s="55"/>
      <c r="P340" s="55"/>
      <c r="Q340" s="53"/>
      <c r="R340" s="53"/>
      <c r="S340" s="55"/>
      <c r="T340" s="37"/>
      <c r="U340" s="55"/>
      <c r="V340" s="37"/>
      <c r="W340" s="37"/>
      <c r="X340" s="55"/>
      <c r="Y340" s="55"/>
      <c r="Z340" s="55"/>
      <c r="AA340" s="37"/>
      <c r="AB340" s="28"/>
      <c r="AC340" s="24"/>
      <c r="AD340" s="24"/>
    </row>
    <row r="341">
      <c r="A341" s="25"/>
      <c r="B341" s="53" t="s">
        <v>1169</v>
      </c>
      <c r="C341" s="53">
        <v>6.203448718E9</v>
      </c>
      <c r="D341" s="53">
        <v>26.0</v>
      </c>
      <c r="E341" s="55" t="s">
        <v>367</v>
      </c>
      <c r="F341" s="53" t="s">
        <v>1074</v>
      </c>
      <c r="G341" s="53" t="s">
        <v>375</v>
      </c>
      <c r="H341" s="53" t="s">
        <v>407</v>
      </c>
      <c r="I341" s="53" t="s">
        <v>825</v>
      </c>
      <c r="J341" s="26" t="s">
        <v>1165</v>
      </c>
      <c r="K341" s="37" t="s">
        <v>1166</v>
      </c>
      <c r="L341" s="53" t="s">
        <v>1165</v>
      </c>
      <c r="M341" s="53" t="s">
        <v>1165</v>
      </c>
      <c r="N341" s="56" t="s">
        <v>9</v>
      </c>
      <c r="O341" s="55" t="s">
        <v>4</v>
      </c>
      <c r="P341" s="55" t="s">
        <v>4</v>
      </c>
      <c r="Q341" s="53"/>
      <c r="R341" s="53"/>
      <c r="S341" s="55" t="s">
        <v>4</v>
      </c>
      <c r="T341" s="37" t="s">
        <v>1170</v>
      </c>
      <c r="U341" s="55" t="s">
        <v>4</v>
      </c>
      <c r="V341" s="37" t="s">
        <v>1171</v>
      </c>
      <c r="W341" s="37" t="s">
        <v>1040</v>
      </c>
      <c r="X341" s="55" t="s">
        <v>4</v>
      </c>
      <c r="Y341" s="55" t="s">
        <v>4</v>
      </c>
      <c r="Z341" s="55" t="s">
        <v>4</v>
      </c>
      <c r="AA341" s="37" t="s">
        <v>391</v>
      </c>
      <c r="AB341" s="28"/>
      <c r="AC341" s="24"/>
      <c r="AD341" s="24"/>
    </row>
    <row r="342">
      <c r="A342" s="25"/>
      <c r="B342" s="53" t="s">
        <v>1172</v>
      </c>
      <c r="C342" s="53">
        <v>9.504732283E9</v>
      </c>
      <c r="D342" s="53">
        <v>52.0</v>
      </c>
      <c r="E342" s="55" t="s">
        <v>367</v>
      </c>
      <c r="F342" s="53" t="s">
        <v>441</v>
      </c>
      <c r="G342" s="53" t="s">
        <v>551</v>
      </c>
      <c r="H342" s="53" t="s">
        <v>383</v>
      </c>
      <c r="I342" s="53" t="s">
        <v>875</v>
      </c>
      <c r="J342" s="26" t="s">
        <v>1165</v>
      </c>
      <c r="K342" s="37" t="s">
        <v>1166</v>
      </c>
      <c r="L342" s="53" t="s">
        <v>1165</v>
      </c>
      <c r="M342" s="53" t="s">
        <v>1165</v>
      </c>
      <c r="N342" s="56" t="s">
        <v>9</v>
      </c>
      <c r="O342" s="55" t="s">
        <v>4</v>
      </c>
      <c r="P342" s="55" t="s">
        <v>4</v>
      </c>
      <c r="Q342" s="53" t="s">
        <v>867</v>
      </c>
      <c r="R342" s="53"/>
      <c r="S342" s="55" t="s">
        <v>4</v>
      </c>
      <c r="T342" s="37" t="s">
        <v>1173</v>
      </c>
      <c r="U342" s="55" t="s">
        <v>4</v>
      </c>
      <c r="V342" s="37" t="s">
        <v>1174</v>
      </c>
      <c r="W342" s="37" t="s">
        <v>1040</v>
      </c>
      <c r="X342" s="55" t="s">
        <v>4</v>
      </c>
      <c r="Y342" s="55" t="s">
        <v>4</v>
      </c>
      <c r="Z342" s="55" t="s">
        <v>4</v>
      </c>
      <c r="AA342" s="37" t="s">
        <v>391</v>
      </c>
      <c r="AB342" s="28"/>
      <c r="AC342" s="24"/>
      <c r="AD342" s="24"/>
    </row>
    <row r="343">
      <c r="A343" s="25"/>
      <c r="B343" s="53" t="s">
        <v>1175</v>
      </c>
      <c r="C343" s="53">
        <v>9.931217442E9</v>
      </c>
      <c r="D343" s="53">
        <v>56.0</v>
      </c>
      <c r="E343" s="55" t="s">
        <v>367</v>
      </c>
      <c r="F343" s="53" t="s">
        <v>441</v>
      </c>
      <c r="G343" s="53" t="s">
        <v>518</v>
      </c>
      <c r="H343" s="53" t="s">
        <v>507</v>
      </c>
      <c r="I343" s="53" t="s">
        <v>1176</v>
      </c>
      <c r="J343" s="26" t="s">
        <v>1165</v>
      </c>
      <c r="K343" s="37" t="s">
        <v>1166</v>
      </c>
      <c r="L343" s="53" t="s">
        <v>1177</v>
      </c>
      <c r="M343" s="53" t="s">
        <v>1178</v>
      </c>
      <c r="N343" s="56" t="s">
        <v>9</v>
      </c>
      <c r="O343" s="55" t="s">
        <v>4</v>
      </c>
      <c r="P343" s="55" t="s">
        <v>4</v>
      </c>
      <c r="Q343" s="53" t="s">
        <v>444</v>
      </c>
      <c r="R343" s="53"/>
      <c r="S343" s="55" t="s">
        <v>1179</v>
      </c>
      <c r="T343" s="37" t="s">
        <v>756</v>
      </c>
      <c r="U343" s="55" t="s">
        <v>4</v>
      </c>
      <c r="V343" s="37" t="s">
        <v>757</v>
      </c>
      <c r="W343" s="37" t="s">
        <v>1040</v>
      </c>
      <c r="X343" s="55" t="s">
        <v>4</v>
      </c>
      <c r="Y343" s="55" t="s">
        <v>4</v>
      </c>
      <c r="Z343" s="55" t="s">
        <v>4</v>
      </c>
      <c r="AA343" s="37" t="s">
        <v>391</v>
      </c>
      <c r="AB343" s="28"/>
      <c r="AC343" s="24"/>
      <c r="AD343" s="24"/>
    </row>
    <row r="344">
      <c r="A344" s="25"/>
      <c r="B344" s="53" t="s">
        <v>1180</v>
      </c>
      <c r="C344" s="53">
        <v>7.781852439E9</v>
      </c>
      <c r="D344" s="53"/>
      <c r="E344" s="55"/>
      <c r="F344" s="53"/>
      <c r="G344" s="53"/>
      <c r="H344" s="53"/>
      <c r="I344" s="53"/>
      <c r="J344" s="19"/>
      <c r="K344" s="37" t="s">
        <v>1166</v>
      </c>
      <c r="L344" s="53"/>
      <c r="M344" s="53"/>
      <c r="N344" s="56" t="s">
        <v>23</v>
      </c>
      <c r="O344" s="55"/>
      <c r="P344" s="55"/>
      <c r="Q344" s="53"/>
      <c r="R344" s="53"/>
      <c r="S344" s="55"/>
      <c r="T344" s="37"/>
      <c r="U344" s="55"/>
      <c r="V344" s="37"/>
      <c r="W344" s="37"/>
      <c r="X344" s="55"/>
      <c r="Y344" s="55"/>
      <c r="Z344" s="55"/>
      <c r="AA344" s="37"/>
      <c r="AB344" s="28"/>
      <c r="AC344" s="24"/>
      <c r="AD344" s="24"/>
    </row>
    <row r="345">
      <c r="A345" s="25"/>
      <c r="B345" s="53" t="s">
        <v>1181</v>
      </c>
      <c r="C345" s="53">
        <v>8.409571632E9</v>
      </c>
      <c r="D345" s="53"/>
      <c r="E345" s="55"/>
      <c r="F345" s="53"/>
      <c r="G345" s="53"/>
      <c r="H345" s="53"/>
      <c r="I345" s="53"/>
      <c r="J345" s="19"/>
      <c r="K345" s="37" t="s">
        <v>1166</v>
      </c>
      <c r="L345" s="53"/>
      <c r="M345" s="53"/>
      <c r="N345" s="56" t="s">
        <v>27</v>
      </c>
      <c r="O345" s="55"/>
      <c r="P345" s="55"/>
      <c r="Q345" s="53"/>
      <c r="R345" s="53"/>
      <c r="S345" s="55"/>
      <c r="T345" s="37"/>
      <c r="U345" s="55"/>
      <c r="V345" s="37"/>
      <c r="W345" s="37"/>
      <c r="X345" s="55"/>
      <c r="Y345" s="55"/>
      <c r="Z345" s="55"/>
      <c r="AA345" s="37"/>
      <c r="AB345" s="28"/>
      <c r="AC345" s="24"/>
      <c r="AD345" s="24"/>
    </row>
    <row r="346">
      <c r="A346" s="25"/>
      <c r="B346" s="53" t="s">
        <v>1182</v>
      </c>
      <c r="C346" s="53">
        <v>7.979032014E9</v>
      </c>
      <c r="D346" s="53">
        <v>28.0</v>
      </c>
      <c r="E346" s="55" t="s">
        <v>367</v>
      </c>
      <c r="F346" s="53" t="s">
        <v>437</v>
      </c>
      <c r="G346" s="53" t="s">
        <v>518</v>
      </c>
      <c r="H346" s="53" t="s">
        <v>637</v>
      </c>
      <c r="I346" s="53"/>
      <c r="J346" s="26" t="s">
        <v>1165</v>
      </c>
      <c r="K346" s="37" t="s">
        <v>1166</v>
      </c>
      <c r="L346" s="53" t="s">
        <v>1165</v>
      </c>
      <c r="M346" s="53" t="s">
        <v>1178</v>
      </c>
      <c r="N346" s="56" t="s">
        <v>9</v>
      </c>
      <c r="O346" s="55" t="s">
        <v>4</v>
      </c>
      <c r="P346" s="55" t="s">
        <v>380</v>
      </c>
      <c r="Q346" s="53"/>
      <c r="R346" s="53"/>
      <c r="S346" s="55" t="s">
        <v>4</v>
      </c>
      <c r="T346" s="37" t="s">
        <v>756</v>
      </c>
      <c r="U346" s="55" t="s">
        <v>4</v>
      </c>
      <c r="V346" s="37" t="s">
        <v>757</v>
      </c>
      <c r="W346" s="37" t="s">
        <v>1040</v>
      </c>
      <c r="X346" s="55" t="s">
        <v>4</v>
      </c>
      <c r="Y346" s="55" t="s">
        <v>4</v>
      </c>
      <c r="Z346" s="55" t="s">
        <v>4</v>
      </c>
      <c r="AA346" s="37" t="s">
        <v>391</v>
      </c>
      <c r="AB346" s="28"/>
      <c r="AC346" s="24"/>
      <c r="AD346" s="24"/>
    </row>
    <row r="347">
      <c r="A347" s="25"/>
      <c r="B347" s="53" t="s">
        <v>1183</v>
      </c>
      <c r="C347" s="53">
        <v>7.654395511E9</v>
      </c>
      <c r="D347" s="53">
        <v>32.0</v>
      </c>
      <c r="E347" s="55" t="s">
        <v>367</v>
      </c>
      <c r="F347" s="53" t="s">
        <v>1184</v>
      </c>
      <c r="G347" s="53" t="s">
        <v>518</v>
      </c>
      <c r="H347" s="53" t="s">
        <v>1185</v>
      </c>
      <c r="I347" s="53"/>
      <c r="J347" s="26" t="s">
        <v>1165</v>
      </c>
      <c r="K347" s="37" t="s">
        <v>1166</v>
      </c>
      <c r="L347" s="53" t="s">
        <v>1177</v>
      </c>
      <c r="M347" s="53"/>
      <c r="N347" s="56" t="s">
        <v>13</v>
      </c>
      <c r="O347" s="55"/>
      <c r="P347" s="55"/>
      <c r="Q347" s="53"/>
      <c r="R347" s="53"/>
      <c r="S347" s="55"/>
      <c r="T347" s="37"/>
      <c r="U347" s="55"/>
      <c r="V347" s="37"/>
      <c r="W347" s="37"/>
      <c r="X347" s="55"/>
      <c r="Y347" s="55"/>
      <c r="Z347" s="55"/>
      <c r="AA347" s="37" t="s">
        <v>410</v>
      </c>
      <c r="AB347" s="17" t="s">
        <v>1186</v>
      </c>
      <c r="AC347" s="24"/>
      <c r="AD347" s="24"/>
    </row>
    <row r="348">
      <c r="A348" s="25"/>
      <c r="B348" s="53" t="s">
        <v>1187</v>
      </c>
      <c r="C348" s="53">
        <v>9.452409541E9</v>
      </c>
      <c r="D348" s="53">
        <v>26.0</v>
      </c>
      <c r="E348" s="55" t="s">
        <v>367</v>
      </c>
      <c r="F348" s="53" t="s">
        <v>441</v>
      </c>
      <c r="G348" s="53" t="s">
        <v>551</v>
      </c>
      <c r="H348" s="53" t="s">
        <v>512</v>
      </c>
      <c r="I348" s="53" t="s">
        <v>1188</v>
      </c>
      <c r="J348" s="26" t="s">
        <v>1165</v>
      </c>
      <c r="K348" s="37" t="s">
        <v>1166</v>
      </c>
      <c r="L348" s="53" t="s">
        <v>1165</v>
      </c>
      <c r="M348" s="53" t="s">
        <v>1165</v>
      </c>
      <c r="N348" s="56" t="s">
        <v>9</v>
      </c>
      <c r="O348" s="55" t="s">
        <v>4</v>
      </c>
      <c r="P348" s="55" t="s">
        <v>380</v>
      </c>
      <c r="Q348" s="53"/>
      <c r="R348" s="53"/>
      <c r="S348" s="55" t="s">
        <v>4</v>
      </c>
      <c r="T348" s="37" t="s">
        <v>1170</v>
      </c>
      <c r="U348" s="55" t="s">
        <v>380</v>
      </c>
      <c r="V348" s="37"/>
      <c r="W348" s="37" t="s">
        <v>1040</v>
      </c>
      <c r="X348" s="55" t="s">
        <v>4</v>
      </c>
      <c r="Y348" s="55" t="s">
        <v>4</v>
      </c>
      <c r="Z348" s="55" t="s">
        <v>4</v>
      </c>
      <c r="AA348" s="37" t="s">
        <v>391</v>
      </c>
      <c r="AB348" s="28"/>
      <c r="AC348" s="24"/>
      <c r="AD348" s="24"/>
    </row>
    <row r="349">
      <c r="A349" s="25"/>
      <c r="B349" s="53" t="s">
        <v>1189</v>
      </c>
      <c r="C349" s="53">
        <v>8.603520234E9</v>
      </c>
      <c r="D349" s="53">
        <v>28.0</v>
      </c>
      <c r="E349" s="55" t="s">
        <v>367</v>
      </c>
      <c r="F349" s="53" t="s">
        <v>441</v>
      </c>
      <c r="G349" s="53" t="s">
        <v>375</v>
      </c>
      <c r="H349" s="53" t="s">
        <v>383</v>
      </c>
      <c r="I349" s="53" t="s">
        <v>377</v>
      </c>
      <c r="J349" s="26" t="s">
        <v>1165</v>
      </c>
      <c r="K349" s="37" t="s">
        <v>1166</v>
      </c>
      <c r="L349" s="53" t="s">
        <v>1165</v>
      </c>
      <c r="M349" s="53" t="s">
        <v>1165</v>
      </c>
      <c r="N349" s="56" t="s">
        <v>9</v>
      </c>
      <c r="O349" s="55" t="s">
        <v>4</v>
      </c>
      <c r="P349" s="55" t="s">
        <v>4</v>
      </c>
      <c r="Q349" s="53" t="s">
        <v>867</v>
      </c>
      <c r="R349" s="53" t="s">
        <v>877</v>
      </c>
      <c r="S349" s="55" t="s">
        <v>4</v>
      </c>
      <c r="T349" s="37" t="s">
        <v>1190</v>
      </c>
      <c r="U349" s="55" t="s">
        <v>4</v>
      </c>
      <c r="V349" s="37" t="s">
        <v>1191</v>
      </c>
      <c r="W349" s="37" t="s">
        <v>1192</v>
      </c>
      <c r="X349" s="55" t="s">
        <v>4</v>
      </c>
      <c r="Y349" s="55" t="s">
        <v>4</v>
      </c>
      <c r="Z349" s="55" t="s">
        <v>4</v>
      </c>
      <c r="AA349" s="37" t="s">
        <v>391</v>
      </c>
      <c r="AB349" s="28"/>
      <c r="AC349" s="24"/>
      <c r="AD349" s="24"/>
    </row>
    <row r="350">
      <c r="A350" s="25"/>
      <c r="B350" s="53" t="s">
        <v>1193</v>
      </c>
      <c r="C350" s="53">
        <v>9.57284213E9</v>
      </c>
      <c r="D350" s="53">
        <v>22.0</v>
      </c>
      <c r="E350" s="55" t="s">
        <v>367</v>
      </c>
      <c r="F350" s="53" t="s">
        <v>536</v>
      </c>
      <c r="G350" s="53" t="s">
        <v>375</v>
      </c>
      <c r="H350" s="53" t="s">
        <v>383</v>
      </c>
      <c r="I350" s="53" t="s">
        <v>377</v>
      </c>
      <c r="J350" s="26" t="s">
        <v>1165</v>
      </c>
      <c r="K350" s="37" t="s">
        <v>1166</v>
      </c>
      <c r="L350" s="53" t="s">
        <v>1165</v>
      </c>
      <c r="M350" s="53" t="s">
        <v>1194</v>
      </c>
      <c r="N350" s="56" t="s">
        <v>9</v>
      </c>
      <c r="O350" s="55" t="s">
        <v>4</v>
      </c>
      <c r="P350" s="55" t="s">
        <v>4</v>
      </c>
      <c r="Q350" s="53" t="s">
        <v>867</v>
      </c>
      <c r="R350" s="53" t="s">
        <v>652</v>
      </c>
      <c r="S350" s="55" t="s">
        <v>4</v>
      </c>
      <c r="T350" s="37" t="s">
        <v>1195</v>
      </c>
      <c r="U350" s="55" t="s">
        <v>380</v>
      </c>
      <c r="V350" s="37"/>
      <c r="W350" s="37" t="s">
        <v>1040</v>
      </c>
      <c r="X350" s="55" t="s">
        <v>4</v>
      </c>
      <c r="Y350" s="55" t="s">
        <v>4</v>
      </c>
      <c r="Z350" s="55" t="s">
        <v>4</v>
      </c>
      <c r="AA350" s="37" t="s">
        <v>391</v>
      </c>
      <c r="AB350" s="28"/>
      <c r="AC350" s="24"/>
      <c r="AD350" s="24"/>
    </row>
    <row r="351">
      <c r="A351" s="25"/>
      <c r="B351" s="53" t="s">
        <v>1196</v>
      </c>
      <c r="C351" s="53">
        <v>7.091591301E9</v>
      </c>
      <c r="D351" s="53"/>
      <c r="E351" s="55"/>
      <c r="F351" s="53"/>
      <c r="G351" s="53"/>
      <c r="H351" s="53"/>
      <c r="I351" s="53"/>
      <c r="J351" s="19"/>
      <c r="K351" s="37" t="s">
        <v>1166</v>
      </c>
      <c r="L351" s="53"/>
      <c r="M351" s="53"/>
      <c r="N351" s="56" t="s">
        <v>27</v>
      </c>
      <c r="O351" s="55"/>
      <c r="P351" s="55"/>
      <c r="Q351" s="53"/>
      <c r="R351" s="53"/>
      <c r="S351" s="55"/>
      <c r="T351" s="37"/>
      <c r="U351" s="55"/>
      <c r="V351" s="37"/>
      <c r="W351" s="37"/>
      <c r="X351" s="55"/>
      <c r="Y351" s="55"/>
      <c r="Z351" s="55"/>
      <c r="AA351" s="37"/>
      <c r="AB351" s="28"/>
      <c r="AC351" s="24"/>
      <c r="AD351" s="24"/>
    </row>
    <row r="352">
      <c r="A352" s="25"/>
      <c r="B352" s="53" t="s">
        <v>1197</v>
      </c>
      <c r="C352" s="53">
        <v>9.939312926E9</v>
      </c>
      <c r="D352" s="53">
        <v>28.0</v>
      </c>
      <c r="E352" s="55" t="s">
        <v>367</v>
      </c>
      <c r="F352" s="53" t="s">
        <v>382</v>
      </c>
      <c r="G352" s="53" t="s">
        <v>375</v>
      </c>
      <c r="H352" s="53" t="s">
        <v>1185</v>
      </c>
      <c r="I352" s="53" t="s">
        <v>1198</v>
      </c>
      <c r="J352" s="26" t="s">
        <v>1165</v>
      </c>
      <c r="K352" s="37" t="s">
        <v>1166</v>
      </c>
      <c r="L352" s="53" t="s">
        <v>1165</v>
      </c>
      <c r="M352" s="53" t="s">
        <v>1199</v>
      </c>
      <c r="N352" s="56" t="s">
        <v>9</v>
      </c>
      <c r="O352" s="55" t="s">
        <v>4</v>
      </c>
      <c r="P352" s="55" t="s">
        <v>4</v>
      </c>
      <c r="Q352" s="53" t="s">
        <v>1200</v>
      </c>
      <c r="R352" s="53" t="s">
        <v>770</v>
      </c>
      <c r="S352" s="55" t="s">
        <v>4</v>
      </c>
      <c r="T352" s="37" t="s">
        <v>1195</v>
      </c>
      <c r="U352" s="55" t="s">
        <v>4</v>
      </c>
      <c r="V352" s="37" t="s">
        <v>1201</v>
      </c>
      <c r="W352" s="37" t="s">
        <v>1040</v>
      </c>
      <c r="X352" s="55" t="s">
        <v>4</v>
      </c>
      <c r="Y352" s="55" t="s">
        <v>4</v>
      </c>
      <c r="Z352" s="55" t="s">
        <v>4</v>
      </c>
      <c r="AA352" s="37" t="s">
        <v>391</v>
      </c>
      <c r="AB352" s="28"/>
      <c r="AC352" s="24"/>
      <c r="AD352" s="24"/>
    </row>
    <row r="353">
      <c r="A353" s="25"/>
      <c r="B353" s="53" t="s">
        <v>1202</v>
      </c>
      <c r="C353" s="53">
        <v>9.473294914E9</v>
      </c>
      <c r="D353" s="53">
        <v>22.0</v>
      </c>
      <c r="E353" s="55" t="s">
        <v>367</v>
      </c>
      <c r="F353" s="53" t="s">
        <v>1074</v>
      </c>
      <c r="G353" s="53" t="s">
        <v>375</v>
      </c>
      <c r="H353" s="53" t="s">
        <v>663</v>
      </c>
      <c r="I353" s="53" t="s">
        <v>377</v>
      </c>
      <c r="J353" s="26" t="s">
        <v>1165</v>
      </c>
      <c r="K353" s="37" t="s">
        <v>1166</v>
      </c>
      <c r="L353" s="53" t="s">
        <v>1165</v>
      </c>
      <c r="M353" s="53" t="s">
        <v>1165</v>
      </c>
      <c r="N353" s="56" t="s">
        <v>9</v>
      </c>
      <c r="O353" s="55" t="s">
        <v>4</v>
      </c>
      <c r="P353" s="55" t="s">
        <v>380</v>
      </c>
      <c r="Q353" s="53"/>
      <c r="R353" s="53"/>
      <c r="S353" s="55" t="s">
        <v>4</v>
      </c>
      <c r="T353" s="37"/>
      <c r="U353" s="55" t="s">
        <v>4</v>
      </c>
      <c r="V353" s="37" t="s">
        <v>1203</v>
      </c>
      <c r="W353" s="37" t="s">
        <v>1040</v>
      </c>
      <c r="X353" s="55" t="s">
        <v>4</v>
      </c>
      <c r="Y353" s="55" t="s">
        <v>4</v>
      </c>
      <c r="Z353" s="55" t="s">
        <v>4</v>
      </c>
      <c r="AA353" s="37" t="s">
        <v>391</v>
      </c>
      <c r="AB353" s="28"/>
      <c r="AC353" s="24"/>
      <c r="AD353" s="24"/>
    </row>
    <row r="354">
      <c r="A354" s="25"/>
      <c r="B354" s="53" t="s">
        <v>1204</v>
      </c>
      <c r="C354" s="53">
        <v>8.969582082E9</v>
      </c>
      <c r="D354" s="53">
        <v>40.0</v>
      </c>
      <c r="E354" s="55" t="s">
        <v>367</v>
      </c>
      <c r="F354" s="53" t="s">
        <v>1205</v>
      </c>
      <c r="G354" s="53" t="s">
        <v>375</v>
      </c>
      <c r="H354" s="53" t="s">
        <v>376</v>
      </c>
      <c r="I354" s="53" t="s">
        <v>377</v>
      </c>
      <c r="J354" s="26" t="s">
        <v>1165</v>
      </c>
      <c r="K354" s="37" t="s">
        <v>1166</v>
      </c>
      <c r="L354" s="53" t="s">
        <v>1165</v>
      </c>
      <c r="M354" s="53" t="s">
        <v>1206</v>
      </c>
      <c r="N354" s="56" t="s">
        <v>9</v>
      </c>
      <c r="O354" s="55" t="s">
        <v>4</v>
      </c>
      <c r="P354" s="55" t="s">
        <v>4</v>
      </c>
      <c r="Q354" s="53" t="s">
        <v>1200</v>
      </c>
      <c r="R354" s="53"/>
      <c r="S354" s="55" t="s">
        <v>4</v>
      </c>
      <c r="T354" s="37" t="s">
        <v>756</v>
      </c>
      <c r="U354" s="55" t="s">
        <v>4</v>
      </c>
      <c r="V354" s="37" t="s">
        <v>757</v>
      </c>
      <c r="W354" s="37" t="s">
        <v>1040</v>
      </c>
      <c r="X354" s="55" t="s">
        <v>4</v>
      </c>
      <c r="Y354" s="55" t="s">
        <v>4</v>
      </c>
      <c r="Z354" s="55" t="s">
        <v>4</v>
      </c>
      <c r="AA354" s="37" t="s">
        <v>391</v>
      </c>
      <c r="AB354" s="28"/>
      <c r="AC354" s="24"/>
      <c r="AD354" s="24"/>
    </row>
    <row r="355">
      <c r="A355" s="25"/>
      <c r="B355" s="53" t="s">
        <v>1207</v>
      </c>
      <c r="C355" s="53">
        <v>6.204785007E9</v>
      </c>
      <c r="D355" s="53">
        <v>25.0</v>
      </c>
      <c r="E355" s="55" t="s">
        <v>367</v>
      </c>
      <c r="F355" s="53" t="s">
        <v>382</v>
      </c>
      <c r="G355" s="53" t="s">
        <v>375</v>
      </c>
      <c r="H355" s="53" t="s">
        <v>407</v>
      </c>
      <c r="I355" s="53"/>
      <c r="J355" s="26" t="s">
        <v>1165</v>
      </c>
      <c r="K355" s="37" t="s">
        <v>1166</v>
      </c>
      <c r="L355" s="53" t="s">
        <v>1165</v>
      </c>
      <c r="M355" s="53" t="s">
        <v>1206</v>
      </c>
      <c r="N355" s="56" t="s">
        <v>9</v>
      </c>
      <c r="O355" s="55" t="s">
        <v>4</v>
      </c>
      <c r="P355" s="55" t="s">
        <v>380</v>
      </c>
      <c r="Q355" s="53"/>
      <c r="R355" s="53"/>
      <c r="S355" s="55" t="s">
        <v>4</v>
      </c>
      <c r="T355" s="37" t="s">
        <v>756</v>
      </c>
      <c r="U355" s="55" t="s">
        <v>4</v>
      </c>
      <c r="V355" s="37" t="s">
        <v>757</v>
      </c>
      <c r="W355" s="37" t="s">
        <v>1040</v>
      </c>
      <c r="X355" s="55" t="s">
        <v>4</v>
      </c>
      <c r="Y355" s="55" t="s">
        <v>4</v>
      </c>
      <c r="Z355" s="55" t="s">
        <v>4</v>
      </c>
      <c r="AA355" s="37" t="s">
        <v>391</v>
      </c>
      <c r="AB355" s="28"/>
      <c r="AC355" s="24"/>
      <c r="AD355" s="24"/>
    </row>
    <row r="356">
      <c r="A356" s="25"/>
      <c r="B356" s="53" t="s">
        <v>1208</v>
      </c>
      <c r="C356" s="53">
        <v>7.321870273E9</v>
      </c>
      <c r="D356" s="53"/>
      <c r="E356" s="55"/>
      <c r="F356" s="53"/>
      <c r="G356" s="53"/>
      <c r="H356" s="53"/>
      <c r="I356" s="53"/>
      <c r="J356" s="19"/>
      <c r="K356" s="37" t="s">
        <v>1166</v>
      </c>
      <c r="L356" s="53"/>
      <c r="M356" s="53"/>
      <c r="N356" s="56" t="s">
        <v>27</v>
      </c>
      <c r="O356" s="55"/>
      <c r="P356" s="55"/>
      <c r="Q356" s="53"/>
      <c r="R356" s="53"/>
      <c r="S356" s="55"/>
      <c r="T356" s="37"/>
      <c r="U356" s="55"/>
      <c r="V356" s="37"/>
      <c r="W356" s="37"/>
      <c r="X356" s="55"/>
      <c r="Y356" s="55"/>
      <c r="Z356" s="55"/>
      <c r="AA356" s="37"/>
      <c r="AB356" s="28"/>
      <c r="AC356" s="24"/>
      <c r="AD356" s="24"/>
    </row>
    <row r="357">
      <c r="A357" s="25"/>
      <c r="B357" s="53" t="s">
        <v>1209</v>
      </c>
      <c r="C357" s="53">
        <v>9.060333407E9</v>
      </c>
      <c r="D357" s="53"/>
      <c r="E357" s="55"/>
      <c r="F357" s="53"/>
      <c r="G357" s="53"/>
      <c r="H357" s="53"/>
      <c r="I357" s="53"/>
      <c r="J357" s="19"/>
      <c r="K357" s="37" t="s">
        <v>1166</v>
      </c>
      <c r="L357" s="53"/>
      <c r="M357" s="53"/>
      <c r="N357" s="56" t="s">
        <v>27</v>
      </c>
      <c r="O357" s="55"/>
      <c r="P357" s="55"/>
      <c r="Q357" s="53"/>
      <c r="R357" s="53"/>
      <c r="S357" s="55"/>
      <c r="T357" s="37"/>
      <c r="U357" s="55"/>
      <c r="V357" s="37"/>
      <c r="W357" s="37"/>
      <c r="X357" s="55"/>
      <c r="Y357" s="55"/>
      <c r="Z357" s="55"/>
      <c r="AA357" s="37"/>
      <c r="AB357" s="28"/>
      <c r="AC357" s="24"/>
      <c r="AD357" s="24"/>
    </row>
    <row r="358">
      <c r="A358" s="25"/>
      <c r="B358" s="53" t="s">
        <v>1210</v>
      </c>
      <c r="C358" s="53">
        <v>9.241038324E9</v>
      </c>
      <c r="D358" s="53">
        <v>19.0</v>
      </c>
      <c r="E358" s="55" t="s">
        <v>367</v>
      </c>
      <c r="F358" s="53" t="s">
        <v>382</v>
      </c>
      <c r="G358" s="53" t="s">
        <v>375</v>
      </c>
      <c r="H358" s="53" t="s">
        <v>376</v>
      </c>
      <c r="I358" s="53" t="s">
        <v>377</v>
      </c>
      <c r="J358" s="26" t="s">
        <v>1165</v>
      </c>
      <c r="K358" s="37" t="s">
        <v>1166</v>
      </c>
      <c r="L358" s="53" t="s">
        <v>1177</v>
      </c>
      <c r="M358" s="53" t="s">
        <v>1211</v>
      </c>
      <c r="N358" s="56" t="s">
        <v>9</v>
      </c>
      <c r="O358" s="55" t="s">
        <v>4</v>
      </c>
      <c r="P358" s="55" t="s">
        <v>380</v>
      </c>
      <c r="Q358" s="53"/>
      <c r="R358" s="53"/>
      <c r="S358" s="55" t="s">
        <v>380</v>
      </c>
      <c r="T358" s="37"/>
      <c r="U358" s="55" t="s">
        <v>380</v>
      </c>
      <c r="V358" s="37"/>
      <c r="W358" s="37" t="s">
        <v>1040</v>
      </c>
      <c r="X358" s="55" t="s">
        <v>4</v>
      </c>
      <c r="Y358" s="55" t="s">
        <v>4</v>
      </c>
      <c r="Z358" s="55" t="s">
        <v>4</v>
      </c>
      <c r="AA358" s="37" t="s">
        <v>391</v>
      </c>
      <c r="AB358" s="28"/>
      <c r="AC358" s="24"/>
      <c r="AD358" s="24"/>
    </row>
    <row r="359">
      <c r="A359" s="25"/>
      <c r="B359" s="53" t="s">
        <v>1212</v>
      </c>
      <c r="C359" s="53">
        <v>7.780062009E9</v>
      </c>
      <c r="D359" s="53">
        <v>22.0</v>
      </c>
      <c r="E359" s="55" t="s">
        <v>367</v>
      </c>
      <c r="F359" s="53" t="s">
        <v>441</v>
      </c>
      <c r="G359" s="53" t="s">
        <v>375</v>
      </c>
      <c r="H359" s="53" t="s">
        <v>926</v>
      </c>
      <c r="I359" s="53" t="s">
        <v>1213</v>
      </c>
      <c r="J359" s="26" t="s">
        <v>1165</v>
      </c>
      <c r="K359" s="37" t="s">
        <v>1166</v>
      </c>
      <c r="L359" s="53" t="s">
        <v>1165</v>
      </c>
      <c r="M359" s="53" t="s">
        <v>1165</v>
      </c>
      <c r="N359" s="56" t="s">
        <v>9</v>
      </c>
      <c r="O359" s="55" t="s">
        <v>4</v>
      </c>
      <c r="P359" s="55" t="s">
        <v>380</v>
      </c>
      <c r="Q359" s="53"/>
      <c r="R359" s="53"/>
      <c r="S359" s="55" t="s">
        <v>4</v>
      </c>
      <c r="T359" s="37"/>
      <c r="U359" s="55" t="s">
        <v>4</v>
      </c>
      <c r="V359" s="37"/>
      <c r="W359" s="37" t="s">
        <v>1040</v>
      </c>
      <c r="X359" s="55" t="s">
        <v>4</v>
      </c>
      <c r="Y359" s="55" t="s">
        <v>4</v>
      </c>
      <c r="Z359" s="55" t="s">
        <v>4</v>
      </c>
      <c r="AA359" s="37" t="s">
        <v>391</v>
      </c>
      <c r="AB359" s="28"/>
      <c r="AC359" s="24"/>
      <c r="AD359" s="24"/>
    </row>
    <row r="360">
      <c r="A360" s="25"/>
      <c r="B360" s="53" t="s">
        <v>188</v>
      </c>
      <c r="C360" s="53">
        <v>7.370918902E9</v>
      </c>
      <c r="D360" s="53">
        <v>24.0</v>
      </c>
      <c r="E360" s="55" t="s">
        <v>367</v>
      </c>
      <c r="F360" s="53" t="s">
        <v>382</v>
      </c>
      <c r="G360" s="53" t="s">
        <v>375</v>
      </c>
      <c r="H360" s="53" t="s">
        <v>637</v>
      </c>
      <c r="I360" s="53"/>
      <c r="J360" s="26" t="s">
        <v>1165</v>
      </c>
      <c r="K360" s="37" t="s">
        <v>1166</v>
      </c>
      <c r="L360" s="53" t="s">
        <v>1177</v>
      </c>
      <c r="M360" s="53" t="s">
        <v>1214</v>
      </c>
      <c r="N360" s="56" t="s">
        <v>9</v>
      </c>
      <c r="O360" s="55" t="s">
        <v>4</v>
      </c>
      <c r="P360" s="55" t="s">
        <v>380</v>
      </c>
      <c r="Q360" s="53"/>
      <c r="R360" s="53"/>
      <c r="S360" s="55" t="s">
        <v>4</v>
      </c>
      <c r="T360" s="37" t="s">
        <v>756</v>
      </c>
      <c r="U360" s="55" t="s">
        <v>4</v>
      </c>
      <c r="V360" s="37" t="s">
        <v>757</v>
      </c>
      <c r="W360" s="37" t="s">
        <v>1040</v>
      </c>
      <c r="X360" s="55" t="s">
        <v>4</v>
      </c>
      <c r="Y360" s="55" t="s">
        <v>380</v>
      </c>
      <c r="Z360" s="55" t="s">
        <v>4</v>
      </c>
      <c r="AA360" s="37" t="s">
        <v>391</v>
      </c>
      <c r="AB360" s="28"/>
      <c r="AC360" s="24"/>
      <c r="AD360" s="24"/>
    </row>
    <row r="361">
      <c r="A361" s="25"/>
      <c r="B361" s="53" t="s">
        <v>279</v>
      </c>
      <c r="C361" s="53">
        <v>6.202140134E9</v>
      </c>
      <c r="D361" s="53">
        <v>36.0</v>
      </c>
      <c r="E361" s="55" t="s">
        <v>367</v>
      </c>
      <c r="F361" s="53" t="s">
        <v>1184</v>
      </c>
      <c r="G361" s="53" t="s">
        <v>375</v>
      </c>
      <c r="H361" s="53" t="s">
        <v>407</v>
      </c>
      <c r="I361" s="53" t="s">
        <v>902</v>
      </c>
      <c r="J361" s="26" t="s">
        <v>1165</v>
      </c>
      <c r="K361" s="37" t="s">
        <v>1166</v>
      </c>
      <c r="L361" s="53" t="s">
        <v>1215</v>
      </c>
      <c r="M361" s="53" t="s">
        <v>1214</v>
      </c>
      <c r="N361" s="56" t="s">
        <v>9</v>
      </c>
      <c r="O361" s="55" t="s">
        <v>4</v>
      </c>
      <c r="P361" s="55" t="s">
        <v>4</v>
      </c>
      <c r="Q361" s="53" t="s">
        <v>444</v>
      </c>
      <c r="R361" s="53"/>
      <c r="S361" s="55" t="s">
        <v>4</v>
      </c>
      <c r="T361" s="37" t="s">
        <v>756</v>
      </c>
      <c r="U361" s="55" t="s">
        <v>4</v>
      </c>
      <c r="V361" s="37" t="s">
        <v>757</v>
      </c>
      <c r="W361" s="37" t="s">
        <v>1040</v>
      </c>
      <c r="X361" s="55" t="s">
        <v>4</v>
      </c>
      <c r="Y361" s="55" t="s">
        <v>4</v>
      </c>
      <c r="Z361" s="55" t="s">
        <v>4</v>
      </c>
      <c r="AA361" s="37" t="s">
        <v>391</v>
      </c>
      <c r="AB361" s="28"/>
      <c r="AC361" s="24"/>
      <c r="AD361" s="24"/>
    </row>
    <row r="362">
      <c r="A362" s="25"/>
      <c r="B362" s="53" t="s">
        <v>1216</v>
      </c>
      <c r="C362" s="53">
        <v>9.304752754E9</v>
      </c>
      <c r="D362" s="53"/>
      <c r="E362" s="55" t="s">
        <v>367</v>
      </c>
      <c r="F362" s="53"/>
      <c r="G362" s="53"/>
      <c r="H362" s="53"/>
      <c r="I362" s="53"/>
      <c r="J362" s="19"/>
      <c r="K362" s="37" t="s">
        <v>1166</v>
      </c>
      <c r="L362" s="53"/>
      <c r="M362" s="53"/>
      <c r="N362" s="56" t="s">
        <v>54</v>
      </c>
      <c r="O362" s="55"/>
      <c r="P362" s="55"/>
      <c r="Q362" s="53"/>
      <c r="R362" s="53"/>
      <c r="S362" s="55"/>
      <c r="T362" s="37"/>
      <c r="U362" s="55"/>
      <c r="V362" s="37"/>
      <c r="W362" s="37"/>
      <c r="X362" s="55"/>
      <c r="Y362" s="55"/>
      <c r="Z362" s="55"/>
      <c r="AA362" s="37"/>
      <c r="AB362" s="28"/>
      <c r="AC362" s="24"/>
      <c r="AD362" s="24"/>
    </row>
    <row r="363">
      <c r="A363" s="25"/>
      <c r="B363" s="53" t="s">
        <v>59</v>
      </c>
      <c r="C363" s="53">
        <v>9.102927676E9</v>
      </c>
      <c r="D363" s="53">
        <v>25.0</v>
      </c>
      <c r="E363" s="55" t="s">
        <v>367</v>
      </c>
      <c r="F363" s="53"/>
      <c r="G363" s="53" t="s">
        <v>375</v>
      </c>
      <c r="H363" s="53" t="s">
        <v>383</v>
      </c>
      <c r="I363" s="53" t="s">
        <v>384</v>
      </c>
      <c r="J363" s="26" t="s">
        <v>1165</v>
      </c>
      <c r="K363" s="37" t="s">
        <v>1166</v>
      </c>
      <c r="L363" s="53" t="s">
        <v>1165</v>
      </c>
      <c r="M363" s="53" t="s">
        <v>1217</v>
      </c>
      <c r="N363" s="56" t="s">
        <v>9</v>
      </c>
      <c r="O363" s="55" t="s">
        <v>4</v>
      </c>
      <c r="P363" s="55" t="s">
        <v>4</v>
      </c>
      <c r="Q363" s="53" t="s">
        <v>444</v>
      </c>
      <c r="R363" s="53"/>
      <c r="S363" s="55" t="s">
        <v>380</v>
      </c>
      <c r="T363" s="37"/>
      <c r="U363" s="55" t="s">
        <v>380</v>
      </c>
      <c r="V363" s="37"/>
      <c r="W363" s="37" t="s">
        <v>937</v>
      </c>
      <c r="X363" s="55" t="s">
        <v>4</v>
      </c>
      <c r="Y363" s="55" t="s">
        <v>4</v>
      </c>
      <c r="Z363" s="55" t="s">
        <v>4</v>
      </c>
      <c r="AA363" s="37" t="s">
        <v>391</v>
      </c>
      <c r="AB363" s="28"/>
      <c r="AC363" s="24"/>
      <c r="AD363" s="24"/>
    </row>
    <row r="364">
      <c r="A364" s="25"/>
      <c r="B364" s="53" t="s">
        <v>1218</v>
      </c>
      <c r="C364" s="53">
        <v>7.667300586E9</v>
      </c>
      <c r="D364" s="53">
        <v>20.0</v>
      </c>
      <c r="E364" s="55" t="s">
        <v>367</v>
      </c>
      <c r="F364" s="53" t="s">
        <v>382</v>
      </c>
      <c r="G364" s="53" t="s">
        <v>375</v>
      </c>
      <c r="H364" s="53" t="s">
        <v>383</v>
      </c>
      <c r="I364" s="53" t="s">
        <v>377</v>
      </c>
      <c r="J364" s="26" t="s">
        <v>1165</v>
      </c>
      <c r="K364" s="37" t="s">
        <v>1166</v>
      </c>
      <c r="L364" s="53" t="s">
        <v>1165</v>
      </c>
      <c r="M364" s="53" t="s">
        <v>1217</v>
      </c>
      <c r="N364" s="56" t="s">
        <v>9</v>
      </c>
      <c r="O364" s="55" t="s">
        <v>4</v>
      </c>
      <c r="P364" s="55" t="s">
        <v>4</v>
      </c>
      <c r="Q364" s="53" t="s">
        <v>444</v>
      </c>
      <c r="R364" s="53"/>
      <c r="S364" s="55" t="s">
        <v>380</v>
      </c>
      <c r="T364" s="37"/>
      <c r="U364" s="55" t="s">
        <v>380</v>
      </c>
      <c r="V364" s="37"/>
      <c r="W364" s="37" t="s">
        <v>937</v>
      </c>
      <c r="X364" s="55" t="s">
        <v>4</v>
      </c>
      <c r="Y364" s="55" t="s">
        <v>4</v>
      </c>
      <c r="Z364" s="55" t="s">
        <v>4</v>
      </c>
      <c r="AA364" s="37" t="s">
        <v>391</v>
      </c>
      <c r="AB364" s="28"/>
      <c r="AC364" s="24"/>
      <c r="AD364" s="24"/>
    </row>
    <row r="365">
      <c r="A365" s="25"/>
      <c r="B365" s="53" t="s">
        <v>1219</v>
      </c>
      <c r="C365" s="53">
        <v>7.050061768E9</v>
      </c>
      <c r="D365" s="53">
        <v>22.0</v>
      </c>
      <c r="E365" s="55" t="s">
        <v>367</v>
      </c>
      <c r="F365" s="53"/>
      <c r="G365" s="53" t="s">
        <v>375</v>
      </c>
      <c r="H365" s="53" t="s">
        <v>418</v>
      </c>
      <c r="I365" s="53" t="s">
        <v>1220</v>
      </c>
      <c r="J365" s="26" t="s">
        <v>1165</v>
      </c>
      <c r="K365" s="37" t="s">
        <v>1166</v>
      </c>
      <c r="L365" s="53" t="s">
        <v>1165</v>
      </c>
      <c r="M365" s="53" t="s">
        <v>1217</v>
      </c>
      <c r="N365" s="56" t="s">
        <v>9</v>
      </c>
      <c r="O365" s="55" t="s">
        <v>4</v>
      </c>
      <c r="P365" s="55" t="s">
        <v>4</v>
      </c>
      <c r="Q365" s="53" t="s">
        <v>444</v>
      </c>
      <c r="R365" s="53"/>
      <c r="S365" s="55" t="s">
        <v>380</v>
      </c>
      <c r="T365" s="37"/>
      <c r="U365" s="55" t="s">
        <v>380</v>
      </c>
      <c r="V365" s="37"/>
      <c r="W365" s="37" t="s">
        <v>937</v>
      </c>
      <c r="X365" s="55" t="s">
        <v>4</v>
      </c>
      <c r="Y365" s="55" t="s">
        <v>4</v>
      </c>
      <c r="Z365" s="55" t="s">
        <v>4</v>
      </c>
      <c r="AA365" s="37" t="s">
        <v>391</v>
      </c>
      <c r="AB365" s="28"/>
      <c r="AC365" s="24"/>
      <c r="AD365" s="24"/>
    </row>
    <row r="366">
      <c r="A366" s="25"/>
      <c r="B366" s="53" t="s">
        <v>1221</v>
      </c>
      <c r="C366" s="53">
        <v>6.203824909E9</v>
      </c>
      <c r="D366" s="53"/>
      <c r="E366" s="55"/>
      <c r="F366" s="53"/>
      <c r="G366" s="53"/>
      <c r="H366" s="53"/>
      <c r="I366" s="53"/>
      <c r="J366" s="19"/>
      <c r="K366" s="37" t="s">
        <v>1166</v>
      </c>
      <c r="L366" s="53"/>
      <c r="M366" s="53"/>
      <c r="N366" s="56" t="s">
        <v>30</v>
      </c>
      <c r="O366" s="55"/>
      <c r="P366" s="55"/>
      <c r="Q366" s="53"/>
      <c r="R366" s="53"/>
      <c r="S366" s="55"/>
      <c r="T366" s="37"/>
      <c r="U366" s="55"/>
      <c r="V366" s="37"/>
      <c r="W366" s="37"/>
      <c r="X366" s="55"/>
      <c r="Y366" s="55"/>
      <c r="Z366" s="55"/>
      <c r="AA366" s="37"/>
      <c r="AB366" s="28"/>
      <c r="AC366" s="24"/>
      <c r="AD366" s="24"/>
    </row>
    <row r="367">
      <c r="A367" s="25"/>
      <c r="B367" s="53" t="s">
        <v>1222</v>
      </c>
      <c r="C367" s="53">
        <v>9.163978025E9</v>
      </c>
      <c r="D367" s="53"/>
      <c r="E367" s="55"/>
      <c r="F367" s="53"/>
      <c r="G367" s="53"/>
      <c r="H367" s="53"/>
      <c r="I367" s="53"/>
      <c r="J367" s="19"/>
      <c r="K367" s="37" t="s">
        <v>1166</v>
      </c>
      <c r="L367" s="53"/>
      <c r="M367" s="53"/>
      <c r="N367" s="56" t="s">
        <v>23</v>
      </c>
      <c r="O367" s="55"/>
      <c r="P367" s="55"/>
      <c r="Q367" s="53"/>
      <c r="R367" s="53"/>
      <c r="S367" s="55"/>
      <c r="T367" s="37"/>
      <c r="U367" s="55"/>
      <c r="V367" s="37"/>
      <c r="W367" s="37"/>
      <c r="X367" s="55"/>
      <c r="Y367" s="55"/>
      <c r="Z367" s="55"/>
      <c r="AA367" s="37"/>
      <c r="AB367" s="28"/>
      <c r="AC367" s="24"/>
      <c r="AD367" s="24"/>
    </row>
    <row r="368">
      <c r="A368" s="25"/>
      <c r="B368" s="53" t="s">
        <v>1223</v>
      </c>
      <c r="C368" s="53">
        <v>8.77767485E9</v>
      </c>
      <c r="D368" s="53">
        <v>45.0</v>
      </c>
      <c r="E368" s="55" t="s">
        <v>367</v>
      </c>
      <c r="F368" s="53"/>
      <c r="G368" s="53" t="s">
        <v>518</v>
      </c>
      <c r="H368" s="53" t="s">
        <v>880</v>
      </c>
      <c r="I368" s="53" t="s">
        <v>518</v>
      </c>
      <c r="J368" s="26" t="s">
        <v>1165</v>
      </c>
      <c r="K368" s="37" t="s">
        <v>1166</v>
      </c>
      <c r="L368" s="53" t="s">
        <v>1165</v>
      </c>
      <c r="M368" s="53" t="s">
        <v>1224</v>
      </c>
      <c r="N368" s="56" t="s">
        <v>9</v>
      </c>
      <c r="O368" s="55" t="s">
        <v>4</v>
      </c>
      <c r="P368" s="55" t="s">
        <v>4</v>
      </c>
      <c r="Q368" s="53" t="s">
        <v>444</v>
      </c>
      <c r="R368" s="53"/>
      <c r="S368" s="55" t="s">
        <v>380</v>
      </c>
      <c r="T368" s="37"/>
      <c r="U368" s="55" t="s">
        <v>380</v>
      </c>
      <c r="V368" s="37"/>
      <c r="W368" s="37" t="s">
        <v>1167</v>
      </c>
      <c r="X368" s="55" t="s">
        <v>4</v>
      </c>
      <c r="Y368" s="55" t="s">
        <v>4</v>
      </c>
      <c r="Z368" s="55" t="s">
        <v>4</v>
      </c>
      <c r="AA368" s="37" t="s">
        <v>391</v>
      </c>
      <c r="AB368" s="28"/>
      <c r="AC368" s="24"/>
      <c r="AD368" s="24"/>
    </row>
    <row r="369">
      <c r="A369" s="25"/>
      <c r="B369" s="53" t="s">
        <v>1225</v>
      </c>
      <c r="C369" s="53">
        <v>6.202813137E9</v>
      </c>
      <c r="D369" s="53">
        <v>26.0</v>
      </c>
      <c r="E369" s="55" t="s">
        <v>367</v>
      </c>
      <c r="F369" s="53" t="s">
        <v>441</v>
      </c>
      <c r="G369" s="53" t="s">
        <v>375</v>
      </c>
      <c r="H369" s="53" t="s">
        <v>407</v>
      </c>
      <c r="I369" s="53" t="s">
        <v>1131</v>
      </c>
      <c r="J369" s="26" t="s">
        <v>1165</v>
      </c>
      <c r="K369" s="37" t="s">
        <v>1166</v>
      </c>
      <c r="L369" s="53" t="s">
        <v>1165</v>
      </c>
      <c r="M369" s="53" t="s">
        <v>1224</v>
      </c>
      <c r="N369" s="56" t="s">
        <v>9</v>
      </c>
      <c r="O369" s="55" t="s">
        <v>4</v>
      </c>
      <c r="P369" s="55" t="s">
        <v>4</v>
      </c>
      <c r="Q369" s="53" t="s">
        <v>444</v>
      </c>
      <c r="R369" s="53"/>
      <c r="S369" s="55" t="s">
        <v>380</v>
      </c>
      <c r="T369" s="37"/>
      <c r="U369" s="55" t="s">
        <v>380</v>
      </c>
      <c r="V369" s="37"/>
      <c r="W369" s="37" t="s">
        <v>1167</v>
      </c>
      <c r="X369" s="55" t="s">
        <v>4</v>
      </c>
      <c r="Y369" s="55" t="s">
        <v>4</v>
      </c>
      <c r="Z369" s="55" t="s">
        <v>4</v>
      </c>
      <c r="AA369" s="37" t="s">
        <v>391</v>
      </c>
      <c r="AB369" s="28"/>
      <c r="AC369" s="24"/>
      <c r="AD369" s="24"/>
    </row>
    <row r="370">
      <c r="A370" s="25"/>
      <c r="B370" s="17" t="s">
        <v>631</v>
      </c>
      <c r="C370" s="17">
        <v>9.065781349E9</v>
      </c>
      <c r="D370" s="53"/>
      <c r="E370" s="55"/>
      <c r="F370" s="53"/>
      <c r="G370" s="53"/>
      <c r="H370" s="53"/>
      <c r="I370" s="53"/>
      <c r="J370" s="26"/>
      <c r="K370" s="37" t="s">
        <v>1166</v>
      </c>
      <c r="L370" s="53"/>
      <c r="M370" s="53"/>
      <c r="N370" s="56" t="s">
        <v>54</v>
      </c>
      <c r="O370" s="55"/>
      <c r="P370" s="55"/>
      <c r="Q370" s="53"/>
      <c r="R370" s="53"/>
      <c r="S370" s="55"/>
      <c r="T370" s="37"/>
      <c r="U370" s="55"/>
      <c r="V370" s="37"/>
      <c r="W370" s="37"/>
      <c r="X370" s="55"/>
      <c r="Y370" s="55"/>
      <c r="Z370" s="55"/>
      <c r="AA370" s="37"/>
      <c r="AB370" s="28"/>
      <c r="AC370" s="24"/>
      <c r="AD370" s="24"/>
    </row>
    <row r="371">
      <c r="A371" s="25"/>
      <c r="B371" s="17" t="s">
        <v>1226</v>
      </c>
      <c r="C371" s="17">
        <v>7.324984345E9</v>
      </c>
      <c r="D371" s="53"/>
      <c r="E371" s="55"/>
      <c r="F371" s="53"/>
      <c r="G371" s="53"/>
      <c r="H371" s="53"/>
      <c r="I371" s="53"/>
      <c r="J371" s="26"/>
      <c r="K371" s="37" t="s">
        <v>1166</v>
      </c>
      <c r="L371" s="53"/>
      <c r="M371" s="53"/>
      <c r="N371" s="56" t="s">
        <v>23</v>
      </c>
      <c r="O371" s="55"/>
      <c r="P371" s="55"/>
      <c r="Q371" s="53"/>
      <c r="R371" s="53"/>
      <c r="S371" s="55"/>
      <c r="T371" s="37"/>
      <c r="U371" s="55"/>
      <c r="V371" s="37"/>
      <c r="W371" s="37"/>
      <c r="X371" s="55"/>
      <c r="Y371" s="55"/>
      <c r="Z371" s="55"/>
      <c r="AA371" s="37"/>
      <c r="AB371" s="28"/>
      <c r="AC371" s="24"/>
      <c r="AD371" s="24"/>
    </row>
    <row r="372">
      <c r="A372" s="25"/>
      <c r="B372" s="17" t="s">
        <v>1227</v>
      </c>
      <c r="C372" s="17">
        <v>9.122166283E9</v>
      </c>
      <c r="D372" s="53"/>
      <c r="E372" s="55"/>
      <c r="F372" s="53"/>
      <c r="G372" s="53"/>
      <c r="H372" s="53"/>
      <c r="I372" s="53"/>
      <c r="J372" s="26"/>
      <c r="K372" s="37" t="s">
        <v>1166</v>
      </c>
      <c r="L372" s="53"/>
      <c r="M372" s="53"/>
      <c r="N372" s="56" t="s">
        <v>27</v>
      </c>
      <c r="O372" s="55"/>
      <c r="P372" s="55"/>
      <c r="Q372" s="53"/>
      <c r="R372" s="53"/>
      <c r="S372" s="55"/>
      <c r="T372" s="37"/>
      <c r="U372" s="55"/>
      <c r="V372" s="37"/>
      <c r="W372" s="37"/>
      <c r="X372" s="55"/>
      <c r="Y372" s="55"/>
      <c r="Z372" s="55"/>
      <c r="AA372" s="37"/>
      <c r="AB372" s="28"/>
      <c r="AC372" s="24"/>
      <c r="AD372" s="24"/>
    </row>
    <row r="373">
      <c r="A373" s="25"/>
      <c r="B373" s="17" t="s">
        <v>1228</v>
      </c>
      <c r="C373" s="17">
        <v>9.304821832E9</v>
      </c>
      <c r="D373" s="53"/>
      <c r="E373" s="55"/>
      <c r="F373" s="53"/>
      <c r="G373" s="53"/>
      <c r="H373" s="53"/>
      <c r="I373" s="53"/>
      <c r="J373" s="26"/>
      <c r="K373" s="37" t="s">
        <v>1166</v>
      </c>
      <c r="L373" s="53"/>
      <c r="M373" s="53"/>
      <c r="N373" s="56" t="s">
        <v>30</v>
      </c>
      <c r="O373" s="55"/>
      <c r="P373" s="55"/>
      <c r="Q373" s="53"/>
      <c r="R373" s="53"/>
      <c r="S373" s="55"/>
      <c r="T373" s="37"/>
      <c r="U373" s="55"/>
      <c r="V373" s="37"/>
      <c r="W373" s="37"/>
      <c r="X373" s="55"/>
      <c r="Y373" s="55"/>
      <c r="Z373" s="55"/>
      <c r="AA373" s="37"/>
      <c r="AB373" s="28"/>
      <c r="AC373" s="24"/>
      <c r="AD373" s="24"/>
    </row>
    <row r="374">
      <c r="A374" s="25"/>
      <c r="B374" s="17" t="s">
        <v>1229</v>
      </c>
      <c r="C374" s="17">
        <v>7.250009871E9</v>
      </c>
      <c r="D374" s="53"/>
      <c r="E374" s="55"/>
      <c r="F374" s="53"/>
      <c r="G374" s="53"/>
      <c r="H374" s="53"/>
      <c r="I374" s="53"/>
      <c r="J374" s="26"/>
      <c r="K374" s="37" t="s">
        <v>1166</v>
      </c>
      <c r="L374" s="53"/>
      <c r="M374" s="53"/>
      <c r="N374" s="56" t="s">
        <v>13</v>
      </c>
      <c r="O374" s="55"/>
      <c r="P374" s="55"/>
      <c r="Q374" s="53"/>
      <c r="R374" s="53"/>
      <c r="S374" s="55"/>
      <c r="T374" s="37"/>
      <c r="U374" s="55"/>
      <c r="V374" s="37"/>
      <c r="W374" s="37"/>
      <c r="X374" s="55"/>
      <c r="Y374" s="55"/>
      <c r="Z374" s="55"/>
      <c r="AA374" s="37"/>
      <c r="AB374" s="28"/>
      <c r="AC374" s="24"/>
      <c r="AD374" s="24"/>
    </row>
    <row r="375">
      <c r="A375" s="25"/>
      <c r="B375" s="17" t="s">
        <v>1230</v>
      </c>
      <c r="C375" s="17">
        <v>9.431096993E9</v>
      </c>
      <c r="D375" s="53"/>
      <c r="E375" s="55"/>
      <c r="F375" s="53"/>
      <c r="G375" s="53"/>
      <c r="H375" s="53"/>
      <c r="I375" s="53"/>
      <c r="J375" s="26"/>
      <c r="K375" s="37" t="s">
        <v>1166</v>
      </c>
      <c r="L375" s="53"/>
      <c r="M375" s="53"/>
      <c r="N375" s="56" t="s">
        <v>23</v>
      </c>
      <c r="O375" s="55"/>
      <c r="P375" s="55"/>
      <c r="Q375" s="53"/>
      <c r="R375" s="53"/>
      <c r="S375" s="55"/>
      <c r="T375" s="37"/>
      <c r="U375" s="55"/>
      <c r="V375" s="37"/>
      <c r="W375" s="37"/>
      <c r="X375" s="55"/>
      <c r="Y375" s="55"/>
      <c r="Z375" s="55"/>
      <c r="AA375" s="37"/>
      <c r="AB375" s="28"/>
      <c r="AC375" s="24"/>
      <c r="AD375" s="24"/>
    </row>
    <row r="376">
      <c r="A376" s="25"/>
      <c r="B376" s="17" t="s">
        <v>1231</v>
      </c>
      <c r="C376" s="17">
        <v>7.004960913E9</v>
      </c>
      <c r="D376" s="53">
        <v>30.0</v>
      </c>
      <c r="E376" s="55" t="s">
        <v>367</v>
      </c>
      <c r="F376" s="53" t="s">
        <v>1232</v>
      </c>
      <c r="G376" s="53" t="s">
        <v>375</v>
      </c>
      <c r="H376" s="53" t="s">
        <v>1233</v>
      </c>
      <c r="I376" s="53" t="s">
        <v>1234</v>
      </c>
      <c r="J376" s="26" t="s">
        <v>1165</v>
      </c>
      <c r="K376" s="37" t="s">
        <v>1166</v>
      </c>
      <c r="L376" s="53" t="s">
        <v>1165</v>
      </c>
      <c r="M376" s="53" t="s">
        <v>1235</v>
      </c>
      <c r="N376" s="56" t="s">
        <v>9</v>
      </c>
      <c r="O376" s="55" t="s">
        <v>4</v>
      </c>
      <c r="P376" s="55" t="s">
        <v>4</v>
      </c>
      <c r="Q376" s="53" t="s">
        <v>1236</v>
      </c>
      <c r="R376" s="53" t="s">
        <v>1237</v>
      </c>
      <c r="S376" s="55" t="s">
        <v>4</v>
      </c>
      <c r="T376" s="37" t="s">
        <v>1238</v>
      </c>
      <c r="U376" s="55" t="s">
        <v>4</v>
      </c>
      <c r="V376" s="37" t="s">
        <v>1239</v>
      </c>
      <c r="W376" s="37" t="s">
        <v>616</v>
      </c>
      <c r="X376" s="55" t="s">
        <v>4</v>
      </c>
      <c r="Y376" s="55" t="s">
        <v>380</v>
      </c>
      <c r="Z376" s="55" t="s">
        <v>380</v>
      </c>
      <c r="AA376" s="37" t="s">
        <v>410</v>
      </c>
      <c r="AB376" s="28"/>
      <c r="AC376" s="24"/>
      <c r="AD376" s="24"/>
    </row>
    <row r="377">
      <c r="A377" s="25"/>
      <c r="B377" s="17" t="s">
        <v>1240</v>
      </c>
      <c r="C377" s="17">
        <v>7.739747146E9</v>
      </c>
      <c r="D377" s="53">
        <v>33.0</v>
      </c>
      <c r="E377" s="55" t="s">
        <v>367</v>
      </c>
      <c r="F377" s="53" t="s">
        <v>1241</v>
      </c>
      <c r="G377" s="53" t="s">
        <v>1242</v>
      </c>
      <c r="H377" s="53" t="s">
        <v>1243</v>
      </c>
      <c r="I377" s="53" t="s">
        <v>1244</v>
      </c>
      <c r="J377" s="26" t="s">
        <v>1165</v>
      </c>
      <c r="K377" s="37" t="s">
        <v>1166</v>
      </c>
      <c r="L377" s="53" t="s">
        <v>1165</v>
      </c>
      <c r="M377" s="53" t="s">
        <v>1245</v>
      </c>
      <c r="N377" s="56" t="s">
        <v>9</v>
      </c>
      <c r="O377" s="55" t="s">
        <v>4</v>
      </c>
      <c r="P377" s="55" t="s">
        <v>380</v>
      </c>
      <c r="Q377" s="53"/>
      <c r="R377" s="53"/>
      <c r="S377" s="55" t="s">
        <v>4</v>
      </c>
      <c r="T377" s="37" t="s">
        <v>1246</v>
      </c>
      <c r="U377" s="55" t="s">
        <v>4</v>
      </c>
      <c r="V377" s="37" t="s">
        <v>1247</v>
      </c>
      <c r="W377" s="37" t="s">
        <v>616</v>
      </c>
      <c r="X377" s="55" t="s">
        <v>4</v>
      </c>
      <c r="Y377" s="55" t="s">
        <v>4</v>
      </c>
      <c r="Z377" s="55" t="s">
        <v>4</v>
      </c>
      <c r="AA377" s="37" t="s">
        <v>391</v>
      </c>
      <c r="AB377" s="28"/>
      <c r="AC377" s="24"/>
      <c r="AD377" s="24"/>
    </row>
    <row r="378">
      <c r="A378" s="25"/>
      <c r="B378" s="17" t="s">
        <v>1248</v>
      </c>
      <c r="C378" s="17">
        <v>6.299537311E9</v>
      </c>
      <c r="D378" s="53">
        <v>40.0</v>
      </c>
      <c r="E378" s="55" t="s">
        <v>367</v>
      </c>
      <c r="F378" s="53" t="s">
        <v>1249</v>
      </c>
      <c r="G378" s="53" t="s">
        <v>1242</v>
      </c>
      <c r="H378" s="53" t="s">
        <v>1243</v>
      </c>
      <c r="I378" s="53" t="s">
        <v>1244</v>
      </c>
      <c r="J378" s="26" t="s">
        <v>1165</v>
      </c>
      <c r="K378" s="37" t="s">
        <v>1166</v>
      </c>
      <c r="L378" s="53" t="s">
        <v>1165</v>
      </c>
      <c r="M378" s="53" t="s">
        <v>1245</v>
      </c>
      <c r="N378" s="56" t="s">
        <v>9</v>
      </c>
      <c r="O378" s="55" t="s">
        <v>4</v>
      </c>
      <c r="P378" s="55" t="s">
        <v>380</v>
      </c>
      <c r="Q378" s="53"/>
      <c r="R378" s="53"/>
      <c r="S378" s="55" t="s">
        <v>4</v>
      </c>
      <c r="T378" s="37" t="s">
        <v>1250</v>
      </c>
      <c r="U378" s="55" t="s">
        <v>4</v>
      </c>
      <c r="V378" s="37" t="s">
        <v>1251</v>
      </c>
      <c r="W378" s="37" t="s">
        <v>1252</v>
      </c>
      <c r="X378" s="55" t="s">
        <v>380</v>
      </c>
      <c r="Y378" s="55" t="s">
        <v>4</v>
      </c>
      <c r="Z378" s="55" t="s">
        <v>380</v>
      </c>
      <c r="AA378" s="37" t="s">
        <v>410</v>
      </c>
      <c r="AB378" s="28"/>
      <c r="AC378" s="24"/>
      <c r="AD378" s="24"/>
    </row>
    <row r="379">
      <c r="A379" s="25"/>
      <c r="B379" s="17" t="s">
        <v>1253</v>
      </c>
      <c r="C379" s="17">
        <v>7.488020317E9</v>
      </c>
      <c r="D379" s="53"/>
      <c r="E379" s="55"/>
      <c r="F379" s="53"/>
      <c r="G379" s="53"/>
      <c r="H379" s="53"/>
      <c r="I379" s="53"/>
      <c r="J379" s="26"/>
      <c r="K379" s="37" t="s">
        <v>1166</v>
      </c>
      <c r="L379" s="53"/>
      <c r="M379" s="53"/>
      <c r="N379" s="56" t="s">
        <v>23</v>
      </c>
      <c r="O379" s="55"/>
      <c r="P379" s="55"/>
      <c r="Q379" s="53"/>
      <c r="R379" s="53"/>
      <c r="S379" s="55"/>
      <c r="T379" s="37"/>
      <c r="U379" s="55"/>
      <c r="V379" s="37"/>
      <c r="W379" s="37"/>
      <c r="X379" s="55"/>
      <c r="Y379" s="55"/>
      <c r="Z379" s="55"/>
      <c r="AA379" s="37"/>
      <c r="AB379" s="28"/>
      <c r="AC379" s="24"/>
      <c r="AD379" s="24"/>
    </row>
    <row r="380">
      <c r="A380" s="25"/>
      <c r="B380" s="17" t="s">
        <v>1254</v>
      </c>
      <c r="C380" s="17">
        <v>9.931883429E9</v>
      </c>
      <c r="D380" s="53"/>
      <c r="E380" s="55"/>
      <c r="F380" s="53"/>
      <c r="G380" s="53"/>
      <c r="H380" s="53"/>
      <c r="I380" s="53"/>
      <c r="J380" s="26"/>
      <c r="K380" s="37" t="s">
        <v>1166</v>
      </c>
      <c r="L380" s="53"/>
      <c r="M380" s="53"/>
      <c r="N380" s="56" t="s">
        <v>23</v>
      </c>
      <c r="O380" s="55"/>
      <c r="P380" s="55"/>
      <c r="Q380" s="53"/>
      <c r="R380" s="53"/>
      <c r="S380" s="55"/>
      <c r="T380" s="37"/>
      <c r="U380" s="55"/>
      <c r="V380" s="37"/>
      <c r="W380" s="37"/>
      <c r="X380" s="55"/>
      <c r="Y380" s="55"/>
      <c r="Z380" s="55"/>
      <c r="AA380" s="37"/>
      <c r="AB380" s="28"/>
      <c r="AC380" s="24"/>
      <c r="AD380" s="24"/>
    </row>
    <row r="381">
      <c r="A381" s="31"/>
      <c r="B381" s="17" t="s">
        <v>1255</v>
      </c>
      <c r="C381" s="17">
        <v>8.340411186E9</v>
      </c>
      <c r="D381" s="53"/>
      <c r="E381" s="55"/>
      <c r="F381" s="53"/>
      <c r="G381" s="53"/>
      <c r="H381" s="53"/>
      <c r="I381" s="53"/>
      <c r="J381" s="26"/>
      <c r="K381" s="37" t="s">
        <v>1166</v>
      </c>
      <c r="L381" s="53"/>
      <c r="M381" s="53"/>
      <c r="N381" s="56" t="s">
        <v>23</v>
      </c>
      <c r="O381" s="55"/>
      <c r="P381" s="55"/>
      <c r="Q381" s="53"/>
      <c r="R381" s="53"/>
      <c r="S381" s="55"/>
      <c r="T381" s="37"/>
      <c r="U381" s="55"/>
      <c r="V381" s="37"/>
      <c r="W381" s="37"/>
      <c r="X381" s="55"/>
      <c r="Y381" s="55"/>
      <c r="Z381" s="55"/>
      <c r="AA381" s="37"/>
      <c r="AB381" s="28"/>
      <c r="AC381" s="24"/>
      <c r="AD381" s="24"/>
    </row>
    <row r="382">
      <c r="A382" s="32"/>
      <c r="B382" s="33"/>
      <c r="C382" s="34"/>
      <c r="K382" s="34"/>
      <c r="N382" s="34"/>
      <c r="AB382" s="33"/>
      <c r="AC382" s="24"/>
      <c r="AD382" s="24"/>
    </row>
    <row r="383">
      <c r="A383" s="61" t="s">
        <v>1256</v>
      </c>
      <c r="B383" s="17" t="s">
        <v>1257</v>
      </c>
      <c r="C383" s="17">
        <v>7.488727175E9</v>
      </c>
      <c r="D383" s="26">
        <v>37.0</v>
      </c>
      <c r="E383" s="20" t="s">
        <v>367</v>
      </c>
      <c r="F383" s="26" t="s">
        <v>437</v>
      </c>
      <c r="G383" s="26" t="s">
        <v>375</v>
      </c>
      <c r="H383" s="17" t="s">
        <v>1233</v>
      </c>
      <c r="I383" s="17" t="s">
        <v>1258</v>
      </c>
      <c r="J383" s="26" t="s">
        <v>1259</v>
      </c>
      <c r="K383" s="18" t="s">
        <v>1260</v>
      </c>
      <c r="L383" s="17" t="s">
        <v>1261</v>
      </c>
      <c r="M383" s="17" t="s">
        <v>1262</v>
      </c>
      <c r="N383" s="21" t="s">
        <v>9</v>
      </c>
      <c r="O383" s="20" t="s">
        <v>4</v>
      </c>
      <c r="P383" s="20" t="s">
        <v>4</v>
      </c>
      <c r="Q383" s="26" t="s">
        <v>1263</v>
      </c>
      <c r="R383" s="26" t="s">
        <v>1264</v>
      </c>
      <c r="S383" s="20" t="s">
        <v>4</v>
      </c>
      <c r="T383" s="26" t="s">
        <v>1265</v>
      </c>
      <c r="U383" s="20" t="s">
        <v>4</v>
      </c>
      <c r="V383" s="26" t="s">
        <v>757</v>
      </c>
      <c r="W383" s="26" t="s">
        <v>616</v>
      </c>
      <c r="X383" s="20" t="s">
        <v>4</v>
      </c>
      <c r="Y383" s="20" t="s">
        <v>4</v>
      </c>
      <c r="Z383" s="20" t="s">
        <v>4</v>
      </c>
      <c r="AA383" s="26" t="s">
        <v>391</v>
      </c>
      <c r="AB383" s="19"/>
    </row>
    <row r="384">
      <c r="A384" s="25"/>
      <c r="B384" s="17" t="s">
        <v>1123</v>
      </c>
      <c r="C384" s="17">
        <v>8.226834984E9</v>
      </c>
      <c r="D384" s="19"/>
      <c r="E384" s="22"/>
      <c r="F384" s="19"/>
      <c r="G384" s="19"/>
      <c r="H384" s="17" t="s">
        <v>1266</v>
      </c>
      <c r="I384" s="17" t="s">
        <v>1267</v>
      </c>
      <c r="J384" s="19"/>
      <c r="K384" s="18" t="s">
        <v>1260</v>
      </c>
      <c r="L384" s="17" t="s">
        <v>1268</v>
      </c>
      <c r="M384" s="17" t="s">
        <v>1269</v>
      </c>
      <c r="N384" s="21" t="s">
        <v>23</v>
      </c>
      <c r="O384" s="22"/>
      <c r="P384" s="22"/>
      <c r="Q384" s="19"/>
      <c r="R384" s="19"/>
      <c r="S384" s="22"/>
      <c r="T384" s="19"/>
      <c r="U384" s="22"/>
      <c r="V384" s="19"/>
      <c r="W384" s="19"/>
      <c r="X384" s="22"/>
      <c r="Y384" s="22"/>
      <c r="Z384" s="22"/>
      <c r="AA384" s="19"/>
      <c r="AB384" s="19"/>
    </row>
    <row r="385">
      <c r="A385" s="25"/>
      <c r="B385" s="17" t="s">
        <v>1270</v>
      </c>
      <c r="C385" s="17">
        <v>8.809630892E9</v>
      </c>
      <c r="D385" s="26">
        <v>28.0</v>
      </c>
      <c r="E385" s="20" t="s">
        <v>367</v>
      </c>
      <c r="F385" s="26" t="s">
        <v>374</v>
      </c>
      <c r="G385" s="26" t="s">
        <v>375</v>
      </c>
      <c r="H385" s="17" t="s">
        <v>1266</v>
      </c>
      <c r="I385" s="17" t="s">
        <v>1271</v>
      </c>
      <c r="J385" s="26" t="s">
        <v>1272</v>
      </c>
      <c r="K385" s="18" t="s">
        <v>1260</v>
      </c>
      <c r="L385" s="17" t="s">
        <v>1268</v>
      </c>
      <c r="M385" s="17" t="s">
        <v>1269</v>
      </c>
      <c r="N385" s="21" t="s">
        <v>9</v>
      </c>
      <c r="O385" s="20" t="s">
        <v>4</v>
      </c>
      <c r="P385" s="20" t="s">
        <v>380</v>
      </c>
      <c r="Q385" s="19"/>
      <c r="R385" s="19"/>
      <c r="S385" s="20" t="s">
        <v>4</v>
      </c>
      <c r="T385" s="19"/>
      <c r="U385" s="20" t="s">
        <v>4</v>
      </c>
      <c r="V385" s="26" t="s">
        <v>1273</v>
      </c>
      <c r="W385" s="26" t="s">
        <v>616</v>
      </c>
      <c r="X385" s="20" t="s">
        <v>4</v>
      </c>
      <c r="Y385" s="20" t="s">
        <v>4</v>
      </c>
      <c r="Z385" s="20" t="s">
        <v>4</v>
      </c>
      <c r="AA385" s="26" t="s">
        <v>391</v>
      </c>
      <c r="AB385" s="19"/>
    </row>
    <row r="386">
      <c r="A386" s="25"/>
      <c r="B386" s="17" t="s">
        <v>1274</v>
      </c>
      <c r="C386" s="17">
        <v>6.203886623E9</v>
      </c>
      <c r="D386" s="19"/>
      <c r="E386" s="22"/>
      <c r="F386" s="19"/>
      <c r="G386" s="19"/>
      <c r="H386" s="17" t="s">
        <v>1266</v>
      </c>
      <c r="I386" s="17" t="s">
        <v>1275</v>
      </c>
      <c r="J386" s="19"/>
      <c r="K386" s="18" t="s">
        <v>1260</v>
      </c>
      <c r="L386" s="17" t="s">
        <v>1276</v>
      </c>
      <c r="M386" s="17" t="s">
        <v>1277</v>
      </c>
      <c r="N386" s="21" t="s">
        <v>27</v>
      </c>
      <c r="O386" s="22"/>
      <c r="P386" s="22"/>
      <c r="Q386" s="19"/>
      <c r="R386" s="19"/>
      <c r="S386" s="22"/>
      <c r="T386" s="19"/>
      <c r="U386" s="22"/>
      <c r="V386" s="19"/>
      <c r="W386" s="19"/>
      <c r="X386" s="22"/>
      <c r="Y386" s="22"/>
      <c r="Z386" s="22"/>
      <c r="AA386" s="19"/>
      <c r="AB386" s="19"/>
    </row>
    <row r="387">
      <c r="A387" s="25"/>
      <c r="B387" s="17" t="s">
        <v>188</v>
      </c>
      <c r="C387" s="17">
        <v>7.488513884E9</v>
      </c>
      <c r="D387" s="26">
        <v>25.0</v>
      </c>
      <c r="E387" s="20" t="s">
        <v>367</v>
      </c>
      <c r="F387" s="26" t="s">
        <v>1278</v>
      </c>
      <c r="G387" s="26" t="s">
        <v>375</v>
      </c>
      <c r="H387" s="17" t="s">
        <v>1266</v>
      </c>
      <c r="I387" s="17" t="s">
        <v>1267</v>
      </c>
      <c r="J387" s="26" t="s">
        <v>1272</v>
      </c>
      <c r="K387" s="18" t="s">
        <v>1260</v>
      </c>
      <c r="L387" s="17" t="s">
        <v>1276</v>
      </c>
      <c r="M387" s="17" t="s">
        <v>1277</v>
      </c>
      <c r="N387" s="21" t="s">
        <v>9</v>
      </c>
      <c r="O387" s="20" t="s">
        <v>4</v>
      </c>
      <c r="P387" s="20" t="s">
        <v>380</v>
      </c>
      <c r="Q387" s="19"/>
      <c r="R387" s="19"/>
      <c r="S387" s="20" t="s">
        <v>4</v>
      </c>
      <c r="T387" s="26" t="s">
        <v>756</v>
      </c>
      <c r="U387" s="20" t="s">
        <v>4</v>
      </c>
      <c r="V387" s="26" t="s">
        <v>642</v>
      </c>
      <c r="W387" s="26" t="s">
        <v>616</v>
      </c>
      <c r="X387" s="20" t="s">
        <v>4</v>
      </c>
      <c r="Y387" s="20" t="s">
        <v>4</v>
      </c>
      <c r="Z387" s="20" t="s">
        <v>4</v>
      </c>
      <c r="AA387" s="26" t="s">
        <v>391</v>
      </c>
      <c r="AB387" s="19"/>
    </row>
    <row r="388">
      <c r="A388" s="25"/>
      <c r="B388" s="17" t="s">
        <v>1279</v>
      </c>
      <c r="C388" s="17">
        <v>8.409826137E9</v>
      </c>
      <c r="D388" s="26">
        <v>24.0</v>
      </c>
      <c r="E388" s="20" t="s">
        <v>367</v>
      </c>
      <c r="F388" s="26" t="s">
        <v>382</v>
      </c>
      <c r="G388" s="26" t="s">
        <v>375</v>
      </c>
      <c r="H388" s="17" t="s">
        <v>1233</v>
      </c>
      <c r="I388" s="17" t="s">
        <v>1280</v>
      </c>
      <c r="J388" s="26" t="s">
        <v>1272</v>
      </c>
      <c r="K388" s="18" t="s">
        <v>1260</v>
      </c>
      <c r="L388" s="17" t="s">
        <v>1276</v>
      </c>
      <c r="M388" s="17" t="s">
        <v>1277</v>
      </c>
      <c r="N388" s="21" t="s">
        <v>9</v>
      </c>
      <c r="O388" s="20" t="s">
        <v>380</v>
      </c>
      <c r="P388" s="20" t="s">
        <v>380</v>
      </c>
      <c r="Q388" s="19"/>
      <c r="R388" s="19"/>
      <c r="S388" s="20" t="s">
        <v>380</v>
      </c>
      <c r="T388" s="19"/>
      <c r="U388" s="20" t="s">
        <v>4</v>
      </c>
      <c r="V388" s="26" t="s">
        <v>1281</v>
      </c>
      <c r="W388" s="26" t="s">
        <v>616</v>
      </c>
      <c r="X388" s="20" t="s">
        <v>4</v>
      </c>
      <c r="Y388" s="20" t="s">
        <v>4</v>
      </c>
      <c r="Z388" s="20" t="s">
        <v>4</v>
      </c>
      <c r="AA388" s="26" t="s">
        <v>391</v>
      </c>
      <c r="AB388" s="19"/>
    </row>
    <row r="389">
      <c r="A389" s="25"/>
      <c r="B389" s="17" t="s">
        <v>1282</v>
      </c>
      <c r="C389" s="17">
        <v>6.2048621E9</v>
      </c>
      <c r="D389" s="19"/>
      <c r="E389" s="22"/>
      <c r="F389" s="19"/>
      <c r="G389" s="19"/>
      <c r="H389" s="17" t="s">
        <v>422</v>
      </c>
      <c r="I389" s="17" t="s">
        <v>1283</v>
      </c>
      <c r="J389" s="19"/>
      <c r="K389" s="18" t="s">
        <v>1260</v>
      </c>
      <c r="L389" s="17" t="s">
        <v>1276</v>
      </c>
      <c r="M389" s="17" t="s">
        <v>1277</v>
      </c>
      <c r="N389" s="21" t="s">
        <v>23</v>
      </c>
      <c r="O389" s="22"/>
      <c r="P389" s="22"/>
      <c r="Q389" s="19"/>
      <c r="R389" s="19"/>
      <c r="S389" s="22"/>
      <c r="T389" s="19"/>
      <c r="U389" s="22"/>
      <c r="V389" s="19"/>
      <c r="W389" s="19"/>
      <c r="X389" s="22"/>
      <c r="Y389" s="22"/>
      <c r="Z389" s="22"/>
      <c r="AA389" s="19"/>
      <c r="AB389" s="19"/>
    </row>
    <row r="390">
      <c r="A390" s="25"/>
      <c r="B390" s="17" t="s">
        <v>1284</v>
      </c>
      <c r="C390" s="17">
        <v>9.006234655E9</v>
      </c>
      <c r="D390" s="26">
        <v>57.0</v>
      </c>
      <c r="E390" s="20" t="s">
        <v>367</v>
      </c>
      <c r="F390" s="26" t="s">
        <v>374</v>
      </c>
      <c r="G390" s="26" t="s">
        <v>375</v>
      </c>
      <c r="H390" s="17" t="s">
        <v>1233</v>
      </c>
      <c r="I390" s="17" t="s">
        <v>1285</v>
      </c>
      <c r="J390" s="26" t="s">
        <v>1272</v>
      </c>
      <c r="K390" s="18" t="s">
        <v>1260</v>
      </c>
      <c r="L390" s="17" t="s">
        <v>1261</v>
      </c>
      <c r="M390" s="17" t="s">
        <v>1286</v>
      </c>
      <c r="N390" s="21" t="s">
        <v>9</v>
      </c>
      <c r="O390" s="20" t="s">
        <v>4</v>
      </c>
      <c r="P390" s="20" t="s">
        <v>4</v>
      </c>
      <c r="Q390" s="26" t="s">
        <v>444</v>
      </c>
      <c r="R390" s="19"/>
      <c r="S390" s="20" t="s">
        <v>4</v>
      </c>
      <c r="T390" s="26" t="s">
        <v>756</v>
      </c>
      <c r="U390" s="20" t="s">
        <v>4</v>
      </c>
      <c r="V390" s="26" t="s">
        <v>642</v>
      </c>
      <c r="W390" s="26" t="s">
        <v>616</v>
      </c>
      <c r="X390" s="20" t="s">
        <v>4</v>
      </c>
      <c r="Y390" s="20" t="s">
        <v>4</v>
      </c>
      <c r="Z390" s="20" t="s">
        <v>4</v>
      </c>
      <c r="AA390" s="26" t="s">
        <v>391</v>
      </c>
      <c r="AB390" s="19"/>
    </row>
    <row r="391">
      <c r="A391" s="25"/>
      <c r="B391" s="17" t="s">
        <v>1287</v>
      </c>
      <c r="C391" s="17">
        <v>9.304402581E9</v>
      </c>
      <c r="D391" s="19"/>
      <c r="E391" s="22"/>
      <c r="F391" s="19"/>
      <c r="G391" s="19"/>
      <c r="H391" s="17" t="s">
        <v>1233</v>
      </c>
      <c r="I391" s="17" t="s">
        <v>1288</v>
      </c>
      <c r="J391" s="19"/>
      <c r="K391" s="18" t="s">
        <v>1260</v>
      </c>
      <c r="L391" s="17" t="s">
        <v>1268</v>
      </c>
      <c r="M391" s="17" t="s">
        <v>1289</v>
      </c>
      <c r="N391" s="21" t="s">
        <v>30</v>
      </c>
      <c r="O391" s="22"/>
      <c r="P391" s="22"/>
      <c r="Q391" s="19"/>
      <c r="R391" s="19"/>
      <c r="S391" s="22"/>
      <c r="T391" s="19"/>
      <c r="U391" s="22"/>
      <c r="V391" s="19"/>
      <c r="W391" s="19"/>
      <c r="X391" s="22"/>
      <c r="Y391" s="22"/>
      <c r="Z391" s="22"/>
      <c r="AA391" s="19"/>
      <c r="AB391" s="19"/>
    </row>
    <row r="392">
      <c r="A392" s="25"/>
      <c r="B392" s="17" t="s">
        <v>1290</v>
      </c>
      <c r="C392" s="17">
        <v>7.091923787E9</v>
      </c>
      <c r="D392" s="26">
        <v>45.0</v>
      </c>
      <c r="E392" s="20" t="s">
        <v>367</v>
      </c>
      <c r="F392" s="26" t="s">
        <v>374</v>
      </c>
      <c r="G392" s="26" t="s">
        <v>375</v>
      </c>
      <c r="H392" s="17" t="s">
        <v>1233</v>
      </c>
      <c r="I392" s="17" t="s">
        <v>1280</v>
      </c>
      <c r="J392" s="26" t="s">
        <v>1272</v>
      </c>
      <c r="K392" s="18" t="s">
        <v>1260</v>
      </c>
      <c r="L392" s="17" t="s">
        <v>1268</v>
      </c>
      <c r="M392" s="17" t="s">
        <v>1289</v>
      </c>
      <c r="N392" s="21" t="s">
        <v>9</v>
      </c>
      <c r="O392" s="20" t="s">
        <v>4</v>
      </c>
      <c r="P392" s="20" t="s">
        <v>380</v>
      </c>
      <c r="Q392" s="19"/>
      <c r="R392" s="19"/>
      <c r="S392" s="20" t="s">
        <v>4</v>
      </c>
      <c r="T392" s="26" t="s">
        <v>756</v>
      </c>
      <c r="U392" s="20" t="s">
        <v>4</v>
      </c>
      <c r="V392" s="19"/>
      <c r="W392" s="26" t="s">
        <v>616</v>
      </c>
      <c r="X392" s="20" t="s">
        <v>4</v>
      </c>
      <c r="Y392" s="20" t="s">
        <v>4</v>
      </c>
      <c r="Z392" s="20" t="s">
        <v>4</v>
      </c>
      <c r="AA392" s="26" t="s">
        <v>391</v>
      </c>
      <c r="AB392" s="19"/>
    </row>
    <row r="393">
      <c r="A393" s="25"/>
      <c r="B393" s="17" t="s">
        <v>1284</v>
      </c>
      <c r="C393" s="17">
        <v>8.12471461E9</v>
      </c>
      <c r="D393" s="26">
        <v>32.0</v>
      </c>
      <c r="E393" s="20" t="s">
        <v>367</v>
      </c>
      <c r="F393" s="26" t="s">
        <v>1184</v>
      </c>
      <c r="G393" s="26" t="s">
        <v>375</v>
      </c>
      <c r="H393" s="17" t="s">
        <v>1266</v>
      </c>
      <c r="I393" s="17" t="s">
        <v>1291</v>
      </c>
      <c r="J393" s="26" t="s">
        <v>1272</v>
      </c>
      <c r="K393" s="18" t="s">
        <v>1260</v>
      </c>
      <c r="L393" s="17" t="s">
        <v>1268</v>
      </c>
      <c r="M393" s="17" t="s">
        <v>1289</v>
      </c>
      <c r="N393" s="21" t="s">
        <v>9</v>
      </c>
      <c r="O393" s="20" t="s">
        <v>4</v>
      </c>
      <c r="P393" s="20" t="s">
        <v>4</v>
      </c>
      <c r="Q393" s="26" t="s">
        <v>1292</v>
      </c>
      <c r="R393" s="19"/>
      <c r="S393" s="20" t="s">
        <v>4</v>
      </c>
      <c r="T393" s="26" t="s">
        <v>756</v>
      </c>
      <c r="U393" s="20" t="s">
        <v>4</v>
      </c>
      <c r="V393" s="26" t="s">
        <v>757</v>
      </c>
      <c r="W393" s="26" t="s">
        <v>616</v>
      </c>
      <c r="X393" s="20" t="s">
        <v>4</v>
      </c>
      <c r="Y393" s="20" t="s">
        <v>4</v>
      </c>
      <c r="Z393" s="20" t="s">
        <v>4</v>
      </c>
      <c r="AA393" s="26" t="s">
        <v>391</v>
      </c>
      <c r="AB393" s="19"/>
    </row>
    <row r="394">
      <c r="A394" s="25"/>
      <c r="B394" s="17" t="s">
        <v>1293</v>
      </c>
      <c r="C394" s="17">
        <v>6.299849892E9</v>
      </c>
      <c r="D394" s="19"/>
      <c r="E394" s="22"/>
      <c r="F394" s="19"/>
      <c r="G394" s="19"/>
      <c r="H394" s="17" t="s">
        <v>1266</v>
      </c>
      <c r="I394" s="17" t="s">
        <v>1271</v>
      </c>
      <c r="J394" s="19"/>
      <c r="K394" s="18" t="s">
        <v>1260</v>
      </c>
      <c r="L394" s="17" t="s">
        <v>1268</v>
      </c>
      <c r="M394" s="17" t="s">
        <v>1294</v>
      </c>
      <c r="N394" s="21" t="s">
        <v>27</v>
      </c>
      <c r="O394" s="22"/>
      <c r="P394" s="22"/>
      <c r="Q394" s="19"/>
      <c r="R394" s="19"/>
      <c r="S394" s="22"/>
      <c r="T394" s="19"/>
      <c r="U394" s="22"/>
      <c r="V394" s="19"/>
      <c r="W394" s="19"/>
      <c r="X394" s="22"/>
      <c r="Y394" s="22"/>
      <c r="Z394" s="22"/>
      <c r="AA394" s="19"/>
      <c r="AB394" s="19"/>
    </row>
    <row r="395">
      <c r="A395" s="25"/>
      <c r="B395" s="17" t="s">
        <v>1295</v>
      </c>
      <c r="C395" s="17">
        <v>7.00452548E9</v>
      </c>
      <c r="D395" s="26">
        <v>25.0</v>
      </c>
      <c r="E395" s="20" t="s">
        <v>367</v>
      </c>
      <c r="F395" s="26" t="s">
        <v>1184</v>
      </c>
      <c r="G395" s="26" t="s">
        <v>375</v>
      </c>
      <c r="H395" s="17" t="s">
        <v>1266</v>
      </c>
      <c r="I395" s="17" t="s">
        <v>1267</v>
      </c>
      <c r="J395" s="26" t="s">
        <v>1272</v>
      </c>
      <c r="K395" s="18" t="s">
        <v>1260</v>
      </c>
      <c r="L395" s="17" t="s">
        <v>1268</v>
      </c>
      <c r="M395" s="17" t="s">
        <v>1294</v>
      </c>
      <c r="N395" s="21" t="s">
        <v>9</v>
      </c>
      <c r="O395" s="20" t="s">
        <v>4</v>
      </c>
      <c r="P395" s="20" t="s">
        <v>380</v>
      </c>
      <c r="Q395" s="19"/>
      <c r="R395" s="19"/>
      <c r="S395" s="20" t="s">
        <v>4</v>
      </c>
      <c r="T395" s="26" t="s">
        <v>1296</v>
      </c>
      <c r="U395" s="20" t="s">
        <v>4</v>
      </c>
      <c r="V395" s="26" t="s">
        <v>757</v>
      </c>
      <c r="W395" s="26" t="s">
        <v>616</v>
      </c>
      <c r="X395" s="20" t="s">
        <v>4</v>
      </c>
      <c r="Y395" s="20" t="s">
        <v>380</v>
      </c>
      <c r="Z395" s="20" t="s">
        <v>4</v>
      </c>
      <c r="AA395" s="26" t="s">
        <v>391</v>
      </c>
      <c r="AB395" s="19"/>
    </row>
    <row r="396">
      <c r="A396" s="25"/>
      <c r="B396" s="17" t="s">
        <v>1297</v>
      </c>
      <c r="C396" s="17">
        <v>9.835497527E9</v>
      </c>
      <c r="D396" s="26">
        <v>45.0</v>
      </c>
      <c r="E396" s="20" t="s">
        <v>367</v>
      </c>
      <c r="F396" s="26" t="s">
        <v>374</v>
      </c>
      <c r="G396" s="26" t="s">
        <v>375</v>
      </c>
      <c r="H396" s="17" t="s">
        <v>1233</v>
      </c>
      <c r="I396" s="17" t="s">
        <v>1280</v>
      </c>
      <c r="J396" s="26" t="s">
        <v>1272</v>
      </c>
      <c r="K396" s="18" t="s">
        <v>1260</v>
      </c>
      <c r="L396" s="17" t="s">
        <v>1268</v>
      </c>
      <c r="M396" s="17" t="s">
        <v>1294</v>
      </c>
      <c r="N396" s="21" t="s">
        <v>9</v>
      </c>
      <c r="O396" s="20" t="s">
        <v>4</v>
      </c>
      <c r="P396" s="20" t="s">
        <v>4</v>
      </c>
      <c r="Q396" s="19"/>
      <c r="R396" s="19"/>
      <c r="S396" s="20" t="s">
        <v>4</v>
      </c>
      <c r="T396" s="26" t="s">
        <v>1298</v>
      </c>
      <c r="U396" s="20" t="s">
        <v>4</v>
      </c>
      <c r="V396" s="26" t="s">
        <v>462</v>
      </c>
      <c r="W396" s="26" t="s">
        <v>616</v>
      </c>
      <c r="X396" s="20" t="s">
        <v>4</v>
      </c>
      <c r="Y396" s="20" t="s">
        <v>4</v>
      </c>
      <c r="Z396" s="20" t="s">
        <v>4</v>
      </c>
      <c r="AA396" s="26" t="s">
        <v>391</v>
      </c>
      <c r="AB396" s="19"/>
    </row>
    <row r="397">
      <c r="A397" s="25"/>
      <c r="B397" s="17" t="s">
        <v>1299</v>
      </c>
      <c r="C397" s="17">
        <v>8.271750772E9</v>
      </c>
      <c r="D397" s="26">
        <v>32.0</v>
      </c>
      <c r="E397" s="20" t="s">
        <v>367</v>
      </c>
      <c r="F397" s="26" t="s">
        <v>1300</v>
      </c>
      <c r="G397" s="26" t="s">
        <v>518</v>
      </c>
      <c r="H397" s="17" t="s">
        <v>376</v>
      </c>
      <c r="I397" s="17" t="s">
        <v>1301</v>
      </c>
      <c r="J397" s="26" t="s">
        <v>1272</v>
      </c>
      <c r="K397" s="18" t="s">
        <v>1260</v>
      </c>
      <c r="L397" s="17" t="s">
        <v>1261</v>
      </c>
      <c r="M397" s="17" t="s">
        <v>1262</v>
      </c>
      <c r="N397" s="21" t="s">
        <v>9</v>
      </c>
      <c r="O397" s="20" t="s">
        <v>4</v>
      </c>
      <c r="P397" s="20" t="s">
        <v>4</v>
      </c>
      <c r="Q397" s="26" t="s">
        <v>444</v>
      </c>
      <c r="R397" s="26" t="s">
        <v>1302</v>
      </c>
      <c r="S397" s="20" t="s">
        <v>4</v>
      </c>
      <c r="T397" s="26" t="s">
        <v>756</v>
      </c>
      <c r="U397" s="20" t="s">
        <v>4</v>
      </c>
      <c r="V397" s="26" t="s">
        <v>807</v>
      </c>
      <c r="W397" s="26" t="s">
        <v>616</v>
      </c>
      <c r="X397" s="20" t="s">
        <v>4</v>
      </c>
      <c r="Y397" s="20" t="s">
        <v>4</v>
      </c>
      <c r="Z397" s="20" t="s">
        <v>4</v>
      </c>
      <c r="AA397" s="26" t="s">
        <v>391</v>
      </c>
      <c r="AB397" s="19"/>
    </row>
    <row r="398">
      <c r="A398" s="25"/>
      <c r="B398" s="17" t="s">
        <v>1303</v>
      </c>
      <c r="C398" s="17">
        <v>8.409777247E9</v>
      </c>
      <c r="D398" s="26">
        <v>28.0</v>
      </c>
      <c r="E398" s="20" t="s">
        <v>367</v>
      </c>
      <c r="F398" s="26" t="s">
        <v>441</v>
      </c>
      <c r="G398" s="26" t="s">
        <v>518</v>
      </c>
      <c r="H398" s="17" t="s">
        <v>1304</v>
      </c>
      <c r="I398" s="17" t="s">
        <v>1305</v>
      </c>
      <c r="J398" s="26" t="s">
        <v>1272</v>
      </c>
      <c r="K398" s="18" t="s">
        <v>1260</v>
      </c>
      <c r="L398" s="17" t="s">
        <v>1261</v>
      </c>
      <c r="M398" s="17" t="s">
        <v>1262</v>
      </c>
      <c r="N398" s="21" t="s">
        <v>9</v>
      </c>
      <c r="O398" s="20" t="s">
        <v>4</v>
      </c>
      <c r="P398" s="20" t="s">
        <v>4</v>
      </c>
      <c r="Q398" s="26" t="s">
        <v>1200</v>
      </c>
      <c r="R398" s="19"/>
      <c r="S398" s="22"/>
      <c r="T398" s="26" t="s">
        <v>756</v>
      </c>
      <c r="U398" s="20" t="s">
        <v>4</v>
      </c>
      <c r="V398" s="19"/>
      <c r="W398" s="26" t="s">
        <v>616</v>
      </c>
      <c r="X398" s="20" t="s">
        <v>4</v>
      </c>
      <c r="Y398" s="20" t="s">
        <v>380</v>
      </c>
      <c r="Z398" s="20" t="s">
        <v>4</v>
      </c>
      <c r="AA398" s="26" t="s">
        <v>391</v>
      </c>
      <c r="AB398" s="19"/>
    </row>
    <row r="399">
      <c r="A399" s="25"/>
      <c r="B399" s="17" t="s">
        <v>465</v>
      </c>
      <c r="C399" s="17">
        <v>9.199348446E9</v>
      </c>
      <c r="D399" s="26">
        <v>37.0</v>
      </c>
      <c r="E399" s="20" t="s">
        <v>367</v>
      </c>
      <c r="F399" s="26" t="s">
        <v>374</v>
      </c>
      <c r="G399" s="26" t="s">
        <v>375</v>
      </c>
      <c r="H399" s="17" t="s">
        <v>1233</v>
      </c>
      <c r="I399" s="17" t="s">
        <v>1258</v>
      </c>
      <c r="J399" s="26" t="s">
        <v>1272</v>
      </c>
      <c r="K399" s="18" t="s">
        <v>1260</v>
      </c>
      <c r="L399" s="17" t="s">
        <v>1261</v>
      </c>
      <c r="M399" s="17" t="s">
        <v>1262</v>
      </c>
      <c r="N399" s="21" t="s">
        <v>9</v>
      </c>
      <c r="O399" s="20" t="s">
        <v>4</v>
      </c>
      <c r="P399" s="20" t="s">
        <v>380</v>
      </c>
      <c r="Q399" s="19"/>
      <c r="R399" s="19"/>
      <c r="S399" s="20" t="s">
        <v>380</v>
      </c>
      <c r="T399" s="19"/>
      <c r="U399" s="20" t="s">
        <v>4</v>
      </c>
      <c r="V399" s="26" t="s">
        <v>757</v>
      </c>
      <c r="W399" s="26" t="s">
        <v>616</v>
      </c>
      <c r="X399" s="20" t="s">
        <v>4</v>
      </c>
      <c r="Y399" s="20" t="s">
        <v>4</v>
      </c>
      <c r="Z399" s="20" t="s">
        <v>4</v>
      </c>
      <c r="AA399" s="26" t="s">
        <v>391</v>
      </c>
      <c r="AB399" s="19"/>
    </row>
    <row r="400">
      <c r="A400" s="25"/>
      <c r="B400" s="17" t="s">
        <v>1306</v>
      </c>
      <c r="C400" s="17">
        <v>7.549393163E9</v>
      </c>
      <c r="D400" s="26">
        <v>52.0</v>
      </c>
      <c r="E400" s="20" t="s">
        <v>367</v>
      </c>
      <c r="F400" s="26" t="s">
        <v>1184</v>
      </c>
      <c r="G400" s="26" t="s">
        <v>375</v>
      </c>
      <c r="H400" s="17" t="s">
        <v>1233</v>
      </c>
      <c r="I400" s="17" t="s">
        <v>1258</v>
      </c>
      <c r="J400" s="26" t="s">
        <v>1272</v>
      </c>
      <c r="K400" s="18" t="s">
        <v>1260</v>
      </c>
      <c r="L400" s="17" t="s">
        <v>1261</v>
      </c>
      <c r="M400" s="17" t="s">
        <v>1307</v>
      </c>
      <c r="N400" s="21" t="s">
        <v>9</v>
      </c>
      <c r="O400" s="20" t="s">
        <v>4</v>
      </c>
      <c r="P400" s="20" t="s">
        <v>380</v>
      </c>
      <c r="Q400" s="19"/>
      <c r="R400" s="19"/>
      <c r="S400" s="20" t="s">
        <v>4</v>
      </c>
      <c r="T400" s="26" t="s">
        <v>1308</v>
      </c>
      <c r="U400" s="20" t="s">
        <v>4</v>
      </c>
      <c r="V400" s="26" t="s">
        <v>1309</v>
      </c>
      <c r="W400" s="26" t="s">
        <v>616</v>
      </c>
      <c r="X400" s="20" t="s">
        <v>4</v>
      </c>
      <c r="Y400" s="20" t="s">
        <v>4</v>
      </c>
      <c r="Z400" s="20" t="s">
        <v>4</v>
      </c>
      <c r="AA400" s="26" t="s">
        <v>391</v>
      </c>
      <c r="AB400" s="19"/>
    </row>
    <row r="401">
      <c r="A401" s="25"/>
      <c r="B401" s="17" t="s">
        <v>1282</v>
      </c>
      <c r="C401" s="17">
        <v>8.862814222E9</v>
      </c>
      <c r="D401" s="26">
        <v>22.0</v>
      </c>
      <c r="E401" s="20" t="s">
        <v>367</v>
      </c>
      <c r="F401" s="26" t="s">
        <v>382</v>
      </c>
      <c r="G401" s="26" t="s">
        <v>375</v>
      </c>
      <c r="H401" s="17" t="s">
        <v>1310</v>
      </c>
      <c r="I401" s="17" t="s">
        <v>1311</v>
      </c>
      <c r="J401" s="26" t="s">
        <v>1272</v>
      </c>
      <c r="K401" s="18" t="s">
        <v>1260</v>
      </c>
      <c r="L401" s="17" t="s">
        <v>1261</v>
      </c>
      <c r="M401" s="17" t="s">
        <v>1307</v>
      </c>
      <c r="N401" s="21" t="s">
        <v>9</v>
      </c>
      <c r="O401" s="20" t="s">
        <v>4</v>
      </c>
      <c r="P401" s="20" t="s">
        <v>380</v>
      </c>
      <c r="Q401" s="19"/>
      <c r="R401" s="19"/>
      <c r="S401" s="20" t="s">
        <v>4</v>
      </c>
      <c r="T401" s="26" t="s">
        <v>1312</v>
      </c>
      <c r="U401" s="20" t="s">
        <v>380</v>
      </c>
      <c r="V401" s="19"/>
      <c r="W401" s="26" t="s">
        <v>612</v>
      </c>
      <c r="X401" s="20" t="s">
        <v>4</v>
      </c>
      <c r="Y401" s="20" t="s">
        <v>4</v>
      </c>
      <c r="Z401" s="20" t="s">
        <v>4</v>
      </c>
      <c r="AA401" s="26" t="s">
        <v>391</v>
      </c>
      <c r="AB401" s="19"/>
    </row>
    <row r="402">
      <c r="A402" s="25"/>
      <c r="B402" s="17" t="s">
        <v>1313</v>
      </c>
      <c r="C402" s="17">
        <v>7.90339847E9</v>
      </c>
      <c r="D402" s="26">
        <v>25.0</v>
      </c>
      <c r="E402" s="20" t="s">
        <v>367</v>
      </c>
      <c r="F402" s="26" t="s">
        <v>1184</v>
      </c>
      <c r="G402" s="26" t="s">
        <v>375</v>
      </c>
      <c r="H402" s="17" t="s">
        <v>1310</v>
      </c>
      <c r="I402" s="17" t="s">
        <v>1311</v>
      </c>
      <c r="J402" s="26" t="s">
        <v>1272</v>
      </c>
      <c r="K402" s="18" t="s">
        <v>1260</v>
      </c>
      <c r="L402" s="17" t="s">
        <v>1261</v>
      </c>
      <c r="M402" s="17" t="s">
        <v>1307</v>
      </c>
      <c r="N402" s="21" t="s">
        <v>9</v>
      </c>
      <c r="O402" s="20" t="s">
        <v>4</v>
      </c>
      <c r="P402" s="20" t="s">
        <v>380</v>
      </c>
      <c r="Q402" s="19"/>
      <c r="R402" s="19"/>
      <c r="S402" s="20" t="s">
        <v>4</v>
      </c>
      <c r="T402" s="26" t="s">
        <v>756</v>
      </c>
      <c r="U402" s="20" t="s">
        <v>4</v>
      </c>
      <c r="V402" s="26" t="s">
        <v>1314</v>
      </c>
      <c r="W402" s="26" t="s">
        <v>616</v>
      </c>
      <c r="X402" s="20" t="s">
        <v>4</v>
      </c>
      <c r="Y402" s="20" t="s">
        <v>4</v>
      </c>
      <c r="Z402" s="20" t="s">
        <v>4</v>
      </c>
      <c r="AA402" s="26" t="s">
        <v>391</v>
      </c>
      <c r="AB402" s="19"/>
    </row>
    <row r="403">
      <c r="A403" s="25"/>
      <c r="B403" s="17" t="s">
        <v>412</v>
      </c>
      <c r="C403" s="17">
        <v>8.34073961E9</v>
      </c>
      <c r="D403" s="26">
        <v>32.0</v>
      </c>
      <c r="E403" s="20" t="s">
        <v>367</v>
      </c>
      <c r="F403" s="26" t="s">
        <v>1315</v>
      </c>
      <c r="G403" s="26" t="s">
        <v>375</v>
      </c>
      <c r="H403" s="17" t="s">
        <v>1233</v>
      </c>
      <c r="I403" s="17" t="s">
        <v>1280</v>
      </c>
      <c r="J403" s="26" t="s">
        <v>1272</v>
      </c>
      <c r="K403" s="18" t="s">
        <v>1260</v>
      </c>
      <c r="L403" s="17" t="s">
        <v>1316</v>
      </c>
      <c r="M403" s="17" t="s">
        <v>1317</v>
      </c>
      <c r="N403" s="21" t="s">
        <v>9</v>
      </c>
      <c r="O403" s="20" t="s">
        <v>4</v>
      </c>
      <c r="P403" s="20" t="s">
        <v>380</v>
      </c>
      <c r="Q403" s="19"/>
      <c r="R403" s="19"/>
      <c r="S403" s="20" t="s">
        <v>4</v>
      </c>
      <c r="T403" s="26" t="s">
        <v>756</v>
      </c>
      <c r="U403" s="20" t="s">
        <v>4</v>
      </c>
      <c r="V403" s="19"/>
      <c r="W403" s="26" t="s">
        <v>616</v>
      </c>
      <c r="X403" s="20" t="s">
        <v>4</v>
      </c>
      <c r="Y403" s="20" t="s">
        <v>380</v>
      </c>
      <c r="Z403" s="20" t="s">
        <v>4</v>
      </c>
      <c r="AA403" s="26" t="s">
        <v>391</v>
      </c>
      <c r="AB403" s="19"/>
    </row>
    <row r="404">
      <c r="A404" s="25"/>
      <c r="B404" s="17" t="s">
        <v>653</v>
      </c>
      <c r="C404" s="17">
        <v>7.992242754E9</v>
      </c>
      <c r="D404" s="26">
        <v>30.0</v>
      </c>
      <c r="E404" s="20" t="s">
        <v>367</v>
      </c>
      <c r="F404" s="26" t="s">
        <v>1184</v>
      </c>
      <c r="G404" s="26" t="s">
        <v>375</v>
      </c>
      <c r="H404" s="17" t="s">
        <v>1266</v>
      </c>
      <c r="I404" s="17" t="s">
        <v>1267</v>
      </c>
      <c r="J404" s="26" t="s">
        <v>1272</v>
      </c>
      <c r="K404" s="18" t="s">
        <v>1260</v>
      </c>
      <c r="L404" s="17" t="s">
        <v>1276</v>
      </c>
      <c r="M404" s="17" t="s">
        <v>1277</v>
      </c>
      <c r="N404" s="21" t="s">
        <v>9</v>
      </c>
      <c r="O404" s="20" t="s">
        <v>4</v>
      </c>
      <c r="P404" s="20" t="s">
        <v>380</v>
      </c>
      <c r="Q404" s="19"/>
      <c r="R404" s="19"/>
      <c r="S404" s="20" t="s">
        <v>4</v>
      </c>
      <c r="T404" s="26" t="s">
        <v>756</v>
      </c>
      <c r="U404" s="20" t="s">
        <v>4</v>
      </c>
      <c r="V404" s="26" t="s">
        <v>1308</v>
      </c>
      <c r="W404" s="26" t="s">
        <v>616</v>
      </c>
      <c r="X404" s="20" t="s">
        <v>4</v>
      </c>
      <c r="Y404" s="20" t="s">
        <v>4</v>
      </c>
      <c r="Z404" s="20" t="s">
        <v>4</v>
      </c>
      <c r="AA404" s="26" t="s">
        <v>391</v>
      </c>
      <c r="AB404" s="19"/>
    </row>
    <row r="405">
      <c r="A405" s="25"/>
      <c r="B405" s="17" t="s">
        <v>1318</v>
      </c>
      <c r="C405" s="17">
        <v>9.76633185E9</v>
      </c>
      <c r="D405" s="26">
        <v>38.0</v>
      </c>
      <c r="E405" s="20" t="s">
        <v>367</v>
      </c>
      <c r="F405" s="26" t="s">
        <v>1319</v>
      </c>
      <c r="G405" s="26" t="s">
        <v>375</v>
      </c>
      <c r="H405" s="17" t="s">
        <v>1266</v>
      </c>
      <c r="I405" s="17" t="s">
        <v>1320</v>
      </c>
      <c r="J405" s="26" t="s">
        <v>1272</v>
      </c>
      <c r="K405" s="18" t="s">
        <v>1260</v>
      </c>
      <c r="L405" s="17" t="s">
        <v>1276</v>
      </c>
      <c r="M405" s="17" t="s">
        <v>1277</v>
      </c>
      <c r="N405" s="21" t="s">
        <v>9</v>
      </c>
      <c r="O405" s="20" t="s">
        <v>4</v>
      </c>
      <c r="P405" s="20" t="s">
        <v>380</v>
      </c>
      <c r="Q405" s="19"/>
      <c r="R405" s="19"/>
      <c r="S405" s="20" t="s">
        <v>380</v>
      </c>
      <c r="T405" s="19"/>
      <c r="U405" s="20" t="s">
        <v>4</v>
      </c>
      <c r="V405" s="26" t="s">
        <v>757</v>
      </c>
      <c r="W405" s="26" t="s">
        <v>612</v>
      </c>
      <c r="X405" s="20" t="s">
        <v>4</v>
      </c>
      <c r="Y405" s="20" t="s">
        <v>380</v>
      </c>
      <c r="Z405" s="20" t="s">
        <v>4</v>
      </c>
      <c r="AA405" s="26" t="s">
        <v>391</v>
      </c>
      <c r="AB405" s="19"/>
    </row>
    <row r="406">
      <c r="A406" s="25"/>
      <c r="B406" s="17" t="s">
        <v>1321</v>
      </c>
      <c r="C406" s="17">
        <v>8.294986386E9</v>
      </c>
      <c r="D406" s="19"/>
      <c r="E406" s="22"/>
      <c r="F406" s="19"/>
      <c r="G406" s="19"/>
      <c r="H406" s="17" t="s">
        <v>1310</v>
      </c>
      <c r="I406" s="17" t="s">
        <v>1322</v>
      </c>
      <c r="J406" s="19"/>
      <c r="K406" s="18" t="s">
        <v>1260</v>
      </c>
      <c r="L406" s="17" t="s">
        <v>1316</v>
      </c>
      <c r="M406" s="17" t="s">
        <v>1323</v>
      </c>
      <c r="N406" s="21" t="s">
        <v>30</v>
      </c>
      <c r="O406" s="22"/>
      <c r="P406" s="22"/>
      <c r="Q406" s="19"/>
      <c r="R406" s="19"/>
      <c r="S406" s="22"/>
      <c r="T406" s="19"/>
      <c r="U406" s="22"/>
      <c r="V406" s="19"/>
      <c r="W406" s="19"/>
      <c r="X406" s="22"/>
      <c r="Y406" s="22"/>
      <c r="Z406" s="22"/>
      <c r="AA406" s="19"/>
      <c r="AB406" s="19"/>
    </row>
    <row r="407">
      <c r="A407" s="25"/>
      <c r="B407" s="17" t="s">
        <v>1324</v>
      </c>
      <c r="C407" s="17">
        <v>9.033161595E9</v>
      </c>
      <c r="D407" s="19"/>
      <c r="E407" s="22"/>
      <c r="F407" s="19"/>
      <c r="G407" s="19"/>
      <c r="H407" s="17" t="s">
        <v>1325</v>
      </c>
      <c r="I407" s="17" t="s">
        <v>1283</v>
      </c>
      <c r="J407" s="19"/>
      <c r="K407" s="18" t="s">
        <v>1260</v>
      </c>
      <c r="L407" s="17" t="s">
        <v>1261</v>
      </c>
      <c r="M407" s="17" t="s">
        <v>1326</v>
      </c>
      <c r="N407" s="21" t="s">
        <v>23</v>
      </c>
      <c r="O407" s="22"/>
      <c r="P407" s="22"/>
      <c r="Q407" s="19"/>
      <c r="R407" s="19"/>
      <c r="S407" s="22"/>
      <c r="T407" s="19"/>
      <c r="U407" s="22"/>
      <c r="V407" s="19"/>
      <c r="W407" s="19"/>
      <c r="X407" s="22"/>
      <c r="Y407" s="22"/>
      <c r="Z407" s="22"/>
      <c r="AA407" s="19"/>
      <c r="AB407" s="19"/>
    </row>
    <row r="408">
      <c r="A408" s="25"/>
      <c r="B408" s="17" t="s">
        <v>1080</v>
      </c>
      <c r="C408" s="17">
        <v>6.205372009E9</v>
      </c>
      <c r="D408" s="26">
        <v>34.0</v>
      </c>
      <c r="E408" s="20" t="s">
        <v>367</v>
      </c>
      <c r="F408" s="26" t="s">
        <v>1327</v>
      </c>
      <c r="G408" s="26" t="s">
        <v>375</v>
      </c>
      <c r="H408" s="17" t="s">
        <v>1266</v>
      </c>
      <c r="I408" s="17" t="s">
        <v>1267</v>
      </c>
      <c r="J408" s="26" t="s">
        <v>1272</v>
      </c>
      <c r="K408" s="18" t="s">
        <v>1260</v>
      </c>
      <c r="L408" s="17" t="s">
        <v>1261</v>
      </c>
      <c r="M408" s="17" t="s">
        <v>1326</v>
      </c>
      <c r="N408" s="21" t="s">
        <v>9</v>
      </c>
      <c r="O408" s="20" t="s">
        <v>4</v>
      </c>
      <c r="P408" s="20" t="s">
        <v>380</v>
      </c>
      <c r="Q408" s="19"/>
      <c r="R408" s="19"/>
      <c r="S408" s="20" t="s">
        <v>4</v>
      </c>
      <c r="T408" s="26" t="s">
        <v>756</v>
      </c>
      <c r="U408" s="20" t="s">
        <v>380</v>
      </c>
      <c r="V408" s="19"/>
      <c r="W408" s="26" t="s">
        <v>616</v>
      </c>
      <c r="X408" s="20" t="s">
        <v>380</v>
      </c>
      <c r="Y408" s="20" t="s">
        <v>4</v>
      </c>
      <c r="Z408" s="20" t="s">
        <v>4</v>
      </c>
      <c r="AA408" s="26" t="s">
        <v>391</v>
      </c>
      <c r="AB408" s="19"/>
    </row>
    <row r="409">
      <c r="A409" s="25"/>
      <c r="B409" s="17" t="s">
        <v>1328</v>
      </c>
      <c r="C409" s="17">
        <v>6.201785701E9</v>
      </c>
      <c r="D409" s="26">
        <v>35.0</v>
      </c>
      <c r="E409" s="20" t="s">
        <v>367</v>
      </c>
      <c r="F409" s="26" t="s">
        <v>1329</v>
      </c>
      <c r="G409" s="26" t="s">
        <v>375</v>
      </c>
      <c r="H409" s="17" t="s">
        <v>1233</v>
      </c>
      <c r="I409" s="17" t="s">
        <v>1330</v>
      </c>
      <c r="J409" s="26" t="s">
        <v>1272</v>
      </c>
      <c r="K409" s="18" t="s">
        <v>1260</v>
      </c>
      <c r="L409" s="17" t="s">
        <v>1261</v>
      </c>
      <c r="M409" s="17" t="s">
        <v>1331</v>
      </c>
      <c r="N409" s="21" t="s">
        <v>9</v>
      </c>
      <c r="O409" s="20" t="s">
        <v>4</v>
      </c>
      <c r="P409" s="20" t="s">
        <v>380</v>
      </c>
      <c r="Q409" s="19"/>
      <c r="R409" s="19"/>
      <c r="S409" s="20" t="s">
        <v>4</v>
      </c>
      <c r="T409" s="26" t="s">
        <v>1332</v>
      </c>
      <c r="U409" s="20" t="s">
        <v>380</v>
      </c>
      <c r="V409" s="19"/>
      <c r="W409" s="26" t="s">
        <v>616</v>
      </c>
      <c r="X409" s="20" t="s">
        <v>380</v>
      </c>
      <c r="Y409" s="20" t="s">
        <v>4</v>
      </c>
      <c r="Z409" s="20" t="s">
        <v>4</v>
      </c>
      <c r="AA409" s="26" t="s">
        <v>391</v>
      </c>
      <c r="AB409" s="19"/>
    </row>
    <row r="410">
      <c r="A410" s="25"/>
      <c r="B410" s="17" t="s">
        <v>629</v>
      </c>
      <c r="C410" s="17">
        <v>9.60886355E9</v>
      </c>
      <c r="D410" s="26">
        <v>45.0</v>
      </c>
      <c r="E410" s="20" t="s">
        <v>367</v>
      </c>
      <c r="F410" s="26" t="s">
        <v>1184</v>
      </c>
      <c r="G410" s="26" t="s">
        <v>375</v>
      </c>
      <c r="H410" s="17" t="s">
        <v>1310</v>
      </c>
      <c r="I410" s="17" t="s">
        <v>1311</v>
      </c>
      <c r="J410" s="26" t="s">
        <v>1272</v>
      </c>
      <c r="K410" s="18" t="s">
        <v>1260</v>
      </c>
      <c r="L410" s="17" t="s">
        <v>1261</v>
      </c>
      <c r="M410" s="17" t="s">
        <v>1333</v>
      </c>
      <c r="N410" s="21" t="s">
        <v>9</v>
      </c>
      <c r="O410" s="20" t="s">
        <v>4</v>
      </c>
      <c r="P410" s="20" t="s">
        <v>380</v>
      </c>
      <c r="Q410" s="19"/>
      <c r="R410" s="19"/>
      <c r="S410" s="20" t="s">
        <v>4</v>
      </c>
      <c r="T410" s="26" t="s">
        <v>756</v>
      </c>
      <c r="U410" s="20" t="s">
        <v>4</v>
      </c>
      <c r="V410" s="26" t="s">
        <v>1334</v>
      </c>
      <c r="W410" s="26" t="s">
        <v>616</v>
      </c>
      <c r="X410" s="20" t="s">
        <v>4</v>
      </c>
      <c r="Y410" s="20" t="s">
        <v>4</v>
      </c>
      <c r="Z410" s="20" t="s">
        <v>4</v>
      </c>
      <c r="AA410" s="26" t="s">
        <v>391</v>
      </c>
      <c r="AB410" s="19"/>
    </row>
    <row r="411">
      <c r="A411" s="25"/>
      <c r="B411" s="17" t="s">
        <v>1335</v>
      </c>
      <c r="C411" s="17">
        <v>9.128468615E9</v>
      </c>
      <c r="D411" s="26">
        <v>42.0</v>
      </c>
      <c r="E411" s="20" t="s">
        <v>367</v>
      </c>
      <c r="F411" s="26" t="s">
        <v>374</v>
      </c>
      <c r="G411" s="26" t="s">
        <v>375</v>
      </c>
      <c r="H411" s="17" t="s">
        <v>1233</v>
      </c>
      <c r="I411" s="17" t="s">
        <v>1280</v>
      </c>
      <c r="J411" s="26" t="s">
        <v>1272</v>
      </c>
      <c r="K411" s="18" t="s">
        <v>1260</v>
      </c>
      <c r="L411" s="17" t="s">
        <v>1261</v>
      </c>
      <c r="M411" s="17" t="s">
        <v>1333</v>
      </c>
      <c r="N411" s="21" t="s">
        <v>9</v>
      </c>
      <c r="O411" s="20" t="s">
        <v>4</v>
      </c>
      <c r="P411" s="20" t="s">
        <v>380</v>
      </c>
      <c r="Q411" s="19"/>
      <c r="R411" s="19"/>
      <c r="S411" s="20" t="s">
        <v>4</v>
      </c>
      <c r="T411" s="26" t="s">
        <v>756</v>
      </c>
      <c r="U411" s="20" t="s">
        <v>4</v>
      </c>
      <c r="V411" s="19"/>
      <c r="W411" s="26" t="s">
        <v>612</v>
      </c>
      <c r="X411" s="20" t="s">
        <v>4</v>
      </c>
      <c r="Y411" s="20" t="s">
        <v>4</v>
      </c>
      <c r="Z411" s="20" t="s">
        <v>4</v>
      </c>
      <c r="AA411" s="26" t="s">
        <v>391</v>
      </c>
      <c r="AB411" s="19"/>
    </row>
    <row r="412">
      <c r="A412" s="25"/>
      <c r="B412" s="17" t="s">
        <v>1336</v>
      </c>
      <c r="C412" s="17">
        <v>7.320820657E9</v>
      </c>
      <c r="D412" s="26">
        <v>32.0</v>
      </c>
      <c r="E412" s="20" t="s">
        <v>367</v>
      </c>
      <c r="F412" s="26" t="s">
        <v>1184</v>
      </c>
      <c r="G412" s="26" t="s">
        <v>375</v>
      </c>
      <c r="H412" s="17" t="s">
        <v>1266</v>
      </c>
      <c r="I412" s="17" t="s">
        <v>1271</v>
      </c>
      <c r="J412" s="26" t="s">
        <v>1272</v>
      </c>
      <c r="K412" s="18" t="s">
        <v>1260</v>
      </c>
      <c r="L412" s="17" t="s">
        <v>1261</v>
      </c>
      <c r="M412" s="17" t="s">
        <v>1333</v>
      </c>
      <c r="N412" s="21" t="s">
        <v>9</v>
      </c>
      <c r="O412" s="20" t="s">
        <v>4</v>
      </c>
      <c r="P412" s="20" t="s">
        <v>4</v>
      </c>
      <c r="Q412" s="26" t="s">
        <v>1337</v>
      </c>
      <c r="R412" s="19"/>
      <c r="S412" s="20" t="s">
        <v>4</v>
      </c>
      <c r="T412" s="26" t="s">
        <v>756</v>
      </c>
      <c r="U412" s="20" t="s">
        <v>4</v>
      </c>
      <c r="V412" s="19"/>
      <c r="W412" s="26" t="s">
        <v>616</v>
      </c>
      <c r="X412" s="20" t="s">
        <v>4</v>
      </c>
      <c r="Y412" s="20" t="s">
        <v>4</v>
      </c>
      <c r="Z412" s="20" t="s">
        <v>4</v>
      </c>
      <c r="AA412" s="26" t="s">
        <v>391</v>
      </c>
      <c r="AB412" s="19"/>
    </row>
    <row r="413">
      <c r="A413" s="25"/>
      <c r="B413" s="17" t="s">
        <v>111</v>
      </c>
      <c r="C413" s="17">
        <v>7.979077358E9</v>
      </c>
      <c r="D413" s="26">
        <v>25.0</v>
      </c>
      <c r="E413" s="20" t="s">
        <v>367</v>
      </c>
      <c r="F413" s="26" t="s">
        <v>437</v>
      </c>
      <c r="G413" s="26" t="s">
        <v>375</v>
      </c>
      <c r="H413" s="17" t="s">
        <v>1233</v>
      </c>
      <c r="I413" s="17" t="s">
        <v>1338</v>
      </c>
      <c r="J413" s="26" t="s">
        <v>1272</v>
      </c>
      <c r="K413" s="18" t="s">
        <v>1260</v>
      </c>
      <c r="L413" s="17" t="s">
        <v>1261</v>
      </c>
      <c r="M413" s="17" t="s">
        <v>1331</v>
      </c>
      <c r="N413" s="21" t="s">
        <v>9</v>
      </c>
      <c r="O413" s="20" t="s">
        <v>4</v>
      </c>
      <c r="P413" s="20" t="s">
        <v>380</v>
      </c>
      <c r="Q413" s="19"/>
      <c r="R413" s="19"/>
      <c r="S413" s="20" t="s">
        <v>4</v>
      </c>
      <c r="T413" s="26" t="s">
        <v>756</v>
      </c>
      <c r="U413" s="20" t="s">
        <v>380</v>
      </c>
      <c r="V413" s="19"/>
      <c r="W413" s="26" t="s">
        <v>616</v>
      </c>
      <c r="X413" s="20" t="s">
        <v>4</v>
      </c>
      <c r="Y413" s="20" t="s">
        <v>4</v>
      </c>
      <c r="Z413" s="20" t="s">
        <v>4</v>
      </c>
      <c r="AA413" s="26" t="s">
        <v>391</v>
      </c>
      <c r="AB413" s="19"/>
    </row>
    <row r="414">
      <c r="A414" s="25"/>
      <c r="B414" s="17" t="s">
        <v>1339</v>
      </c>
      <c r="C414" s="17">
        <v>6.203748494E9</v>
      </c>
      <c r="D414" s="26">
        <v>32.0</v>
      </c>
      <c r="E414" s="20" t="s">
        <v>367</v>
      </c>
      <c r="F414" s="26" t="s">
        <v>374</v>
      </c>
      <c r="G414" s="26" t="s">
        <v>375</v>
      </c>
      <c r="H414" s="17" t="s">
        <v>1233</v>
      </c>
      <c r="I414" s="17" t="s">
        <v>1280</v>
      </c>
      <c r="J414" s="26" t="s">
        <v>1272</v>
      </c>
      <c r="K414" s="18" t="s">
        <v>1260</v>
      </c>
      <c r="L414" s="17" t="s">
        <v>1261</v>
      </c>
      <c r="M414" s="17" t="s">
        <v>1331</v>
      </c>
      <c r="N414" s="21" t="s">
        <v>9</v>
      </c>
      <c r="O414" s="20" t="s">
        <v>4</v>
      </c>
      <c r="P414" s="20" t="s">
        <v>380</v>
      </c>
      <c r="Q414" s="19"/>
      <c r="R414" s="19"/>
      <c r="S414" s="20" t="s">
        <v>4</v>
      </c>
      <c r="T414" s="26" t="s">
        <v>756</v>
      </c>
      <c r="U414" s="20" t="s">
        <v>4</v>
      </c>
      <c r="V414" s="26" t="s">
        <v>757</v>
      </c>
      <c r="W414" s="26" t="s">
        <v>616</v>
      </c>
      <c r="X414" s="20" t="s">
        <v>4</v>
      </c>
      <c r="Y414" s="20" t="s">
        <v>4</v>
      </c>
      <c r="Z414" s="20" t="s">
        <v>4</v>
      </c>
      <c r="AA414" s="26" t="s">
        <v>391</v>
      </c>
      <c r="AB414" s="19"/>
    </row>
    <row r="415">
      <c r="A415" s="25"/>
      <c r="B415" s="17" t="s">
        <v>1340</v>
      </c>
      <c r="C415" s="17">
        <v>6.206650407E9</v>
      </c>
      <c r="D415" s="26">
        <v>42.0</v>
      </c>
      <c r="E415" s="20" t="s">
        <v>367</v>
      </c>
      <c r="F415" s="26" t="s">
        <v>1184</v>
      </c>
      <c r="G415" s="26" t="s">
        <v>375</v>
      </c>
      <c r="H415" s="17" t="s">
        <v>1233</v>
      </c>
      <c r="I415" s="17" t="s">
        <v>1280</v>
      </c>
      <c r="J415" s="26" t="s">
        <v>1272</v>
      </c>
      <c r="K415" s="18" t="s">
        <v>1260</v>
      </c>
      <c r="L415" s="17" t="s">
        <v>1261</v>
      </c>
      <c r="M415" s="17" t="s">
        <v>1331</v>
      </c>
      <c r="N415" s="21" t="s">
        <v>9</v>
      </c>
      <c r="O415" s="20" t="s">
        <v>4</v>
      </c>
      <c r="P415" s="20" t="s">
        <v>4</v>
      </c>
      <c r="Q415" s="26" t="s">
        <v>444</v>
      </c>
      <c r="R415" s="19"/>
      <c r="S415" s="20" t="s">
        <v>4</v>
      </c>
      <c r="T415" s="26" t="s">
        <v>756</v>
      </c>
      <c r="U415" s="20" t="s">
        <v>4</v>
      </c>
      <c r="V415" s="26" t="s">
        <v>757</v>
      </c>
      <c r="W415" s="26" t="s">
        <v>616</v>
      </c>
      <c r="X415" s="20" t="s">
        <v>4</v>
      </c>
      <c r="Y415" s="20" t="s">
        <v>4</v>
      </c>
      <c r="Z415" s="20" t="s">
        <v>4</v>
      </c>
      <c r="AA415" s="26" t="s">
        <v>391</v>
      </c>
      <c r="AB415" s="19"/>
    </row>
    <row r="416">
      <c r="A416" s="25"/>
      <c r="B416" s="17" t="s">
        <v>1341</v>
      </c>
      <c r="C416" s="17">
        <v>7.322942937E9</v>
      </c>
      <c r="D416" s="26">
        <v>30.0</v>
      </c>
      <c r="E416" s="20" t="s">
        <v>367</v>
      </c>
      <c r="F416" s="26" t="s">
        <v>441</v>
      </c>
      <c r="G416" s="26" t="s">
        <v>375</v>
      </c>
      <c r="H416" s="17" t="s">
        <v>1233</v>
      </c>
      <c r="I416" s="17" t="s">
        <v>1338</v>
      </c>
      <c r="J416" s="26" t="s">
        <v>1272</v>
      </c>
      <c r="K416" s="18" t="s">
        <v>1260</v>
      </c>
      <c r="L416" s="17" t="s">
        <v>1261</v>
      </c>
      <c r="M416" s="17" t="s">
        <v>1342</v>
      </c>
      <c r="N416" s="21" t="s">
        <v>9</v>
      </c>
      <c r="O416" s="20" t="s">
        <v>4</v>
      </c>
      <c r="P416" s="20" t="s">
        <v>380</v>
      </c>
      <c r="Q416" s="19"/>
      <c r="R416" s="19"/>
      <c r="S416" s="20" t="s">
        <v>4</v>
      </c>
      <c r="T416" s="26" t="s">
        <v>1343</v>
      </c>
      <c r="U416" s="20" t="s">
        <v>4</v>
      </c>
      <c r="V416" s="26" t="s">
        <v>757</v>
      </c>
      <c r="W416" s="26" t="s">
        <v>616</v>
      </c>
      <c r="X416" s="20" t="s">
        <v>4</v>
      </c>
      <c r="Y416" s="20" t="s">
        <v>380</v>
      </c>
      <c r="Z416" s="20" t="s">
        <v>4</v>
      </c>
      <c r="AA416" s="26" t="s">
        <v>391</v>
      </c>
      <c r="AB416" s="19"/>
    </row>
    <row r="417">
      <c r="A417" s="25"/>
      <c r="B417" s="17" t="s">
        <v>1344</v>
      </c>
      <c r="C417" s="17">
        <v>7.294022932E9</v>
      </c>
      <c r="D417" s="26">
        <v>21.0</v>
      </c>
      <c r="E417" s="20" t="s">
        <v>367</v>
      </c>
      <c r="F417" s="26" t="s">
        <v>437</v>
      </c>
      <c r="G417" s="26" t="s">
        <v>518</v>
      </c>
      <c r="H417" s="17" t="s">
        <v>507</v>
      </c>
      <c r="I417" s="17" t="s">
        <v>1304</v>
      </c>
      <c r="J417" s="26" t="s">
        <v>1272</v>
      </c>
      <c r="K417" s="18" t="s">
        <v>1260</v>
      </c>
      <c r="L417" s="17" t="s">
        <v>1261</v>
      </c>
      <c r="M417" s="17" t="s">
        <v>1345</v>
      </c>
      <c r="N417" s="21" t="s">
        <v>9</v>
      </c>
      <c r="O417" s="20" t="s">
        <v>4</v>
      </c>
      <c r="P417" s="20" t="s">
        <v>380</v>
      </c>
      <c r="Q417" s="19"/>
      <c r="R417" s="19"/>
      <c r="S417" s="20" t="s">
        <v>380</v>
      </c>
      <c r="T417" s="19"/>
      <c r="U417" s="20" t="s">
        <v>4</v>
      </c>
      <c r="V417" s="26" t="s">
        <v>1346</v>
      </c>
      <c r="W417" s="26" t="s">
        <v>616</v>
      </c>
      <c r="X417" s="20" t="s">
        <v>4</v>
      </c>
      <c r="Y417" s="20" t="s">
        <v>380</v>
      </c>
      <c r="Z417" s="20" t="s">
        <v>4</v>
      </c>
      <c r="AA417" s="26" t="s">
        <v>391</v>
      </c>
      <c r="AB417" s="19"/>
    </row>
    <row r="418">
      <c r="A418" s="25"/>
      <c r="B418" s="17" t="s">
        <v>1282</v>
      </c>
      <c r="C418" s="17">
        <v>6.201630344E9</v>
      </c>
      <c r="D418" s="26">
        <v>26.0</v>
      </c>
      <c r="E418" s="20" t="s">
        <v>367</v>
      </c>
      <c r="F418" s="26" t="s">
        <v>441</v>
      </c>
      <c r="G418" s="26" t="s">
        <v>375</v>
      </c>
      <c r="H418" s="17" t="s">
        <v>1233</v>
      </c>
      <c r="I418" s="17" t="s">
        <v>1347</v>
      </c>
      <c r="J418" s="26" t="s">
        <v>1272</v>
      </c>
      <c r="K418" s="18" t="s">
        <v>1260</v>
      </c>
      <c r="L418" s="17" t="s">
        <v>1261</v>
      </c>
      <c r="M418" s="17" t="s">
        <v>1345</v>
      </c>
      <c r="N418" s="21" t="s">
        <v>9</v>
      </c>
      <c r="O418" s="20" t="s">
        <v>4</v>
      </c>
      <c r="P418" s="20" t="s">
        <v>4</v>
      </c>
      <c r="Q418" s="26" t="s">
        <v>432</v>
      </c>
      <c r="R418" s="19"/>
      <c r="S418" s="20" t="s">
        <v>4</v>
      </c>
      <c r="T418" s="19"/>
      <c r="U418" s="20" t="s">
        <v>4</v>
      </c>
      <c r="V418" s="19"/>
      <c r="W418" s="26" t="s">
        <v>612</v>
      </c>
      <c r="X418" s="20" t="s">
        <v>4</v>
      </c>
      <c r="Y418" s="20" t="s">
        <v>4</v>
      </c>
      <c r="Z418" s="20" t="s">
        <v>4</v>
      </c>
      <c r="AA418" s="26" t="s">
        <v>391</v>
      </c>
      <c r="AB418" s="19"/>
    </row>
    <row r="419">
      <c r="A419" s="25"/>
      <c r="B419" s="17" t="s">
        <v>1348</v>
      </c>
      <c r="C419" s="17">
        <v>9.905115387E9</v>
      </c>
      <c r="D419" s="26">
        <v>21.0</v>
      </c>
      <c r="E419" s="20" t="s">
        <v>367</v>
      </c>
      <c r="F419" s="26" t="s">
        <v>382</v>
      </c>
      <c r="G419" s="26" t="s">
        <v>518</v>
      </c>
      <c r="H419" s="17" t="s">
        <v>1349</v>
      </c>
      <c r="I419" s="17" t="s">
        <v>1350</v>
      </c>
      <c r="J419" s="26" t="s">
        <v>1272</v>
      </c>
      <c r="K419" s="18" t="s">
        <v>1260</v>
      </c>
      <c r="L419" s="17" t="s">
        <v>1261</v>
      </c>
      <c r="M419" s="17" t="s">
        <v>1345</v>
      </c>
      <c r="N419" s="21" t="s">
        <v>9</v>
      </c>
      <c r="O419" s="20" t="s">
        <v>4</v>
      </c>
      <c r="P419" s="20" t="s">
        <v>380</v>
      </c>
      <c r="Q419" s="19"/>
      <c r="R419" s="19"/>
      <c r="S419" s="20" t="s">
        <v>380</v>
      </c>
      <c r="T419" s="19"/>
      <c r="U419" s="20" t="s">
        <v>4</v>
      </c>
      <c r="V419" s="19"/>
      <c r="W419" s="19"/>
      <c r="X419" s="22"/>
      <c r="Y419" s="22"/>
      <c r="Z419" s="22"/>
      <c r="AA419" s="26" t="s">
        <v>410</v>
      </c>
      <c r="AB419" s="26" t="s">
        <v>1351</v>
      </c>
    </row>
    <row r="420">
      <c r="A420" s="25"/>
      <c r="B420" s="17" t="s">
        <v>1324</v>
      </c>
      <c r="C420" s="17">
        <v>9.122256623E9</v>
      </c>
      <c r="D420" s="26">
        <v>32.0</v>
      </c>
      <c r="E420" s="20" t="s">
        <v>367</v>
      </c>
      <c r="F420" s="26" t="s">
        <v>441</v>
      </c>
      <c r="G420" s="26" t="s">
        <v>375</v>
      </c>
      <c r="H420" s="17" t="s">
        <v>1233</v>
      </c>
      <c r="I420" s="17" t="s">
        <v>1258</v>
      </c>
      <c r="J420" s="26" t="s">
        <v>1272</v>
      </c>
      <c r="K420" s="18" t="s">
        <v>1260</v>
      </c>
      <c r="L420" s="17" t="s">
        <v>1261</v>
      </c>
      <c r="M420" s="17" t="s">
        <v>1345</v>
      </c>
      <c r="N420" s="21" t="s">
        <v>9</v>
      </c>
      <c r="O420" s="20" t="s">
        <v>380</v>
      </c>
      <c r="P420" s="20" t="s">
        <v>380</v>
      </c>
      <c r="Q420" s="19"/>
      <c r="R420" s="19"/>
      <c r="S420" s="20" t="s">
        <v>380</v>
      </c>
      <c r="T420" s="19"/>
      <c r="U420" s="20" t="s">
        <v>4</v>
      </c>
      <c r="V420" s="26" t="s">
        <v>757</v>
      </c>
      <c r="W420" s="26" t="s">
        <v>616</v>
      </c>
      <c r="X420" s="20" t="s">
        <v>4</v>
      </c>
      <c r="Y420" s="20" t="s">
        <v>4</v>
      </c>
      <c r="Z420" s="20" t="s">
        <v>4</v>
      </c>
      <c r="AA420" s="26" t="s">
        <v>391</v>
      </c>
      <c r="AB420" s="19"/>
    </row>
    <row r="421">
      <c r="A421" s="25"/>
      <c r="B421" s="17" t="s">
        <v>1352</v>
      </c>
      <c r="C421" s="17">
        <v>9.572808661E9</v>
      </c>
      <c r="D421" s="26">
        <v>40.0</v>
      </c>
      <c r="E421" s="20" t="s">
        <v>405</v>
      </c>
      <c r="F421" s="26" t="s">
        <v>1184</v>
      </c>
      <c r="G421" s="26" t="s">
        <v>375</v>
      </c>
      <c r="H421" s="17" t="s">
        <v>1233</v>
      </c>
      <c r="I421" s="17" t="s">
        <v>1353</v>
      </c>
      <c r="J421" s="26" t="s">
        <v>1272</v>
      </c>
      <c r="K421" s="18" t="s">
        <v>1260</v>
      </c>
      <c r="L421" s="17" t="s">
        <v>1261</v>
      </c>
      <c r="M421" s="17" t="s">
        <v>1345</v>
      </c>
      <c r="N421" s="21" t="s">
        <v>9</v>
      </c>
      <c r="O421" s="20" t="s">
        <v>4</v>
      </c>
      <c r="P421" s="20" t="s">
        <v>380</v>
      </c>
      <c r="Q421" s="19"/>
      <c r="R421" s="19"/>
      <c r="S421" s="20" t="s">
        <v>380</v>
      </c>
      <c r="T421" s="19"/>
      <c r="U421" s="20" t="s">
        <v>380</v>
      </c>
      <c r="V421" s="19"/>
      <c r="W421" s="26" t="s">
        <v>616</v>
      </c>
      <c r="X421" s="20" t="s">
        <v>4</v>
      </c>
      <c r="Y421" s="20" t="s">
        <v>4</v>
      </c>
      <c r="Z421" s="20" t="s">
        <v>4</v>
      </c>
      <c r="AA421" s="26" t="s">
        <v>391</v>
      </c>
      <c r="AB421" s="19"/>
    </row>
    <row r="422">
      <c r="A422" s="25"/>
      <c r="B422" s="17" t="s">
        <v>1354</v>
      </c>
      <c r="C422" s="17">
        <v>8.603739297E9</v>
      </c>
      <c r="D422" s="26">
        <v>20.0</v>
      </c>
      <c r="E422" s="20" t="s">
        <v>367</v>
      </c>
      <c r="F422" s="26" t="s">
        <v>1355</v>
      </c>
      <c r="G422" s="26" t="s">
        <v>371</v>
      </c>
      <c r="H422" s="17" t="s">
        <v>1349</v>
      </c>
      <c r="I422" s="17" t="s">
        <v>1350</v>
      </c>
      <c r="J422" s="26" t="s">
        <v>1356</v>
      </c>
      <c r="K422" s="18" t="s">
        <v>1260</v>
      </c>
      <c r="L422" s="17" t="s">
        <v>1261</v>
      </c>
      <c r="M422" s="17" t="s">
        <v>1345</v>
      </c>
      <c r="N422" s="21" t="s">
        <v>9</v>
      </c>
      <c r="O422" s="20" t="s">
        <v>4</v>
      </c>
      <c r="P422" s="20" t="s">
        <v>380</v>
      </c>
      <c r="Q422" s="19"/>
      <c r="R422" s="19"/>
      <c r="S422" s="20" t="s">
        <v>380</v>
      </c>
      <c r="T422" s="19"/>
      <c r="U422" s="20" t="s">
        <v>380</v>
      </c>
      <c r="V422" s="19"/>
      <c r="W422" s="26" t="s">
        <v>616</v>
      </c>
      <c r="X422" s="20" t="s">
        <v>4</v>
      </c>
      <c r="Y422" s="20" t="s">
        <v>4</v>
      </c>
      <c r="Z422" s="20" t="s">
        <v>4</v>
      </c>
      <c r="AA422" s="26" t="s">
        <v>391</v>
      </c>
      <c r="AB422" s="19"/>
    </row>
    <row r="423">
      <c r="A423" s="25"/>
      <c r="B423" s="17" t="s">
        <v>1357</v>
      </c>
      <c r="C423" s="17">
        <v>8.862826474E9</v>
      </c>
      <c r="D423" s="19"/>
      <c r="E423" s="22"/>
      <c r="F423" s="19"/>
      <c r="G423" s="19"/>
      <c r="H423" s="17" t="s">
        <v>1310</v>
      </c>
      <c r="I423" s="17" t="s">
        <v>1311</v>
      </c>
      <c r="J423" s="19"/>
      <c r="K423" s="18" t="s">
        <v>1260</v>
      </c>
      <c r="L423" s="17" t="s">
        <v>1268</v>
      </c>
      <c r="M423" s="17" t="s">
        <v>1358</v>
      </c>
      <c r="N423" s="21" t="s">
        <v>9</v>
      </c>
      <c r="O423" s="22"/>
      <c r="P423" s="22"/>
      <c r="Q423" s="19"/>
      <c r="R423" s="19"/>
      <c r="S423" s="22"/>
      <c r="T423" s="19"/>
      <c r="U423" s="22"/>
      <c r="V423" s="19"/>
      <c r="W423" s="19"/>
      <c r="X423" s="22"/>
      <c r="Y423" s="22"/>
      <c r="Z423" s="22"/>
      <c r="AA423" s="26" t="s">
        <v>410</v>
      </c>
      <c r="AB423" s="26" t="s">
        <v>1359</v>
      </c>
    </row>
    <row r="424">
      <c r="A424" s="31"/>
      <c r="B424" s="17" t="s">
        <v>1360</v>
      </c>
      <c r="C424" s="17">
        <v>7.667723682E9</v>
      </c>
      <c r="D424" s="26">
        <v>22.0</v>
      </c>
      <c r="E424" s="20" t="s">
        <v>367</v>
      </c>
      <c r="F424" s="26" t="s">
        <v>1355</v>
      </c>
      <c r="G424" s="26" t="s">
        <v>371</v>
      </c>
      <c r="H424" s="17" t="s">
        <v>1310</v>
      </c>
      <c r="I424" s="17" t="s">
        <v>1311</v>
      </c>
      <c r="J424" s="26" t="s">
        <v>1272</v>
      </c>
      <c r="K424" s="18" t="s">
        <v>1260</v>
      </c>
      <c r="L424" s="17" t="s">
        <v>1268</v>
      </c>
      <c r="M424" s="17" t="s">
        <v>1358</v>
      </c>
      <c r="N424" s="21" t="s">
        <v>9</v>
      </c>
      <c r="O424" s="20" t="s">
        <v>4</v>
      </c>
      <c r="P424" s="20" t="s">
        <v>380</v>
      </c>
      <c r="Q424" s="19"/>
      <c r="R424" s="19"/>
      <c r="S424" s="20" t="s">
        <v>380</v>
      </c>
      <c r="T424" s="19"/>
      <c r="U424" s="20" t="s">
        <v>380</v>
      </c>
      <c r="V424" s="19"/>
      <c r="W424" s="26" t="s">
        <v>616</v>
      </c>
      <c r="X424" s="20" t="s">
        <v>4</v>
      </c>
      <c r="Y424" s="20" t="s">
        <v>4</v>
      </c>
      <c r="Z424" s="20" t="s">
        <v>4</v>
      </c>
      <c r="AA424" s="26" t="s">
        <v>410</v>
      </c>
      <c r="AB424" s="26" t="s">
        <v>1361</v>
      </c>
    </row>
    <row r="425">
      <c r="A425" s="32"/>
      <c r="B425" s="33"/>
      <c r="C425" s="34"/>
      <c r="K425" s="34"/>
      <c r="N425" s="34"/>
      <c r="AB425" s="33"/>
      <c r="AC425" s="24"/>
      <c r="AD425" s="24"/>
    </row>
    <row r="426">
      <c r="A426" s="16" t="s">
        <v>1362</v>
      </c>
      <c r="B426" s="17" t="s">
        <v>1363</v>
      </c>
      <c r="C426" s="17">
        <v>9.430081363E9</v>
      </c>
      <c r="D426" s="26">
        <v>35.0</v>
      </c>
      <c r="E426" s="20" t="s">
        <v>367</v>
      </c>
      <c r="F426" s="26" t="s">
        <v>437</v>
      </c>
      <c r="G426" s="26" t="s">
        <v>518</v>
      </c>
      <c r="H426" s="26" t="s">
        <v>507</v>
      </c>
      <c r="I426" s="26" t="s">
        <v>1364</v>
      </c>
      <c r="J426" s="26" t="s">
        <v>1365</v>
      </c>
      <c r="K426" s="18" t="s">
        <v>1366</v>
      </c>
      <c r="L426" s="26" t="s">
        <v>1365</v>
      </c>
      <c r="M426" s="26" t="s">
        <v>1367</v>
      </c>
      <c r="N426" s="21" t="s">
        <v>9</v>
      </c>
      <c r="O426" s="20" t="s">
        <v>4</v>
      </c>
      <c r="P426" s="20" t="s">
        <v>4</v>
      </c>
      <c r="Q426" s="26" t="s">
        <v>444</v>
      </c>
      <c r="R426" s="26" t="s">
        <v>1368</v>
      </c>
      <c r="S426" s="20" t="s">
        <v>4</v>
      </c>
      <c r="T426" s="26" t="s">
        <v>768</v>
      </c>
      <c r="U426" s="20" t="s">
        <v>4</v>
      </c>
      <c r="V426" s="26" t="s">
        <v>1369</v>
      </c>
      <c r="W426" s="26" t="s">
        <v>616</v>
      </c>
      <c r="X426" s="20" t="s">
        <v>4</v>
      </c>
      <c r="Y426" s="20" t="s">
        <v>4</v>
      </c>
      <c r="Z426" s="20" t="s">
        <v>4</v>
      </c>
      <c r="AA426" s="26" t="s">
        <v>391</v>
      </c>
      <c r="AB426" s="28"/>
      <c r="AC426" s="24"/>
      <c r="AD426" s="24"/>
    </row>
    <row r="427">
      <c r="A427" s="25"/>
      <c r="B427" s="17" t="s">
        <v>1370</v>
      </c>
      <c r="C427" s="17">
        <v>9.608007073E9</v>
      </c>
      <c r="D427" s="26">
        <v>33.0</v>
      </c>
      <c r="E427" s="20" t="s">
        <v>405</v>
      </c>
      <c r="F427" s="26" t="s">
        <v>1371</v>
      </c>
      <c r="G427" s="26" t="s">
        <v>375</v>
      </c>
      <c r="H427" s="26" t="s">
        <v>376</v>
      </c>
      <c r="I427" s="26" t="s">
        <v>1372</v>
      </c>
      <c r="J427" s="26" t="s">
        <v>1365</v>
      </c>
      <c r="K427" s="18" t="s">
        <v>1366</v>
      </c>
      <c r="L427" s="26" t="s">
        <v>1365</v>
      </c>
      <c r="M427" s="26" t="s">
        <v>1178</v>
      </c>
      <c r="N427" s="21" t="s">
        <v>9</v>
      </c>
      <c r="O427" s="20" t="s">
        <v>4</v>
      </c>
      <c r="P427" s="20" t="s">
        <v>380</v>
      </c>
      <c r="Q427" s="19"/>
      <c r="R427" s="19"/>
      <c r="S427" s="20" t="s">
        <v>380</v>
      </c>
      <c r="T427" s="19"/>
      <c r="U427" s="20" t="s">
        <v>380</v>
      </c>
      <c r="V427" s="19"/>
      <c r="W427" s="26" t="s">
        <v>612</v>
      </c>
      <c r="X427" s="20" t="s">
        <v>4</v>
      </c>
      <c r="Y427" s="20" t="s">
        <v>380</v>
      </c>
      <c r="Z427" s="20" t="s">
        <v>4</v>
      </c>
      <c r="AA427" s="26" t="s">
        <v>391</v>
      </c>
      <c r="AB427" s="28"/>
      <c r="AC427" s="24"/>
      <c r="AD427" s="24"/>
    </row>
    <row r="428">
      <c r="A428" s="25"/>
      <c r="B428" s="17" t="s">
        <v>1373</v>
      </c>
      <c r="C428" s="17">
        <v>7.908608094E9</v>
      </c>
      <c r="D428" s="26">
        <v>33.0</v>
      </c>
      <c r="E428" s="20" t="s">
        <v>367</v>
      </c>
      <c r="F428" s="26" t="s">
        <v>441</v>
      </c>
      <c r="G428" s="26" t="s">
        <v>518</v>
      </c>
      <c r="H428" s="26" t="s">
        <v>1185</v>
      </c>
      <c r="I428" s="19"/>
      <c r="J428" s="26" t="s">
        <v>1365</v>
      </c>
      <c r="K428" s="18" t="s">
        <v>1366</v>
      </c>
      <c r="L428" s="26" t="s">
        <v>1374</v>
      </c>
      <c r="M428" s="26" t="s">
        <v>1375</v>
      </c>
      <c r="N428" s="21" t="s">
        <v>9</v>
      </c>
      <c r="O428" s="20" t="s">
        <v>4</v>
      </c>
      <c r="P428" s="20" t="s">
        <v>4</v>
      </c>
      <c r="Q428" s="26" t="s">
        <v>444</v>
      </c>
      <c r="R428" s="19"/>
      <c r="S428" s="20" t="s">
        <v>4</v>
      </c>
      <c r="T428" s="26" t="s">
        <v>756</v>
      </c>
      <c r="U428" s="20" t="s">
        <v>4</v>
      </c>
      <c r="V428" s="26" t="s">
        <v>757</v>
      </c>
      <c r="W428" s="26" t="s">
        <v>616</v>
      </c>
      <c r="X428" s="20" t="s">
        <v>4</v>
      </c>
      <c r="Y428" s="20" t="s">
        <v>4</v>
      </c>
      <c r="Z428" s="20" t="s">
        <v>4</v>
      </c>
      <c r="AA428" s="26" t="s">
        <v>391</v>
      </c>
      <c r="AB428" s="28"/>
      <c r="AC428" s="24"/>
      <c r="AD428" s="24"/>
    </row>
    <row r="429">
      <c r="A429" s="25"/>
      <c r="B429" s="17" t="s">
        <v>1376</v>
      </c>
      <c r="C429" s="17">
        <v>9.564198822E9</v>
      </c>
      <c r="D429" s="26">
        <v>32.0</v>
      </c>
      <c r="E429" s="20" t="s">
        <v>367</v>
      </c>
      <c r="F429" s="26" t="s">
        <v>1184</v>
      </c>
      <c r="G429" s="26" t="s">
        <v>518</v>
      </c>
      <c r="H429" s="26" t="s">
        <v>376</v>
      </c>
      <c r="I429" s="19"/>
      <c r="J429" s="26" t="s">
        <v>1365</v>
      </c>
      <c r="K429" s="18" t="s">
        <v>1366</v>
      </c>
      <c r="L429" s="26" t="s">
        <v>1374</v>
      </c>
      <c r="M429" s="26" t="s">
        <v>1377</v>
      </c>
      <c r="N429" s="21" t="s">
        <v>9</v>
      </c>
      <c r="O429" s="20" t="s">
        <v>4</v>
      </c>
      <c r="P429" s="20" t="s">
        <v>4</v>
      </c>
      <c r="Q429" s="26" t="s">
        <v>444</v>
      </c>
      <c r="R429" s="19"/>
      <c r="S429" s="20" t="s">
        <v>380</v>
      </c>
      <c r="T429" s="19"/>
      <c r="U429" s="20" t="s">
        <v>380</v>
      </c>
      <c r="V429" s="19"/>
      <c r="W429" s="26" t="s">
        <v>616</v>
      </c>
      <c r="X429" s="20" t="s">
        <v>4</v>
      </c>
      <c r="Y429" s="20" t="s">
        <v>4</v>
      </c>
      <c r="Z429" s="20" t="s">
        <v>4</v>
      </c>
      <c r="AA429" s="26" t="s">
        <v>391</v>
      </c>
      <c r="AB429" s="28"/>
      <c r="AC429" s="24"/>
      <c r="AD429" s="24"/>
    </row>
    <row r="430">
      <c r="A430" s="25"/>
      <c r="B430" s="17" t="s">
        <v>1378</v>
      </c>
      <c r="C430" s="17">
        <v>6.206192169E9</v>
      </c>
      <c r="D430" s="26">
        <v>36.0</v>
      </c>
      <c r="E430" s="20" t="s">
        <v>367</v>
      </c>
      <c r="F430" s="26" t="s">
        <v>814</v>
      </c>
      <c r="G430" s="26" t="s">
        <v>375</v>
      </c>
      <c r="H430" s="26" t="s">
        <v>637</v>
      </c>
      <c r="I430" s="26" t="s">
        <v>1379</v>
      </c>
      <c r="J430" s="26" t="s">
        <v>1365</v>
      </c>
      <c r="K430" s="18" t="s">
        <v>1366</v>
      </c>
      <c r="L430" s="26" t="s">
        <v>1374</v>
      </c>
      <c r="M430" s="26" t="s">
        <v>1380</v>
      </c>
      <c r="N430" s="21" t="s">
        <v>9</v>
      </c>
      <c r="O430" s="20" t="s">
        <v>4</v>
      </c>
      <c r="P430" s="20" t="s">
        <v>4</v>
      </c>
      <c r="Q430" s="26" t="s">
        <v>1381</v>
      </c>
      <c r="R430" s="26" t="s">
        <v>1382</v>
      </c>
      <c r="S430" s="20" t="s">
        <v>4</v>
      </c>
      <c r="T430" s="26" t="s">
        <v>756</v>
      </c>
      <c r="U430" s="20" t="s">
        <v>380</v>
      </c>
      <c r="V430" s="19"/>
      <c r="W430" s="26" t="s">
        <v>616</v>
      </c>
      <c r="X430" s="20" t="s">
        <v>4</v>
      </c>
      <c r="Y430" s="20" t="s">
        <v>4</v>
      </c>
      <c r="Z430" s="20" t="s">
        <v>4</v>
      </c>
      <c r="AA430" s="26" t="s">
        <v>391</v>
      </c>
      <c r="AB430" s="28"/>
      <c r="AC430" s="24"/>
      <c r="AD430" s="24"/>
    </row>
    <row r="431">
      <c r="A431" s="25"/>
      <c r="B431" s="17" t="s">
        <v>1383</v>
      </c>
      <c r="C431" s="17">
        <v>6.201816401E9</v>
      </c>
      <c r="D431" s="26">
        <v>27.0</v>
      </c>
      <c r="E431" s="20" t="s">
        <v>367</v>
      </c>
      <c r="F431" s="26" t="s">
        <v>441</v>
      </c>
      <c r="G431" s="26" t="s">
        <v>518</v>
      </c>
      <c r="H431" s="26" t="s">
        <v>376</v>
      </c>
      <c r="I431" s="19"/>
      <c r="J431" s="26" t="s">
        <v>1365</v>
      </c>
      <c r="K431" s="18" t="s">
        <v>1366</v>
      </c>
      <c r="L431" s="26" t="s">
        <v>1374</v>
      </c>
      <c r="M431" s="26" t="s">
        <v>1384</v>
      </c>
      <c r="N431" s="21" t="s">
        <v>9</v>
      </c>
      <c r="O431" s="20" t="s">
        <v>4</v>
      </c>
      <c r="P431" s="20" t="s">
        <v>4</v>
      </c>
      <c r="Q431" s="26" t="s">
        <v>848</v>
      </c>
      <c r="R431" s="26" t="s">
        <v>1385</v>
      </c>
      <c r="S431" s="20" t="s">
        <v>4</v>
      </c>
      <c r="T431" s="26" t="s">
        <v>768</v>
      </c>
      <c r="U431" s="20" t="s">
        <v>4</v>
      </c>
      <c r="V431" s="26" t="s">
        <v>757</v>
      </c>
      <c r="W431" s="26" t="s">
        <v>612</v>
      </c>
      <c r="X431" s="20" t="s">
        <v>4</v>
      </c>
      <c r="Y431" s="20" t="s">
        <v>4</v>
      </c>
      <c r="Z431" s="20" t="s">
        <v>4</v>
      </c>
      <c r="AA431" s="26" t="s">
        <v>391</v>
      </c>
      <c r="AB431" s="28"/>
      <c r="AC431" s="24"/>
      <c r="AD431" s="24"/>
    </row>
    <row r="432">
      <c r="A432" s="25"/>
      <c r="B432" s="17" t="s">
        <v>1386</v>
      </c>
      <c r="C432" s="17">
        <v>7.667519336E9</v>
      </c>
      <c r="D432" s="26">
        <v>29.0</v>
      </c>
      <c r="E432" s="20" t="s">
        <v>367</v>
      </c>
      <c r="F432" s="26" t="s">
        <v>441</v>
      </c>
      <c r="G432" s="26" t="s">
        <v>518</v>
      </c>
      <c r="H432" s="26" t="s">
        <v>376</v>
      </c>
      <c r="I432" s="19"/>
      <c r="J432" s="26" t="s">
        <v>1365</v>
      </c>
      <c r="K432" s="18" t="s">
        <v>1366</v>
      </c>
      <c r="L432" s="26" t="s">
        <v>1374</v>
      </c>
      <c r="M432" s="26" t="s">
        <v>1387</v>
      </c>
      <c r="N432" s="21" t="s">
        <v>9</v>
      </c>
      <c r="O432" s="20" t="s">
        <v>4</v>
      </c>
      <c r="P432" s="20" t="s">
        <v>4</v>
      </c>
      <c r="Q432" s="26" t="s">
        <v>444</v>
      </c>
      <c r="R432" s="19"/>
      <c r="S432" s="20" t="s">
        <v>4</v>
      </c>
      <c r="T432" s="26" t="s">
        <v>756</v>
      </c>
      <c r="U432" s="20" t="s">
        <v>4</v>
      </c>
      <c r="V432" s="26" t="s">
        <v>757</v>
      </c>
      <c r="W432" s="26" t="s">
        <v>616</v>
      </c>
      <c r="X432" s="20" t="s">
        <v>4</v>
      </c>
      <c r="Y432" s="20" t="s">
        <v>4</v>
      </c>
      <c r="Z432" s="20" t="s">
        <v>4</v>
      </c>
      <c r="AA432" s="26" t="s">
        <v>391</v>
      </c>
      <c r="AB432" s="28"/>
      <c r="AC432" s="24"/>
      <c r="AD432" s="24"/>
    </row>
    <row r="433">
      <c r="A433" s="25"/>
      <c r="B433" s="17" t="s">
        <v>1388</v>
      </c>
      <c r="C433" s="17">
        <v>9.241370743E9</v>
      </c>
      <c r="D433" s="26">
        <v>29.0</v>
      </c>
      <c r="E433" s="20" t="s">
        <v>367</v>
      </c>
      <c r="F433" s="26" t="s">
        <v>1389</v>
      </c>
      <c r="G433" s="26" t="s">
        <v>518</v>
      </c>
      <c r="H433" s="26" t="s">
        <v>507</v>
      </c>
      <c r="I433" s="19"/>
      <c r="J433" s="26" t="s">
        <v>1365</v>
      </c>
      <c r="K433" s="18" t="s">
        <v>1366</v>
      </c>
      <c r="L433" s="26" t="s">
        <v>1390</v>
      </c>
      <c r="M433" s="26" t="s">
        <v>1391</v>
      </c>
      <c r="N433" s="21" t="s">
        <v>9</v>
      </c>
      <c r="O433" s="20" t="s">
        <v>4</v>
      </c>
      <c r="P433" s="20" t="s">
        <v>380</v>
      </c>
      <c r="Q433" s="19"/>
      <c r="R433" s="19"/>
      <c r="S433" s="20" t="s">
        <v>4</v>
      </c>
      <c r="T433" s="26" t="s">
        <v>768</v>
      </c>
      <c r="U433" s="20" t="s">
        <v>380</v>
      </c>
      <c r="V433" s="19"/>
      <c r="W433" s="26" t="s">
        <v>616</v>
      </c>
      <c r="X433" s="20" t="s">
        <v>4</v>
      </c>
      <c r="Y433" s="20" t="s">
        <v>4</v>
      </c>
      <c r="Z433" s="20" t="s">
        <v>4</v>
      </c>
      <c r="AA433" s="26" t="s">
        <v>391</v>
      </c>
      <c r="AB433" s="28"/>
      <c r="AC433" s="24"/>
      <c r="AD433" s="24"/>
    </row>
    <row r="434">
      <c r="A434" s="25"/>
      <c r="B434" s="17" t="s">
        <v>1392</v>
      </c>
      <c r="C434" s="17">
        <v>8.521888445E9</v>
      </c>
      <c r="D434" s="26">
        <v>30.0</v>
      </c>
      <c r="E434" s="20" t="s">
        <v>367</v>
      </c>
      <c r="F434" s="26" t="s">
        <v>382</v>
      </c>
      <c r="G434" s="26" t="s">
        <v>518</v>
      </c>
      <c r="H434" s="26" t="s">
        <v>376</v>
      </c>
      <c r="I434" s="19"/>
      <c r="J434" s="26" t="s">
        <v>1365</v>
      </c>
      <c r="K434" s="18" t="s">
        <v>1366</v>
      </c>
      <c r="L434" s="26" t="s">
        <v>1374</v>
      </c>
      <c r="M434" s="26" t="s">
        <v>1393</v>
      </c>
      <c r="N434" s="21" t="s">
        <v>9</v>
      </c>
      <c r="O434" s="20" t="s">
        <v>4</v>
      </c>
      <c r="P434" s="20" t="s">
        <v>4</v>
      </c>
      <c r="Q434" s="26" t="s">
        <v>444</v>
      </c>
      <c r="R434" s="19"/>
      <c r="S434" s="20" t="s">
        <v>4</v>
      </c>
      <c r="T434" s="26" t="s">
        <v>756</v>
      </c>
      <c r="U434" s="20" t="s">
        <v>4</v>
      </c>
      <c r="V434" s="26" t="s">
        <v>1394</v>
      </c>
      <c r="W434" s="26" t="s">
        <v>616</v>
      </c>
      <c r="X434" s="20" t="s">
        <v>4</v>
      </c>
      <c r="Y434" s="20" t="s">
        <v>4</v>
      </c>
      <c r="Z434" s="20" t="s">
        <v>4</v>
      </c>
      <c r="AA434" s="26" t="s">
        <v>391</v>
      </c>
      <c r="AB434" s="28"/>
      <c r="AC434" s="24"/>
      <c r="AD434" s="24"/>
    </row>
    <row r="435">
      <c r="A435" s="25"/>
      <c r="B435" s="17" t="s">
        <v>1395</v>
      </c>
      <c r="C435" s="17">
        <v>9.933904605E9</v>
      </c>
      <c r="D435" s="26">
        <v>25.0</v>
      </c>
      <c r="E435" s="20" t="s">
        <v>367</v>
      </c>
      <c r="F435" s="26" t="s">
        <v>441</v>
      </c>
      <c r="G435" s="26" t="s">
        <v>518</v>
      </c>
      <c r="H435" s="26" t="s">
        <v>507</v>
      </c>
      <c r="I435" s="19"/>
      <c r="J435" s="26" t="s">
        <v>1365</v>
      </c>
      <c r="K435" s="18" t="s">
        <v>1366</v>
      </c>
      <c r="L435" s="26" t="s">
        <v>1374</v>
      </c>
      <c r="M435" s="26" t="s">
        <v>1396</v>
      </c>
      <c r="N435" s="21" t="s">
        <v>9</v>
      </c>
      <c r="O435" s="20" t="s">
        <v>4</v>
      </c>
      <c r="P435" s="20" t="s">
        <v>4</v>
      </c>
      <c r="Q435" s="26" t="s">
        <v>444</v>
      </c>
      <c r="R435" s="19"/>
      <c r="S435" s="20" t="s">
        <v>4</v>
      </c>
      <c r="T435" s="26" t="s">
        <v>756</v>
      </c>
      <c r="U435" s="20" t="s">
        <v>4</v>
      </c>
      <c r="V435" s="26" t="s">
        <v>757</v>
      </c>
      <c r="W435" s="26" t="s">
        <v>616</v>
      </c>
      <c r="X435" s="20" t="s">
        <v>4</v>
      </c>
      <c r="Y435" s="20" t="s">
        <v>4</v>
      </c>
      <c r="Z435" s="20" t="s">
        <v>4</v>
      </c>
      <c r="AA435" s="26" t="s">
        <v>391</v>
      </c>
      <c r="AB435" s="28"/>
      <c r="AC435" s="24"/>
      <c r="AD435" s="24"/>
    </row>
    <row r="436">
      <c r="A436" s="25"/>
      <c r="B436" s="17" t="s">
        <v>1397</v>
      </c>
      <c r="C436" s="17">
        <v>7.99237602E9</v>
      </c>
      <c r="D436" s="19"/>
      <c r="E436" s="22"/>
      <c r="F436" s="19"/>
      <c r="G436" s="19"/>
      <c r="H436" s="19"/>
      <c r="I436" s="19"/>
      <c r="J436" s="19"/>
      <c r="K436" s="18" t="s">
        <v>1366</v>
      </c>
      <c r="L436" s="19"/>
      <c r="M436" s="19"/>
      <c r="N436" s="21" t="s">
        <v>54</v>
      </c>
      <c r="O436" s="20"/>
      <c r="P436" s="20"/>
      <c r="Q436" s="19"/>
      <c r="R436" s="19"/>
      <c r="S436" s="20"/>
      <c r="T436" s="19"/>
      <c r="U436" s="20"/>
      <c r="V436" s="19"/>
      <c r="W436" s="26"/>
      <c r="X436" s="20"/>
      <c r="Y436" s="20"/>
      <c r="Z436" s="20"/>
      <c r="AA436" s="26"/>
      <c r="AB436" s="28"/>
      <c r="AC436" s="24"/>
      <c r="AD436" s="24"/>
    </row>
    <row r="437">
      <c r="A437" s="25"/>
      <c r="B437" s="17" t="s">
        <v>1398</v>
      </c>
      <c r="C437" s="17">
        <v>9.142165692E9</v>
      </c>
      <c r="D437" s="19"/>
      <c r="E437" s="22"/>
      <c r="F437" s="19"/>
      <c r="G437" s="19"/>
      <c r="H437" s="19"/>
      <c r="I437" s="19"/>
      <c r="J437" s="19"/>
      <c r="K437" s="18" t="s">
        <v>1366</v>
      </c>
      <c r="L437" s="19"/>
      <c r="M437" s="19"/>
      <c r="N437" s="21" t="s">
        <v>54</v>
      </c>
      <c r="O437" s="20"/>
      <c r="P437" s="20"/>
      <c r="Q437" s="19"/>
      <c r="R437" s="19"/>
      <c r="S437" s="20"/>
      <c r="T437" s="19"/>
      <c r="U437" s="20"/>
      <c r="V437" s="19"/>
      <c r="W437" s="26"/>
      <c r="X437" s="20"/>
      <c r="Y437" s="20"/>
      <c r="Z437" s="20"/>
      <c r="AA437" s="26"/>
      <c r="AB437" s="28"/>
      <c r="AC437" s="24"/>
      <c r="AD437" s="24"/>
    </row>
    <row r="438">
      <c r="A438" s="25"/>
      <c r="B438" s="17" t="s">
        <v>1399</v>
      </c>
      <c r="C438" s="17">
        <v>9.478685134E9</v>
      </c>
      <c r="D438" s="26">
        <v>23.0</v>
      </c>
      <c r="E438" s="20" t="s">
        <v>367</v>
      </c>
      <c r="F438" s="26" t="s">
        <v>441</v>
      </c>
      <c r="G438" s="26" t="s">
        <v>518</v>
      </c>
      <c r="H438" s="26" t="s">
        <v>376</v>
      </c>
      <c r="I438" s="19"/>
      <c r="J438" s="26" t="s">
        <v>1365</v>
      </c>
      <c r="K438" s="18" t="s">
        <v>1366</v>
      </c>
      <c r="L438" s="26" t="s">
        <v>1374</v>
      </c>
      <c r="M438" s="26" t="s">
        <v>1393</v>
      </c>
      <c r="N438" s="21" t="s">
        <v>9</v>
      </c>
      <c r="O438" s="20" t="s">
        <v>4</v>
      </c>
      <c r="P438" s="20" t="s">
        <v>4</v>
      </c>
      <c r="Q438" s="26" t="s">
        <v>444</v>
      </c>
      <c r="R438" s="19"/>
      <c r="S438" s="20" t="s">
        <v>4</v>
      </c>
      <c r="T438" s="26" t="s">
        <v>756</v>
      </c>
      <c r="U438" s="20" t="s">
        <v>4</v>
      </c>
      <c r="V438" s="19"/>
      <c r="W438" s="26" t="s">
        <v>616</v>
      </c>
      <c r="X438" s="20" t="s">
        <v>4</v>
      </c>
      <c r="Y438" s="20" t="s">
        <v>4</v>
      </c>
      <c r="Z438" s="20" t="s">
        <v>4</v>
      </c>
      <c r="AA438" s="26" t="s">
        <v>391</v>
      </c>
      <c r="AB438" s="28"/>
      <c r="AC438" s="24"/>
      <c r="AD438" s="24"/>
    </row>
    <row r="439">
      <c r="A439" s="25"/>
      <c r="B439" s="17" t="s">
        <v>1400</v>
      </c>
      <c r="C439" s="17">
        <v>9.113700252E9</v>
      </c>
      <c r="D439" s="26">
        <v>34.0</v>
      </c>
      <c r="E439" s="20" t="s">
        <v>367</v>
      </c>
      <c r="F439" s="26" t="s">
        <v>441</v>
      </c>
      <c r="G439" s="26" t="s">
        <v>518</v>
      </c>
      <c r="H439" s="26" t="s">
        <v>376</v>
      </c>
      <c r="I439" s="19"/>
      <c r="J439" s="26" t="s">
        <v>1365</v>
      </c>
      <c r="K439" s="18" t="s">
        <v>1366</v>
      </c>
      <c r="L439" s="26" t="s">
        <v>1374</v>
      </c>
      <c r="M439" s="26" t="s">
        <v>1380</v>
      </c>
      <c r="N439" s="21" t="s">
        <v>9</v>
      </c>
      <c r="O439" s="20" t="s">
        <v>4</v>
      </c>
      <c r="P439" s="20" t="s">
        <v>4</v>
      </c>
      <c r="Q439" s="26" t="s">
        <v>444</v>
      </c>
      <c r="R439" s="19"/>
      <c r="S439" s="20" t="s">
        <v>4</v>
      </c>
      <c r="T439" s="26" t="s">
        <v>756</v>
      </c>
      <c r="U439" s="20" t="s">
        <v>4</v>
      </c>
      <c r="V439" s="26" t="s">
        <v>757</v>
      </c>
      <c r="W439" s="26" t="s">
        <v>612</v>
      </c>
      <c r="X439" s="20" t="s">
        <v>4</v>
      </c>
      <c r="Y439" s="20" t="s">
        <v>4</v>
      </c>
      <c r="Z439" s="20" t="s">
        <v>4</v>
      </c>
      <c r="AA439" s="26" t="s">
        <v>391</v>
      </c>
      <c r="AB439" s="28"/>
      <c r="AC439" s="24"/>
      <c r="AD439" s="24"/>
    </row>
    <row r="440">
      <c r="A440" s="25"/>
      <c r="B440" s="17" t="s">
        <v>1401</v>
      </c>
      <c r="C440" s="17">
        <v>7.292830314E9</v>
      </c>
      <c r="D440" s="26">
        <v>21.0</v>
      </c>
      <c r="E440" s="20" t="s">
        <v>367</v>
      </c>
      <c r="F440" s="26" t="s">
        <v>382</v>
      </c>
      <c r="G440" s="26" t="s">
        <v>518</v>
      </c>
      <c r="H440" s="26" t="s">
        <v>1402</v>
      </c>
      <c r="I440" s="19"/>
      <c r="J440" s="26" t="s">
        <v>1365</v>
      </c>
      <c r="K440" s="18" t="s">
        <v>1366</v>
      </c>
      <c r="L440" s="26" t="s">
        <v>1374</v>
      </c>
      <c r="M440" s="26" t="s">
        <v>1403</v>
      </c>
      <c r="N440" s="21" t="s">
        <v>9</v>
      </c>
      <c r="O440" s="20" t="s">
        <v>4</v>
      </c>
      <c r="P440" s="20" t="s">
        <v>380</v>
      </c>
      <c r="Q440" s="19"/>
      <c r="R440" s="19"/>
      <c r="S440" s="20" t="s">
        <v>4</v>
      </c>
      <c r="T440" s="26" t="s">
        <v>756</v>
      </c>
      <c r="U440" s="20" t="s">
        <v>4</v>
      </c>
      <c r="V440" s="26" t="s">
        <v>757</v>
      </c>
      <c r="W440" s="26" t="s">
        <v>616</v>
      </c>
      <c r="X440" s="20" t="s">
        <v>4</v>
      </c>
      <c r="Y440" s="20" t="s">
        <v>4</v>
      </c>
      <c r="Z440" s="20" t="s">
        <v>4</v>
      </c>
      <c r="AA440" s="26" t="s">
        <v>391</v>
      </c>
      <c r="AB440" s="28"/>
      <c r="AC440" s="24"/>
      <c r="AD440" s="24"/>
    </row>
    <row r="441">
      <c r="A441" s="25"/>
      <c r="B441" s="17" t="s">
        <v>1404</v>
      </c>
      <c r="C441" s="17">
        <v>6.201981464E9</v>
      </c>
      <c r="D441" s="26">
        <v>26.0</v>
      </c>
      <c r="E441" s="20" t="s">
        <v>367</v>
      </c>
      <c r="F441" s="26" t="s">
        <v>441</v>
      </c>
      <c r="G441" s="26" t="s">
        <v>518</v>
      </c>
      <c r="H441" s="26" t="s">
        <v>376</v>
      </c>
      <c r="I441" s="19"/>
      <c r="J441" s="26" t="s">
        <v>1365</v>
      </c>
      <c r="K441" s="18" t="s">
        <v>1366</v>
      </c>
      <c r="L441" s="26" t="s">
        <v>1374</v>
      </c>
      <c r="M441" s="26" t="s">
        <v>1405</v>
      </c>
      <c r="N441" s="21" t="s">
        <v>9</v>
      </c>
      <c r="O441" s="20" t="s">
        <v>4</v>
      </c>
      <c r="P441" s="20" t="s">
        <v>4</v>
      </c>
      <c r="Q441" s="26" t="s">
        <v>444</v>
      </c>
      <c r="R441" s="19"/>
      <c r="S441" s="20" t="s">
        <v>4</v>
      </c>
      <c r="T441" s="26" t="s">
        <v>756</v>
      </c>
      <c r="U441" s="20" t="s">
        <v>380</v>
      </c>
      <c r="V441" s="19"/>
      <c r="W441" s="26" t="s">
        <v>616</v>
      </c>
      <c r="X441" s="20" t="s">
        <v>4</v>
      </c>
      <c r="Y441" s="20" t="s">
        <v>4</v>
      </c>
      <c r="Z441" s="20" t="s">
        <v>4</v>
      </c>
      <c r="AA441" s="26" t="s">
        <v>391</v>
      </c>
      <c r="AB441" s="28"/>
      <c r="AC441" s="24"/>
      <c r="AD441" s="24"/>
    </row>
    <row r="442">
      <c r="A442" s="25"/>
      <c r="B442" s="17" t="s">
        <v>1406</v>
      </c>
      <c r="C442" s="17">
        <v>7.739320475E9</v>
      </c>
      <c r="D442" s="26">
        <v>48.0</v>
      </c>
      <c r="E442" s="20" t="s">
        <v>367</v>
      </c>
      <c r="F442" s="26" t="s">
        <v>374</v>
      </c>
      <c r="G442" s="26" t="s">
        <v>518</v>
      </c>
      <c r="H442" s="26" t="s">
        <v>507</v>
      </c>
      <c r="I442" s="19"/>
      <c r="J442" s="26" t="s">
        <v>1365</v>
      </c>
      <c r="K442" s="18" t="s">
        <v>1366</v>
      </c>
      <c r="L442" s="26" t="s">
        <v>1374</v>
      </c>
      <c r="M442" s="26" t="s">
        <v>1393</v>
      </c>
      <c r="N442" s="21" t="s">
        <v>9</v>
      </c>
      <c r="O442" s="20" t="s">
        <v>4</v>
      </c>
      <c r="P442" s="20" t="s">
        <v>4</v>
      </c>
      <c r="Q442" s="26" t="s">
        <v>444</v>
      </c>
      <c r="R442" s="19"/>
      <c r="S442" s="20" t="s">
        <v>4</v>
      </c>
      <c r="T442" s="26" t="s">
        <v>756</v>
      </c>
      <c r="U442" s="20" t="s">
        <v>4</v>
      </c>
      <c r="V442" s="26" t="s">
        <v>757</v>
      </c>
      <c r="W442" s="26" t="s">
        <v>616</v>
      </c>
      <c r="X442" s="20" t="s">
        <v>4</v>
      </c>
      <c r="Y442" s="20" t="s">
        <v>4</v>
      </c>
      <c r="Z442" s="20" t="s">
        <v>4</v>
      </c>
      <c r="AA442" s="26" t="s">
        <v>391</v>
      </c>
      <c r="AB442" s="28"/>
      <c r="AC442" s="24"/>
      <c r="AD442" s="24"/>
    </row>
    <row r="443">
      <c r="A443" s="25"/>
      <c r="B443" s="17" t="s">
        <v>1407</v>
      </c>
      <c r="C443" s="17">
        <v>9.234539898E9</v>
      </c>
      <c r="D443" s="26">
        <v>18.0</v>
      </c>
      <c r="E443" s="20" t="s">
        <v>367</v>
      </c>
      <c r="F443" s="26" t="s">
        <v>382</v>
      </c>
      <c r="G443" s="26" t="s">
        <v>518</v>
      </c>
      <c r="H443" s="26" t="s">
        <v>507</v>
      </c>
      <c r="I443" s="19"/>
      <c r="J443" s="26" t="s">
        <v>1365</v>
      </c>
      <c r="K443" s="18" t="s">
        <v>1366</v>
      </c>
      <c r="L443" s="26" t="s">
        <v>1365</v>
      </c>
      <c r="M443" s="26" t="s">
        <v>1178</v>
      </c>
      <c r="N443" s="21" t="s">
        <v>9</v>
      </c>
      <c r="O443" s="20" t="s">
        <v>380</v>
      </c>
      <c r="P443" s="20" t="s">
        <v>380</v>
      </c>
      <c r="Q443" s="19"/>
      <c r="R443" s="19"/>
      <c r="S443" s="20" t="s">
        <v>380</v>
      </c>
      <c r="T443" s="19"/>
      <c r="U443" s="20" t="s">
        <v>4</v>
      </c>
      <c r="V443" s="26" t="s">
        <v>807</v>
      </c>
      <c r="W443" s="26" t="s">
        <v>616</v>
      </c>
      <c r="X443" s="20" t="s">
        <v>4</v>
      </c>
      <c r="Y443" s="20" t="s">
        <v>380</v>
      </c>
      <c r="Z443" s="20" t="s">
        <v>4</v>
      </c>
      <c r="AA443" s="26" t="s">
        <v>391</v>
      </c>
      <c r="AB443" s="28"/>
      <c r="AC443" s="24"/>
      <c r="AD443" s="24"/>
    </row>
    <row r="444">
      <c r="A444" s="25"/>
      <c r="B444" s="17" t="s">
        <v>1408</v>
      </c>
      <c r="C444" s="17">
        <v>6.299419122E9</v>
      </c>
      <c r="D444" s="26">
        <v>32.0</v>
      </c>
      <c r="E444" s="20" t="s">
        <v>367</v>
      </c>
      <c r="F444" s="26" t="s">
        <v>441</v>
      </c>
      <c r="G444" s="26" t="s">
        <v>518</v>
      </c>
      <c r="H444" s="26" t="s">
        <v>507</v>
      </c>
      <c r="I444" s="19"/>
      <c r="J444" s="26" t="s">
        <v>1365</v>
      </c>
      <c r="K444" s="18" t="s">
        <v>1366</v>
      </c>
      <c r="L444" s="26" t="s">
        <v>1365</v>
      </c>
      <c r="M444" s="26" t="s">
        <v>1409</v>
      </c>
      <c r="N444" s="21" t="s">
        <v>9</v>
      </c>
      <c r="O444" s="20" t="s">
        <v>4</v>
      </c>
      <c r="P444" s="20" t="s">
        <v>4</v>
      </c>
      <c r="Q444" s="26" t="s">
        <v>444</v>
      </c>
      <c r="R444" s="26" t="s">
        <v>1410</v>
      </c>
      <c r="S444" s="20" t="s">
        <v>4</v>
      </c>
      <c r="T444" s="26" t="s">
        <v>756</v>
      </c>
      <c r="U444" s="20" t="s">
        <v>380</v>
      </c>
      <c r="V444" s="19"/>
      <c r="W444" s="26" t="s">
        <v>616</v>
      </c>
      <c r="X444" s="20" t="s">
        <v>4</v>
      </c>
      <c r="Y444" s="20" t="s">
        <v>4</v>
      </c>
      <c r="Z444" s="20" t="s">
        <v>4</v>
      </c>
      <c r="AA444" s="26" t="s">
        <v>391</v>
      </c>
      <c r="AB444" s="28"/>
      <c r="AC444" s="24"/>
      <c r="AD444" s="24"/>
    </row>
    <row r="445">
      <c r="A445" s="25"/>
      <c r="B445" s="17" t="s">
        <v>1411</v>
      </c>
      <c r="C445" s="17">
        <v>6.202309302E9</v>
      </c>
      <c r="D445" s="26">
        <v>22.0</v>
      </c>
      <c r="E445" s="20" t="s">
        <v>405</v>
      </c>
      <c r="F445" s="26" t="s">
        <v>814</v>
      </c>
      <c r="G445" s="26" t="s">
        <v>375</v>
      </c>
      <c r="H445" s="26" t="s">
        <v>376</v>
      </c>
      <c r="I445" s="26" t="s">
        <v>377</v>
      </c>
      <c r="J445" s="26" t="s">
        <v>1365</v>
      </c>
      <c r="K445" s="18" t="s">
        <v>1366</v>
      </c>
      <c r="L445" s="26" t="s">
        <v>1365</v>
      </c>
      <c r="M445" s="26" t="s">
        <v>1412</v>
      </c>
      <c r="N445" s="21" t="s">
        <v>9</v>
      </c>
      <c r="O445" s="20" t="s">
        <v>4</v>
      </c>
      <c r="P445" s="20" t="s">
        <v>380</v>
      </c>
      <c r="Q445" s="19"/>
      <c r="R445" s="19"/>
      <c r="S445" s="20" t="s">
        <v>4</v>
      </c>
      <c r="T445" s="26" t="s">
        <v>768</v>
      </c>
      <c r="U445" s="20" t="s">
        <v>380</v>
      </c>
      <c r="V445" s="19"/>
      <c r="W445" s="26" t="s">
        <v>612</v>
      </c>
      <c r="X445" s="20" t="s">
        <v>4</v>
      </c>
      <c r="Y445" s="20" t="s">
        <v>4</v>
      </c>
      <c r="Z445" s="20" t="s">
        <v>4</v>
      </c>
      <c r="AA445" s="26" t="s">
        <v>391</v>
      </c>
      <c r="AB445" s="28"/>
      <c r="AC445" s="24"/>
      <c r="AD445" s="24"/>
    </row>
    <row r="446">
      <c r="A446" s="25"/>
      <c r="B446" s="17" t="s">
        <v>1413</v>
      </c>
      <c r="C446" s="17">
        <v>6.201383079E9</v>
      </c>
      <c r="D446" s="26">
        <v>50.0</v>
      </c>
      <c r="E446" s="20" t="s">
        <v>367</v>
      </c>
      <c r="F446" s="26" t="s">
        <v>441</v>
      </c>
      <c r="G446" s="26" t="s">
        <v>375</v>
      </c>
      <c r="H446" s="26" t="s">
        <v>407</v>
      </c>
      <c r="I446" s="19"/>
      <c r="J446" s="26" t="s">
        <v>1365</v>
      </c>
      <c r="K446" s="18" t="s">
        <v>1366</v>
      </c>
      <c r="L446" s="26" t="s">
        <v>1414</v>
      </c>
      <c r="M446" s="26" t="s">
        <v>1415</v>
      </c>
      <c r="N446" s="21" t="s">
        <v>9</v>
      </c>
      <c r="O446" s="20" t="s">
        <v>4</v>
      </c>
      <c r="P446" s="20" t="s">
        <v>380</v>
      </c>
      <c r="Q446" s="19"/>
      <c r="R446" s="19"/>
      <c r="S446" s="20" t="s">
        <v>4</v>
      </c>
      <c r="T446" s="26" t="s">
        <v>756</v>
      </c>
      <c r="U446" s="20" t="s">
        <v>4</v>
      </c>
      <c r="V446" s="26" t="s">
        <v>757</v>
      </c>
      <c r="W446" s="26" t="s">
        <v>616</v>
      </c>
      <c r="X446" s="20" t="s">
        <v>4</v>
      </c>
      <c r="Y446" s="20" t="s">
        <v>4</v>
      </c>
      <c r="Z446" s="20" t="s">
        <v>4</v>
      </c>
      <c r="AA446" s="26" t="s">
        <v>391</v>
      </c>
      <c r="AB446" s="28"/>
      <c r="AC446" s="24"/>
      <c r="AD446" s="24"/>
    </row>
    <row r="447">
      <c r="A447" s="25"/>
      <c r="B447" s="17" t="s">
        <v>1416</v>
      </c>
      <c r="C447" s="17">
        <v>9.631247871E9</v>
      </c>
      <c r="D447" s="26">
        <v>44.0</v>
      </c>
      <c r="E447" s="20" t="s">
        <v>367</v>
      </c>
      <c r="F447" s="26" t="s">
        <v>441</v>
      </c>
      <c r="G447" s="26" t="s">
        <v>375</v>
      </c>
      <c r="H447" s="26" t="s">
        <v>376</v>
      </c>
      <c r="I447" s="19"/>
      <c r="J447" s="26" t="s">
        <v>1365</v>
      </c>
      <c r="K447" s="18" t="s">
        <v>1366</v>
      </c>
      <c r="L447" s="26" t="s">
        <v>1417</v>
      </c>
      <c r="M447" s="26" t="s">
        <v>1418</v>
      </c>
      <c r="N447" s="21" t="s">
        <v>9</v>
      </c>
      <c r="O447" s="20" t="s">
        <v>4</v>
      </c>
      <c r="P447" s="20" t="s">
        <v>380</v>
      </c>
      <c r="Q447" s="19"/>
      <c r="R447" s="19"/>
      <c r="S447" s="20" t="s">
        <v>4</v>
      </c>
      <c r="T447" s="26" t="s">
        <v>1419</v>
      </c>
      <c r="U447" s="20" t="s">
        <v>4</v>
      </c>
      <c r="V447" s="26" t="s">
        <v>1394</v>
      </c>
      <c r="W447" s="26" t="s">
        <v>616</v>
      </c>
      <c r="X447" s="20" t="s">
        <v>4</v>
      </c>
      <c r="Y447" s="20" t="s">
        <v>380</v>
      </c>
      <c r="Z447" s="20" t="s">
        <v>4</v>
      </c>
      <c r="AA447" s="26" t="s">
        <v>391</v>
      </c>
      <c r="AB447" s="28"/>
      <c r="AC447" s="24"/>
      <c r="AD447" s="24"/>
    </row>
    <row r="448">
      <c r="A448" s="25"/>
      <c r="B448" s="17" t="s">
        <v>1420</v>
      </c>
      <c r="C448" s="17">
        <v>8.00278352E9</v>
      </c>
      <c r="D448" s="26">
        <v>45.0</v>
      </c>
      <c r="E448" s="20" t="s">
        <v>367</v>
      </c>
      <c r="F448" s="26" t="s">
        <v>585</v>
      </c>
      <c r="G448" s="26" t="s">
        <v>375</v>
      </c>
      <c r="H448" s="26" t="s">
        <v>1185</v>
      </c>
      <c r="I448" s="19"/>
      <c r="J448" s="26" t="s">
        <v>1365</v>
      </c>
      <c r="K448" s="18" t="s">
        <v>1366</v>
      </c>
      <c r="L448" s="26" t="s">
        <v>1414</v>
      </c>
      <c r="M448" s="26" t="s">
        <v>1421</v>
      </c>
      <c r="N448" s="21" t="s">
        <v>9</v>
      </c>
      <c r="O448" s="20" t="s">
        <v>4</v>
      </c>
      <c r="P448" s="20" t="s">
        <v>4</v>
      </c>
      <c r="Q448" s="26" t="s">
        <v>1422</v>
      </c>
      <c r="R448" s="26" t="s">
        <v>1423</v>
      </c>
      <c r="S448" s="20" t="s">
        <v>4</v>
      </c>
      <c r="T448" s="26" t="s">
        <v>756</v>
      </c>
      <c r="U448" s="20" t="s">
        <v>4</v>
      </c>
      <c r="V448" s="26" t="s">
        <v>757</v>
      </c>
      <c r="W448" s="26" t="s">
        <v>616</v>
      </c>
      <c r="X448" s="20" t="s">
        <v>4</v>
      </c>
      <c r="Y448" s="20" t="s">
        <v>4</v>
      </c>
      <c r="Z448" s="20" t="s">
        <v>4</v>
      </c>
      <c r="AA448" s="26" t="s">
        <v>391</v>
      </c>
      <c r="AB448" s="28"/>
      <c r="AC448" s="24"/>
      <c r="AD448" s="24"/>
    </row>
    <row r="449">
      <c r="A449" s="25"/>
      <c r="B449" s="17" t="s">
        <v>1424</v>
      </c>
      <c r="C449" s="17">
        <v>6.204005191E9</v>
      </c>
      <c r="D449" s="19"/>
      <c r="E449" s="22"/>
      <c r="F449" s="19"/>
      <c r="G449" s="19"/>
      <c r="H449" s="19"/>
      <c r="I449" s="19"/>
      <c r="J449" s="19"/>
      <c r="K449" s="18" t="s">
        <v>1366</v>
      </c>
      <c r="L449" s="19"/>
      <c r="M449" s="19"/>
      <c r="N449" s="21" t="s">
        <v>23</v>
      </c>
      <c r="O449" s="20"/>
      <c r="P449" s="20"/>
      <c r="Q449" s="19"/>
      <c r="R449" s="19"/>
      <c r="S449" s="20"/>
      <c r="T449" s="19"/>
      <c r="U449" s="20"/>
      <c r="V449" s="19"/>
      <c r="W449" s="26"/>
      <c r="X449" s="20"/>
      <c r="Y449" s="20"/>
      <c r="Z449" s="20"/>
      <c r="AA449" s="26"/>
      <c r="AB449" s="28"/>
      <c r="AC449" s="24"/>
      <c r="AD449" s="24"/>
    </row>
    <row r="450">
      <c r="A450" s="25"/>
      <c r="B450" s="17" t="s">
        <v>1425</v>
      </c>
      <c r="C450" s="17">
        <v>9.835962089E9</v>
      </c>
      <c r="D450" s="26">
        <v>22.0</v>
      </c>
      <c r="E450" s="20" t="s">
        <v>405</v>
      </c>
      <c r="F450" s="26" t="s">
        <v>1205</v>
      </c>
      <c r="G450" s="26" t="s">
        <v>518</v>
      </c>
      <c r="H450" s="26" t="s">
        <v>376</v>
      </c>
      <c r="I450" s="19"/>
      <c r="J450" s="26" t="s">
        <v>1365</v>
      </c>
      <c r="K450" s="18" t="s">
        <v>1366</v>
      </c>
      <c r="L450" s="26" t="s">
        <v>1365</v>
      </c>
      <c r="M450" s="26" t="s">
        <v>1178</v>
      </c>
      <c r="N450" s="21" t="s">
        <v>9</v>
      </c>
      <c r="O450" s="20" t="s">
        <v>4</v>
      </c>
      <c r="P450" s="20" t="s">
        <v>4</v>
      </c>
      <c r="Q450" s="26" t="s">
        <v>444</v>
      </c>
      <c r="R450" s="19"/>
      <c r="S450" s="20" t="s">
        <v>4</v>
      </c>
      <c r="T450" s="26" t="s">
        <v>1426</v>
      </c>
      <c r="U450" s="20" t="s">
        <v>4</v>
      </c>
      <c r="V450" s="26" t="s">
        <v>757</v>
      </c>
      <c r="W450" s="26" t="s">
        <v>616</v>
      </c>
      <c r="X450" s="20" t="s">
        <v>4</v>
      </c>
      <c r="Y450" s="20" t="s">
        <v>380</v>
      </c>
      <c r="Z450" s="20" t="s">
        <v>4</v>
      </c>
      <c r="AA450" s="26" t="s">
        <v>391</v>
      </c>
      <c r="AB450" s="28"/>
      <c r="AC450" s="24"/>
      <c r="AD450" s="24"/>
    </row>
    <row r="451">
      <c r="A451" s="25"/>
      <c r="B451" s="17" t="s">
        <v>1427</v>
      </c>
      <c r="C451" s="17">
        <v>9.693567984E9</v>
      </c>
      <c r="D451" s="26">
        <v>21.0</v>
      </c>
      <c r="E451" s="20" t="s">
        <v>367</v>
      </c>
      <c r="F451" s="26" t="s">
        <v>382</v>
      </c>
      <c r="G451" s="26" t="s">
        <v>518</v>
      </c>
      <c r="H451" s="26" t="s">
        <v>376</v>
      </c>
      <c r="I451" s="19"/>
      <c r="J451" s="26" t="s">
        <v>1365</v>
      </c>
      <c r="K451" s="18" t="s">
        <v>1366</v>
      </c>
      <c r="L451" s="26" t="s">
        <v>1374</v>
      </c>
      <c r="M451" s="26" t="s">
        <v>1428</v>
      </c>
      <c r="N451" s="21" t="s">
        <v>9</v>
      </c>
      <c r="O451" s="20" t="s">
        <v>4</v>
      </c>
      <c r="P451" s="20" t="s">
        <v>380</v>
      </c>
      <c r="Q451" s="26"/>
      <c r="R451" s="19"/>
      <c r="S451" s="20" t="s">
        <v>4</v>
      </c>
      <c r="T451" s="26" t="s">
        <v>756</v>
      </c>
      <c r="U451" s="20" t="s">
        <v>4</v>
      </c>
      <c r="V451" s="26" t="s">
        <v>807</v>
      </c>
      <c r="W451" s="26" t="s">
        <v>616</v>
      </c>
      <c r="X451" s="20" t="s">
        <v>4</v>
      </c>
      <c r="Y451" s="20" t="s">
        <v>4</v>
      </c>
      <c r="Z451" s="20" t="s">
        <v>4</v>
      </c>
      <c r="AA451" s="26" t="s">
        <v>391</v>
      </c>
      <c r="AB451" s="28"/>
      <c r="AC451" s="24"/>
      <c r="AD451" s="24"/>
    </row>
    <row r="452">
      <c r="A452" s="25"/>
      <c r="B452" s="17" t="s">
        <v>1429</v>
      </c>
      <c r="C452" s="17">
        <v>6.201595936E9</v>
      </c>
      <c r="D452" s="26">
        <v>24.0</v>
      </c>
      <c r="E452" s="20" t="s">
        <v>367</v>
      </c>
      <c r="F452" s="26" t="s">
        <v>441</v>
      </c>
      <c r="G452" s="26" t="s">
        <v>518</v>
      </c>
      <c r="H452" s="26" t="s">
        <v>507</v>
      </c>
      <c r="I452" s="19"/>
      <c r="J452" s="26" t="s">
        <v>1365</v>
      </c>
      <c r="K452" s="18" t="s">
        <v>1366</v>
      </c>
      <c r="L452" s="26" t="s">
        <v>1374</v>
      </c>
      <c r="M452" s="26" t="s">
        <v>1428</v>
      </c>
      <c r="N452" s="21" t="s">
        <v>9</v>
      </c>
      <c r="O452" s="20" t="s">
        <v>4</v>
      </c>
      <c r="P452" s="20" t="s">
        <v>4</v>
      </c>
      <c r="Q452" s="26" t="s">
        <v>444</v>
      </c>
      <c r="R452" s="19"/>
      <c r="S452" s="20" t="s">
        <v>380</v>
      </c>
      <c r="T452" s="19"/>
      <c r="U452" s="20" t="s">
        <v>4</v>
      </c>
      <c r="V452" s="26" t="s">
        <v>757</v>
      </c>
      <c r="W452" s="26" t="s">
        <v>616</v>
      </c>
      <c r="X452" s="20" t="s">
        <v>4</v>
      </c>
      <c r="Y452" s="20" t="s">
        <v>4</v>
      </c>
      <c r="Z452" s="20" t="s">
        <v>4</v>
      </c>
      <c r="AA452" s="26" t="s">
        <v>391</v>
      </c>
      <c r="AB452" s="28"/>
      <c r="AC452" s="24"/>
      <c r="AD452" s="24"/>
    </row>
    <row r="453">
      <c r="A453" s="31"/>
      <c r="B453" s="17" t="s">
        <v>1430</v>
      </c>
      <c r="C453" s="17">
        <v>9.955090896E9</v>
      </c>
      <c r="D453" s="26">
        <v>28.0</v>
      </c>
      <c r="E453" s="20" t="s">
        <v>367</v>
      </c>
      <c r="F453" s="26" t="s">
        <v>1184</v>
      </c>
      <c r="G453" s="26" t="s">
        <v>518</v>
      </c>
      <c r="H453" s="26" t="s">
        <v>376</v>
      </c>
      <c r="I453" s="19"/>
      <c r="J453" s="26" t="s">
        <v>1365</v>
      </c>
      <c r="K453" s="18" t="s">
        <v>1366</v>
      </c>
      <c r="L453" s="26" t="s">
        <v>1374</v>
      </c>
      <c r="M453" s="26" t="s">
        <v>1428</v>
      </c>
      <c r="N453" s="21" t="s">
        <v>9</v>
      </c>
      <c r="O453" s="20" t="s">
        <v>4</v>
      </c>
      <c r="P453" s="20" t="s">
        <v>4</v>
      </c>
      <c r="Q453" s="26" t="s">
        <v>444</v>
      </c>
      <c r="R453" s="26" t="s">
        <v>1431</v>
      </c>
      <c r="S453" s="20" t="s">
        <v>4</v>
      </c>
      <c r="T453" s="26" t="s">
        <v>756</v>
      </c>
      <c r="U453" s="20" t="s">
        <v>4</v>
      </c>
      <c r="V453" s="26" t="s">
        <v>757</v>
      </c>
      <c r="W453" s="26" t="s">
        <v>616</v>
      </c>
      <c r="X453" s="20" t="s">
        <v>4</v>
      </c>
      <c r="Y453" s="20" t="s">
        <v>4</v>
      </c>
      <c r="Z453" s="20" t="s">
        <v>4</v>
      </c>
      <c r="AA453" s="26" t="s">
        <v>391</v>
      </c>
      <c r="AB453" s="28"/>
      <c r="AC453" s="24"/>
      <c r="AD453" s="24"/>
    </row>
    <row r="454">
      <c r="A454" s="32"/>
      <c r="B454" s="62"/>
      <c r="C454" s="62"/>
      <c r="K454" s="34"/>
      <c r="N454" s="34"/>
      <c r="AB454" s="33"/>
      <c r="AC454" s="24"/>
      <c r="AD454" s="24"/>
    </row>
    <row r="455">
      <c r="A455" s="16" t="s">
        <v>1432</v>
      </c>
      <c r="B455" s="53" t="s">
        <v>81</v>
      </c>
      <c r="C455" s="53">
        <v>7.3199605E9</v>
      </c>
      <c r="D455" s="26">
        <v>35.0</v>
      </c>
      <c r="E455" s="20" t="s">
        <v>367</v>
      </c>
      <c r="F455" s="26" t="s">
        <v>1433</v>
      </c>
      <c r="G455" s="26" t="s">
        <v>458</v>
      </c>
      <c r="H455" s="26" t="s">
        <v>1310</v>
      </c>
      <c r="I455" s="26" t="s">
        <v>1434</v>
      </c>
      <c r="J455" s="26" t="s">
        <v>1435</v>
      </c>
      <c r="K455" s="18" t="s">
        <v>1436</v>
      </c>
      <c r="L455" s="26" t="s">
        <v>1437</v>
      </c>
      <c r="M455" s="26" t="s">
        <v>1365</v>
      </c>
      <c r="N455" s="21" t="s">
        <v>9</v>
      </c>
      <c r="O455" s="20" t="s">
        <v>4</v>
      </c>
      <c r="P455" s="20" t="s">
        <v>4</v>
      </c>
      <c r="Q455" s="26" t="s">
        <v>388</v>
      </c>
      <c r="R455" s="26" t="s">
        <v>1438</v>
      </c>
      <c r="S455" s="20" t="s">
        <v>4</v>
      </c>
      <c r="T455" s="26" t="s">
        <v>1439</v>
      </c>
      <c r="U455" s="20" t="s">
        <v>4</v>
      </c>
      <c r="V455" s="26" t="s">
        <v>1440</v>
      </c>
      <c r="W455" s="26" t="s">
        <v>616</v>
      </c>
      <c r="X455" s="20" t="s">
        <v>4</v>
      </c>
      <c r="Y455" s="20" t="s">
        <v>4</v>
      </c>
      <c r="Z455" s="20" t="s">
        <v>4</v>
      </c>
      <c r="AA455" s="26" t="s">
        <v>391</v>
      </c>
      <c r="AB455" s="28"/>
      <c r="AC455" s="24"/>
      <c r="AD455" s="24"/>
    </row>
    <row r="456">
      <c r="A456" s="25"/>
      <c r="B456" s="53" t="s">
        <v>1441</v>
      </c>
      <c r="C456" s="53">
        <v>9.798263918E9</v>
      </c>
      <c r="D456" s="19"/>
      <c r="E456" s="20"/>
      <c r="F456" s="26"/>
      <c r="G456" s="26"/>
      <c r="H456" s="26"/>
      <c r="I456" s="19"/>
      <c r="J456" s="53" t="s">
        <v>1435</v>
      </c>
      <c r="K456" s="18" t="s">
        <v>1436</v>
      </c>
      <c r="L456" s="26"/>
      <c r="M456" s="26"/>
      <c r="N456" s="21" t="s">
        <v>27</v>
      </c>
      <c r="O456" s="20"/>
      <c r="P456" s="20"/>
      <c r="Q456" s="26"/>
      <c r="R456" s="26"/>
      <c r="S456" s="20"/>
      <c r="T456" s="26"/>
      <c r="U456" s="20"/>
      <c r="V456" s="26"/>
      <c r="W456" s="26"/>
      <c r="X456" s="20"/>
      <c r="Y456" s="20"/>
      <c r="Z456" s="20"/>
      <c r="AA456" s="26"/>
      <c r="AB456" s="28"/>
      <c r="AC456" s="24"/>
      <c r="AD456" s="24"/>
    </row>
    <row r="457">
      <c r="A457" s="25"/>
      <c r="B457" s="53" t="s">
        <v>1119</v>
      </c>
      <c r="C457" s="53">
        <v>9.097937103E9</v>
      </c>
      <c r="D457" s="19"/>
      <c r="E457" s="20"/>
      <c r="F457" s="26"/>
      <c r="G457" s="26"/>
      <c r="H457" s="26"/>
      <c r="I457" s="19"/>
      <c r="J457" s="53" t="s">
        <v>1435</v>
      </c>
      <c r="K457" s="18" t="s">
        <v>1436</v>
      </c>
      <c r="L457" s="26"/>
      <c r="M457" s="26"/>
      <c r="N457" s="21" t="s">
        <v>23</v>
      </c>
      <c r="O457" s="20"/>
      <c r="P457" s="20"/>
      <c r="Q457" s="26"/>
      <c r="R457" s="26"/>
      <c r="S457" s="20"/>
      <c r="T457" s="26"/>
      <c r="U457" s="20"/>
      <c r="V457" s="26"/>
      <c r="W457" s="26"/>
      <c r="X457" s="20"/>
      <c r="Y457" s="20"/>
      <c r="Z457" s="20"/>
      <c r="AA457" s="26"/>
      <c r="AB457" s="28"/>
      <c r="AC457" s="24"/>
      <c r="AD457" s="24"/>
    </row>
    <row r="458">
      <c r="A458" s="25"/>
      <c r="B458" s="53" t="s">
        <v>1442</v>
      </c>
      <c r="C458" s="53">
        <v>9.060365941E9</v>
      </c>
      <c r="D458" s="26">
        <v>40.0</v>
      </c>
      <c r="E458" s="20" t="s">
        <v>367</v>
      </c>
      <c r="F458" s="26" t="s">
        <v>1443</v>
      </c>
      <c r="G458" s="26" t="s">
        <v>647</v>
      </c>
      <c r="H458" s="26" t="s">
        <v>376</v>
      </c>
      <c r="I458" s="26" t="s">
        <v>1444</v>
      </c>
      <c r="J458" s="53" t="s">
        <v>1435</v>
      </c>
      <c r="K458" s="18" t="s">
        <v>1436</v>
      </c>
      <c r="L458" s="26" t="s">
        <v>1445</v>
      </c>
      <c r="M458" s="26" t="s">
        <v>1446</v>
      </c>
      <c r="N458" s="21" t="s">
        <v>9</v>
      </c>
      <c r="O458" s="20" t="s">
        <v>4</v>
      </c>
      <c r="P458" s="20" t="s">
        <v>380</v>
      </c>
      <c r="Q458" s="26"/>
      <c r="R458" s="26"/>
      <c r="S458" s="20" t="s">
        <v>4</v>
      </c>
      <c r="T458" s="26" t="s">
        <v>462</v>
      </c>
      <c r="U458" s="20" t="s">
        <v>4</v>
      </c>
      <c r="V458" s="26" t="s">
        <v>1447</v>
      </c>
      <c r="W458" s="26" t="s">
        <v>616</v>
      </c>
      <c r="X458" s="20" t="s">
        <v>4</v>
      </c>
      <c r="Y458" s="20" t="s">
        <v>380</v>
      </c>
      <c r="Z458" s="20" t="s">
        <v>4</v>
      </c>
      <c r="AA458" s="26" t="s">
        <v>391</v>
      </c>
      <c r="AB458" s="28"/>
      <c r="AC458" s="24"/>
      <c r="AD458" s="24"/>
    </row>
    <row r="459">
      <c r="A459" s="25"/>
      <c r="B459" s="53" t="s">
        <v>1231</v>
      </c>
      <c r="C459" s="53">
        <v>6.203490074E9</v>
      </c>
      <c r="D459" s="26">
        <v>25.0</v>
      </c>
      <c r="E459" s="20" t="s">
        <v>367</v>
      </c>
      <c r="F459" s="26" t="s">
        <v>1448</v>
      </c>
      <c r="G459" s="26" t="s">
        <v>647</v>
      </c>
      <c r="H459" s="26" t="s">
        <v>376</v>
      </c>
      <c r="I459" s="26" t="s">
        <v>1280</v>
      </c>
      <c r="J459" s="53" t="s">
        <v>1435</v>
      </c>
      <c r="K459" s="18" t="s">
        <v>1436</v>
      </c>
      <c r="L459" s="26" t="s">
        <v>1449</v>
      </c>
      <c r="M459" s="26" t="s">
        <v>1450</v>
      </c>
      <c r="N459" s="21" t="s">
        <v>9</v>
      </c>
      <c r="O459" s="20" t="s">
        <v>4</v>
      </c>
      <c r="P459" s="20" t="s">
        <v>4</v>
      </c>
      <c r="Q459" s="26" t="s">
        <v>703</v>
      </c>
      <c r="R459" s="26"/>
      <c r="S459" s="20" t="s">
        <v>380</v>
      </c>
      <c r="T459" s="26"/>
      <c r="U459" s="20" t="s">
        <v>380</v>
      </c>
      <c r="V459" s="26"/>
      <c r="W459" s="26" t="s">
        <v>616</v>
      </c>
      <c r="X459" s="20" t="s">
        <v>4</v>
      </c>
      <c r="Y459" s="20" t="s">
        <v>4</v>
      </c>
      <c r="Z459" s="20" t="s">
        <v>4</v>
      </c>
      <c r="AA459" s="26" t="s">
        <v>391</v>
      </c>
      <c r="AB459" s="28"/>
      <c r="AC459" s="24"/>
      <c r="AD459" s="24"/>
    </row>
    <row r="460">
      <c r="A460" s="25"/>
      <c r="B460" s="53" t="s">
        <v>1451</v>
      </c>
      <c r="C460" s="53">
        <v>9.631649075E9</v>
      </c>
      <c r="D460" s="19"/>
      <c r="E460" s="20"/>
      <c r="F460" s="26"/>
      <c r="G460" s="26"/>
      <c r="H460" s="26"/>
      <c r="I460" s="19"/>
      <c r="J460" s="53" t="s">
        <v>1435</v>
      </c>
      <c r="K460" s="18" t="s">
        <v>1436</v>
      </c>
      <c r="L460" s="26"/>
      <c r="M460" s="26"/>
      <c r="N460" s="21" t="s">
        <v>27</v>
      </c>
      <c r="O460" s="20"/>
      <c r="P460" s="20"/>
      <c r="Q460" s="26"/>
      <c r="R460" s="26"/>
      <c r="S460" s="20"/>
      <c r="T460" s="26"/>
      <c r="U460" s="20"/>
      <c r="V460" s="26"/>
      <c r="W460" s="26"/>
      <c r="X460" s="20"/>
      <c r="Y460" s="20"/>
      <c r="Z460" s="20"/>
      <c r="AA460" s="26"/>
      <c r="AB460" s="28"/>
      <c r="AC460" s="24"/>
      <c r="AD460" s="24"/>
    </row>
    <row r="461">
      <c r="A461" s="25"/>
      <c r="B461" s="53" t="s">
        <v>1452</v>
      </c>
      <c r="C461" s="53">
        <v>9.608783425E9</v>
      </c>
      <c r="D461" s="19"/>
      <c r="E461" s="20"/>
      <c r="F461" s="26"/>
      <c r="G461" s="26"/>
      <c r="H461" s="26"/>
      <c r="I461" s="19"/>
      <c r="J461" s="53" t="s">
        <v>1435</v>
      </c>
      <c r="K461" s="18" t="s">
        <v>1436</v>
      </c>
      <c r="L461" s="26"/>
      <c r="M461" s="26"/>
      <c r="N461" s="21" t="s">
        <v>23</v>
      </c>
      <c r="O461" s="20"/>
      <c r="P461" s="20"/>
      <c r="Q461" s="26"/>
      <c r="R461" s="26"/>
      <c r="S461" s="20"/>
      <c r="T461" s="26"/>
      <c r="U461" s="20"/>
      <c r="V461" s="26"/>
      <c r="W461" s="26"/>
      <c r="X461" s="20"/>
      <c r="Y461" s="20"/>
      <c r="Z461" s="20"/>
      <c r="AA461" s="26"/>
      <c r="AB461" s="28"/>
      <c r="AC461" s="24"/>
      <c r="AD461" s="24"/>
    </row>
    <row r="462">
      <c r="A462" s="25"/>
      <c r="B462" s="53" t="s">
        <v>1453</v>
      </c>
      <c r="C462" s="53">
        <v>8.78996473E8</v>
      </c>
      <c r="D462" s="19"/>
      <c r="E462" s="20"/>
      <c r="F462" s="26"/>
      <c r="G462" s="26"/>
      <c r="H462" s="26"/>
      <c r="I462" s="19"/>
      <c r="J462" s="53" t="s">
        <v>1435</v>
      </c>
      <c r="K462" s="18" t="s">
        <v>1436</v>
      </c>
      <c r="L462" s="26"/>
      <c r="M462" s="26"/>
      <c r="N462" s="21" t="s">
        <v>27</v>
      </c>
      <c r="O462" s="20"/>
      <c r="P462" s="20"/>
      <c r="Q462" s="26"/>
      <c r="R462" s="26"/>
      <c r="S462" s="20"/>
      <c r="T462" s="26"/>
      <c r="U462" s="20"/>
      <c r="V462" s="26"/>
      <c r="W462" s="26"/>
      <c r="X462" s="20"/>
      <c r="Y462" s="20"/>
      <c r="Z462" s="20"/>
      <c r="AA462" s="26"/>
      <c r="AB462" s="28"/>
      <c r="AC462" s="24"/>
      <c r="AD462" s="24"/>
    </row>
    <row r="463">
      <c r="A463" s="25"/>
      <c r="B463" s="53" t="s">
        <v>1454</v>
      </c>
      <c r="C463" s="53">
        <v>9.431292623E9</v>
      </c>
      <c r="D463" s="19"/>
      <c r="E463" s="20"/>
      <c r="F463" s="26"/>
      <c r="G463" s="26"/>
      <c r="H463" s="26"/>
      <c r="I463" s="19"/>
      <c r="J463" s="53" t="s">
        <v>1435</v>
      </c>
      <c r="K463" s="18" t="s">
        <v>1436</v>
      </c>
      <c r="L463" s="26"/>
      <c r="M463" s="26"/>
      <c r="N463" s="21" t="s">
        <v>23</v>
      </c>
      <c r="O463" s="20"/>
      <c r="P463" s="20"/>
      <c r="Q463" s="26"/>
      <c r="R463" s="26"/>
      <c r="S463" s="20"/>
      <c r="T463" s="26"/>
      <c r="U463" s="20"/>
      <c r="V463" s="26"/>
      <c r="W463" s="26"/>
      <c r="X463" s="20"/>
      <c r="Y463" s="20"/>
      <c r="Z463" s="20"/>
      <c r="AA463" s="26"/>
      <c r="AB463" s="28"/>
      <c r="AC463" s="24"/>
      <c r="AD463" s="24"/>
    </row>
    <row r="464">
      <c r="A464" s="25"/>
      <c r="B464" s="53" t="s">
        <v>1455</v>
      </c>
      <c r="C464" s="53">
        <v>9.006491194E9</v>
      </c>
      <c r="D464" s="19"/>
      <c r="E464" s="20"/>
      <c r="F464" s="26"/>
      <c r="G464" s="26"/>
      <c r="H464" s="26"/>
      <c r="I464" s="19"/>
      <c r="J464" s="53" t="s">
        <v>1435</v>
      </c>
      <c r="K464" s="18" t="s">
        <v>1436</v>
      </c>
      <c r="L464" s="26"/>
      <c r="M464" s="26"/>
      <c r="N464" s="21" t="s">
        <v>27</v>
      </c>
      <c r="O464" s="20"/>
      <c r="P464" s="20"/>
      <c r="Q464" s="26"/>
      <c r="R464" s="26"/>
      <c r="S464" s="20"/>
      <c r="T464" s="26"/>
      <c r="U464" s="20"/>
      <c r="V464" s="26"/>
      <c r="W464" s="26"/>
      <c r="X464" s="20"/>
      <c r="Y464" s="20"/>
      <c r="Z464" s="20"/>
      <c r="AA464" s="26"/>
      <c r="AB464" s="28"/>
      <c r="AC464" s="24"/>
      <c r="AD464" s="24"/>
    </row>
    <row r="465">
      <c r="A465" s="25"/>
      <c r="B465" s="53" t="s">
        <v>1456</v>
      </c>
      <c r="C465" s="53">
        <v>6.204192749E9</v>
      </c>
      <c r="D465" s="26">
        <v>28.0</v>
      </c>
      <c r="E465" s="20" t="s">
        <v>367</v>
      </c>
      <c r="F465" s="26" t="s">
        <v>1457</v>
      </c>
      <c r="G465" s="26" t="s">
        <v>647</v>
      </c>
      <c r="H465" s="26" t="s">
        <v>1266</v>
      </c>
      <c r="I465" s="26" t="s">
        <v>1267</v>
      </c>
      <c r="J465" s="53" t="s">
        <v>1435</v>
      </c>
      <c r="K465" s="18" t="s">
        <v>1436</v>
      </c>
      <c r="L465" s="26" t="s">
        <v>1449</v>
      </c>
      <c r="M465" s="26" t="s">
        <v>1458</v>
      </c>
      <c r="N465" s="21" t="s">
        <v>9</v>
      </c>
      <c r="O465" s="20" t="s">
        <v>4</v>
      </c>
      <c r="P465" s="20" t="s">
        <v>4</v>
      </c>
      <c r="Q465" s="26" t="s">
        <v>444</v>
      </c>
      <c r="R465" s="26"/>
      <c r="S465" s="20" t="s">
        <v>380</v>
      </c>
      <c r="T465" s="26"/>
      <c r="U465" s="20" t="s">
        <v>380</v>
      </c>
      <c r="V465" s="26"/>
      <c r="W465" s="26" t="s">
        <v>616</v>
      </c>
      <c r="X465" s="20" t="s">
        <v>4</v>
      </c>
      <c r="Y465" s="20" t="s">
        <v>4</v>
      </c>
      <c r="Z465" s="20" t="s">
        <v>4</v>
      </c>
      <c r="AA465" s="26" t="s">
        <v>391</v>
      </c>
      <c r="AB465" s="28"/>
      <c r="AC465" s="24"/>
      <c r="AD465" s="24"/>
    </row>
    <row r="466">
      <c r="A466" s="25"/>
      <c r="B466" s="53" t="s">
        <v>90</v>
      </c>
      <c r="C466" s="53">
        <v>8.709532549E9</v>
      </c>
      <c r="D466" s="19"/>
      <c r="E466" s="20" t="s">
        <v>367</v>
      </c>
      <c r="F466" s="26"/>
      <c r="G466" s="26"/>
      <c r="H466" s="26"/>
      <c r="I466" s="19"/>
      <c r="J466" s="53" t="s">
        <v>1435</v>
      </c>
      <c r="K466" s="18" t="s">
        <v>1436</v>
      </c>
      <c r="L466" s="26"/>
      <c r="M466" s="26"/>
      <c r="N466" s="21" t="s">
        <v>30</v>
      </c>
      <c r="O466" s="20"/>
      <c r="P466" s="20"/>
      <c r="Q466" s="26"/>
      <c r="R466" s="26"/>
      <c r="S466" s="20"/>
      <c r="T466" s="26"/>
      <c r="U466" s="20"/>
      <c r="V466" s="26"/>
      <c r="W466" s="26"/>
      <c r="X466" s="20"/>
      <c r="Y466" s="20"/>
      <c r="Z466" s="20"/>
      <c r="AA466" s="26"/>
      <c r="AB466" s="28"/>
      <c r="AC466" s="24"/>
      <c r="AD466" s="24"/>
    </row>
    <row r="467">
      <c r="A467" s="25"/>
      <c r="B467" s="53" t="s">
        <v>1212</v>
      </c>
      <c r="C467" s="53">
        <v>6.203208472E9</v>
      </c>
      <c r="D467" s="19"/>
      <c r="E467" s="20"/>
      <c r="F467" s="26"/>
      <c r="G467" s="26"/>
      <c r="H467" s="26"/>
      <c r="I467" s="19"/>
      <c r="J467" s="53" t="s">
        <v>1435</v>
      </c>
      <c r="K467" s="18" t="s">
        <v>1436</v>
      </c>
      <c r="L467" s="26"/>
      <c r="M467" s="26"/>
      <c r="N467" s="21" t="s">
        <v>30</v>
      </c>
      <c r="O467" s="20"/>
      <c r="P467" s="20"/>
      <c r="Q467" s="26"/>
      <c r="R467" s="26"/>
      <c r="S467" s="20"/>
      <c r="T467" s="26"/>
      <c r="U467" s="20"/>
      <c r="V467" s="26"/>
      <c r="W467" s="26"/>
      <c r="X467" s="20"/>
      <c r="Y467" s="20"/>
      <c r="Z467" s="20"/>
      <c r="AA467" s="26"/>
      <c r="AB467" s="28"/>
      <c r="AC467" s="24"/>
      <c r="AD467" s="24"/>
    </row>
    <row r="468">
      <c r="A468" s="25"/>
      <c r="B468" s="53" t="s">
        <v>1459</v>
      </c>
      <c r="C468" s="53">
        <v>9.279038472E9</v>
      </c>
      <c r="D468" s="26">
        <v>20.0</v>
      </c>
      <c r="E468" s="20" t="s">
        <v>367</v>
      </c>
      <c r="F468" s="26" t="s">
        <v>382</v>
      </c>
      <c r="G468" s="26" t="s">
        <v>375</v>
      </c>
      <c r="H468" s="26" t="s">
        <v>383</v>
      </c>
      <c r="I468" s="26" t="s">
        <v>1460</v>
      </c>
      <c r="J468" s="53" t="s">
        <v>1435</v>
      </c>
      <c r="K468" s="18" t="s">
        <v>1436</v>
      </c>
      <c r="L468" s="26" t="s">
        <v>1461</v>
      </c>
      <c r="M468" s="26" t="s">
        <v>1462</v>
      </c>
      <c r="N468" s="21" t="s">
        <v>9</v>
      </c>
      <c r="O468" s="20" t="s">
        <v>4</v>
      </c>
      <c r="P468" s="20" t="s">
        <v>4</v>
      </c>
      <c r="Q468" s="26" t="s">
        <v>444</v>
      </c>
      <c r="R468" s="26"/>
      <c r="S468" s="20" t="s">
        <v>380</v>
      </c>
      <c r="T468" s="26"/>
      <c r="U468" s="20" t="s">
        <v>380</v>
      </c>
      <c r="V468" s="26"/>
      <c r="W468" s="26" t="s">
        <v>616</v>
      </c>
      <c r="X468" s="20" t="s">
        <v>4</v>
      </c>
      <c r="Y468" s="20" t="s">
        <v>4</v>
      </c>
      <c r="Z468" s="20" t="s">
        <v>4</v>
      </c>
      <c r="AA468" s="26" t="s">
        <v>391</v>
      </c>
      <c r="AB468" s="28"/>
      <c r="AC468" s="24"/>
      <c r="AD468" s="24"/>
    </row>
    <row r="469">
      <c r="A469" s="25"/>
      <c r="B469" s="53" t="s">
        <v>1463</v>
      </c>
      <c r="C469" s="53">
        <v>7.667730455E9</v>
      </c>
      <c r="D469" s="26">
        <v>20.0</v>
      </c>
      <c r="E469" s="20" t="s">
        <v>367</v>
      </c>
      <c r="F469" s="26" t="s">
        <v>382</v>
      </c>
      <c r="G469" s="26" t="s">
        <v>375</v>
      </c>
      <c r="H469" s="26" t="s">
        <v>512</v>
      </c>
      <c r="I469" s="26" t="s">
        <v>1464</v>
      </c>
      <c r="J469" s="53" t="s">
        <v>1435</v>
      </c>
      <c r="K469" s="18" t="s">
        <v>1436</v>
      </c>
      <c r="L469" s="26" t="s">
        <v>1461</v>
      </c>
      <c r="M469" s="26" t="s">
        <v>1465</v>
      </c>
      <c r="N469" s="21" t="s">
        <v>9</v>
      </c>
      <c r="O469" s="20" t="s">
        <v>4</v>
      </c>
      <c r="P469" s="20" t="s">
        <v>4</v>
      </c>
      <c r="Q469" s="26" t="s">
        <v>444</v>
      </c>
      <c r="R469" s="26"/>
      <c r="S469" s="20" t="s">
        <v>380</v>
      </c>
      <c r="T469" s="26"/>
      <c r="U469" s="20" t="s">
        <v>380</v>
      </c>
      <c r="V469" s="26"/>
      <c r="W469" s="26" t="s">
        <v>616</v>
      </c>
      <c r="X469" s="20" t="s">
        <v>4</v>
      </c>
      <c r="Y469" s="20" t="s">
        <v>4</v>
      </c>
      <c r="Z469" s="20" t="s">
        <v>4</v>
      </c>
      <c r="AA469" s="26" t="s">
        <v>391</v>
      </c>
      <c r="AB469" s="28"/>
      <c r="AC469" s="24"/>
      <c r="AD469" s="24"/>
    </row>
    <row r="470">
      <c r="A470" s="25"/>
      <c r="B470" s="53" t="s">
        <v>1466</v>
      </c>
      <c r="C470" s="53">
        <v>6.203303043E9</v>
      </c>
      <c r="D470" s="19"/>
      <c r="E470" s="20"/>
      <c r="F470" s="26"/>
      <c r="G470" s="26"/>
      <c r="H470" s="26"/>
      <c r="I470" s="19"/>
      <c r="J470" s="53" t="s">
        <v>1435</v>
      </c>
      <c r="K470" s="18" t="s">
        <v>1436</v>
      </c>
      <c r="L470" s="26"/>
      <c r="M470" s="26"/>
      <c r="N470" s="21" t="s">
        <v>23</v>
      </c>
      <c r="O470" s="20"/>
      <c r="P470" s="20"/>
      <c r="Q470" s="26"/>
      <c r="R470" s="26"/>
      <c r="S470" s="20"/>
      <c r="T470" s="26"/>
      <c r="U470" s="20"/>
      <c r="V470" s="26"/>
      <c r="W470" s="26"/>
      <c r="X470" s="20"/>
      <c r="Y470" s="20"/>
      <c r="Z470" s="20"/>
      <c r="AA470" s="26"/>
      <c r="AB470" s="28"/>
      <c r="AC470" s="24"/>
      <c r="AD470" s="24"/>
    </row>
    <row r="471">
      <c r="A471" s="25"/>
      <c r="B471" s="53" t="s">
        <v>1467</v>
      </c>
      <c r="C471" s="53">
        <v>6.200141584E9</v>
      </c>
      <c r="D471" s="19"/>
      <c r="E471" s="20"/>
      <c r="F471" s="26"/>
      <c r="G471" s="26"/>
      <c r="H471" s="26"/>
      <c r="I471" s="19"/>
      <c r="J471" s="53" t="s">
        <v>1435</v>
      </c>
      <c r="K471" s="18" t="s">
        <v>1436</v>
      </c>
      <c r="L471" s="26"/>
      <c r="M471" s="26"/>
      <c r="N471" s="21" t="s">
        <v>13</v>
      </c>
      <c r="O471" s="20"/>
      <c r="P471" s="20"/>
      <c r="Q471" s="26"/>
      <c r="R471" s="26"/>
      <c r="S471" s="20"/>
      <c r="T471" s="26"/>
      <c r="U471" s="20"/>
      <c r="V471" s="26"/>
      <c r="W471" s="26"/>
      <c r="X471" s="20"/>
      <c r="Y471" s="20"/>
      <c r="Z471" s="20"/>
      <c r="AA471" s="26"/>
      <c r="AB471" s="28"/>
      <c r="AC471" s="24"/>
      <c r="AD471" s="24"/>
    </row>
    <row r="472">
      <c r="A472" s="25"/>
      <c r="B472" s="53" t="s">
        <v>1468</v>
      </c>
      <c r="C472" s="53">
        <v>9.241697868E9</v>
      </c>
      <c r="D472" s="19"/>
      <c r="E472" s="20"/>
      <c r="F472" s="26"/>
      <c r="G472" s="26"/>
      <c r="H472" s="26"/>
      <c r="I472" s="19"/>
      <c r="J472" s="53" t="s">
        <v>1435</v>
      </c>
      <c r="K472" s="18" t="s">
        <v>1436</v>
      </c>
      <c r="L472" s="26"/>
      <c r="M472" s="26"/>
      <c r="N472" s="21" t="s">
        <v>13</v>
      </c>
      <c r="O472" s="20"/>
      <c r="P472" s="20"/>
      <c r="Q472" s="26"/>
      <c r="R472" s="26"/>
      <c r="S472" s="20"/>
      <c r="T472" s="26"/>
      <c r="U472" s="20"/>
      <c r="V472" s="26"/>
      <c r="W472" s="26"/>
      <c r="X472" s="20"/>
      <c r="Y472" s="20"/>
      <c r="Z472" s="20"/>
      <c r="AA472" s="26"/>
      <c r="AB472" s="28"/>
      <c r="AC472" s="24"/>
      <c r="AD472" s="24"/>
    </row>
    <row r="473">
      <c r="A473" s="25"/>
      <c r="B473" s="53" t="s">
        <v>1469</v>
      </c>
      <c r="C473" s="53">
        <v>7.480929489E9</v>
      </c>
      <c r="D473" s="26">
        <v>21.0</v>
      </c>
      <c r="E473" s="20" t="s">
        <v>367</v>
      </c>
      <c r="F473" s="26" t="s">
        <v>382</v>
      </c>
      <c r="G473" s="26" t="s">
        <v>375</v>
      </c>
      <c r="H473" s="26" t="s">
        <v>407</v>
      </c>
      <c r="I473" s="26" t="s">
        <v>1470</v>
      </c>
      <c r="J473" s="53" t="s">
        <v>1435</v>
      </c>
      <c r="K473" s="18" t="s">
        <v>1436</v>
      </c>
      <c r="L473" s="26" t="s">
        <v>1471</v>
      </c>
      <c r="M473" s="26" t="s">
        <v>1461</v>
      </c>
      <c r="N473" s="21" t="s">
        <v>9</v>
      </c>
      <c r="O473" s="20" t="s">
        <v>4</v>
      </c>
      <c r="P473" s="20" t="s">
        <v>4</v>
      </c>
      <c r="Q473" s="26" t="s">
        <v>444</v>
      </c>
      <c r="R473" s="26"/>
      <c r="S473" s="20" t="s">
        <v>380</v>
      </c>
      <c r="T473" s="26"/>
      <c r="U473" s="20" t="s">
        <v>380</v>
      </c>
      <c r="V473" s="26"/>
      <c r="W473" s="26" t="s">
        <v>616</v>
      </c>
      <c r="X473" s="20" t="s">
        <v>4</v>
      </c>
      <c r="Y473" s="20" t="s">
        <v>4</v>
      </c>
      <c r="Z473" s="20" t="s">
        <v>4</v>
      </c>
      <c r="AA473" s="26" t="s">
        <v>391</v>
      </c>
      <c r="AB473" s="28"/>
      <c r="AC473" s="24"/>
      <c r="AD473" s="24"/>
    </row>
    <row r="474">
      <c r="A474" s="25"/>
      <c r="B474" s="53" t="s">
        <v>1472</v>
      </c>
      <c r="C474" s="53">
        <v>8.797639217E9</v>
      </c>
      <c r="D474" s="19"/>
      <c r="E474" s="20"/>
      <c r="F474" s="26"/>
      <c r="G474" s="26"/>
      <c r="H474" s="26"/>
      <c r="I474" s="19"/>
      <c r="J474" s="53" t="s">
        <v>1435</v>
      </c>
      <c r="K474" s="18" t="s">
        <v>1436</v>
      </c>
      <c r="L474" s="26"/>
      <c r="M474" s="26"/>
      <c r="N474" s="21" t="s">
        <v>13</v>
      </c>
      <c r="O474" s="20"/>
      <c r="P474" s="20"/>
      <c r="Q474" s="26"/>
      <c r="R474" s="26"/>
      <c r="S474" s="20"/>
      <c r="T474" s="26"/>
      <c r="U474" s="20"/>
      <c r="V474" s="26"/>
      <c r="W474" s="26"/>
      <c r="X474" s="20"/>
      <c r="Y474" s="20"/>
      <c r="Z474" s="20"/>
      <c r="AA474" s="26"/>
      <c r="AB474" s="28"/>
      <c r="AC474" s="24"/>
      <c r="AD474" s="24"/>
    </row>
    <row r="475">
      <c r="A475" s="25"/>
      <c r="B475" s="53" t="s">
        <v>1473</v>
      </c>
      <c r="C475" s="53">
        <v>6.205340964E9</v>
      </c>
      <c r="D475" s="26">
        <v>21.0</v>
      </c>
      <c r="E475" s="20" t="s">
        <v>367</v>
      </c>
      <c r="F475" s="26" t="s">
        <v>382</v>
      </c>
      <c r="G475" s="26" t="s">
        <v>375</v>
      </c>
      <c r="H475" s="26" t="s">
        <v>804</v>
      </c>
      <c r="I475" s="26" t="s">
        <v>1474</v>
      </c>
      <c r="J475" s="53" t="s">
        <v>1435</v>
      </c>
      <c r="K475" s="18" t="s">
        <v>1436</v>
      </c>
      <c r="L475" s="26" t="s">
        <v>1461</v>
      </c>
      <c r="M475" s="26" t="s">
        <v>1461</v>
      </c>
      <c r="N475" s="21" t="s">
        <v>9</v>
      </c>
      <c r="O475" s="20" t="s">
        <v>4</v>
      </c>
      <c r="P475" s="20" t="s">
        <v>4</v>
      </c>
      <c r="Q475" s="26" t="s">
        <v>444</v>
      </c>
      <c r="R475" s="26"/>
      <c r="S475" s="20" t="s">
        <v>380</v>
      </c>
      <c r="T475" s="26"/>
      <c r="U475" s="20" t="s">
        <v>380</v>
      </c>
      <c r="V475" s="26"/>
      <c r="W475" s="26" t="s">
        <v>616</v>
      </c>
      <c r="X475" s="20" t="s">
        <v>4</v>
      </c>
      <c r="Y475" s="20" t="s">
        <v>4</v>
      </c>
      <c r="Z475" s="20" t="s">
        <v>4</v>
      </c>
      <c r="AA475" s="26" t="s">
        <v>391</v>
      </c>
      <c r="AB475" s="28"/>
      <c r="AC475" s="24"/>
      <c r="AD475" s="24"/>
    </row>
    <row r="476">
      <c r="A476" s="25"/>
      <c r="B476" s="53" t="s">
        <v>1475</v>
      </c>
      <c r="C476" s="53">
        <v>8.791639217E9</v>
      </c>
      <c r="D476" s="19"/>
      <c r="E476" s="20"/>
      <c r="F476" s="26"/>
      <c r="G476" s="26"/>
      <c r="H476" s="26"/>
      <c r="I476" s="19"/>
      <c r="J476" s="53" t="s">
        <v>1435</v>
      </c>
      <c r="K476" s="18" t="s">
        <v>1436</v>
      </c>
      <c r="L476" s="26"/>
      <c r="M476" s="26"/>
      <c r="N476" s="21" t="s">
        <v>27</v>
      </c>
      <c r="O476" s="20"/>
      <c r="P476" s="20"/>
      <c r="Q476" s="26"/>
      <c r="R476" s="26"/>
      <c r="S476" s="20"/>
      <c r="T476" s="26"/>
      <c r="U476" s="20"/>
      <c r="V476" s="26"/>
      <c r="W476" s="26"/>
      <c r="X476" s="20"/>
      <c r="Y476" s="20"/>
      <c r="Z476" s="20"/>
      <c r="AA476" s="26"/>
      <c r="AB476" s="28"/>
      <c r="AC476" s="24"/>
      <c r="AD476" s="24"/>
    </row>
    <row r="477">
      <c r="A477" s="25"/>
      <c r="B477" s="53" t="s">
        <v>1153</v>
      </c>
      <c r="C477" s="53">
        <v>9.122244868E9</v>
      </c>
      <c r="D477" s="26">
        <v>18.0</v>
      </c>
      <c r="E477" s="20" t="s">
        <v>367</v>
      </c>
      <c r="F477" s="26" t="s">
        <v>382</v>
      </c>
      <c r="G477" s="26" t="s">
        <v>375</v>
      </c>
      <c r="H477" s="26" t="s">
        <v>512</v>
      </c>
      <c r="I477" s="26" t="s">
        <v>1476</v>
      </c>
      <c r="J477" s="53" t="s">
        <v>1435</v>
      </c>
      <c r="K477" s="18" t="s">
        <v>1436</v>
      </c>
      <c r="L477" s="26" t="s">
        <v>1461</v>
      </c>
      <c r="M477" s="26" t="s">
        <v>1461</v>
      </c>
      <c r="N477" s="21" t="s">
        <v>9</v>
      </c>
      <c r="O477" s="20" t="s">
        <v>4</v>
      </c>
      <c r="P477" s="20" t="s">
        <v>380</v>
      </c>
      <c r="Q477" s="26"/>
      <c r="R477" s="26"/>
      <c r="S477" s="20"/>
      <c r="T477" s="26"/>
      <c r="U477" s="20"/>
      <c r="V477" s="26"/>
      <c r="W477" s="26" t="s">
        <v>616</v>
      </c>
      <c r="X477" s="20" t="s">
        <v>4</v>
      </c>
      <c r="Y477" s="20" t="s">
        <v>4</v>
      </c>
      <c r="Z477" s="20" t="s">
        <v>4</v>
      </c>
      <c r="AA477" s="26" t="s">
        <v>391</v>
      </c>
      <c r="AB477" s="28"/>
      <c r="AC477" s="24"/>
      <c r="AD477" s="24"/>
    </row>
    <row r="478">
      <c r="A478" s="25"/>
      <c r="B478" s="53" t="s">
        <v>188</v>
      </c>
      <c r="C478" s="53">
        <v>9.693404461E9</v>
      </c>
      <c r="D478" s="26">
        <v>22.0</v>
      </c>
      <c r="E478" s="20" t="s">
        <v>367</v>
      </c>
      <c r="F478" s="26" t="s">
        <v>1448</v>
      </c>
      <c r="G478" s="26" t="s">
        <v>647</v>
      </c>
      <c r="H478" s="26" t="s">
        <v>376</v>
      </c>
      <c r="I478" s="26" t="s">
        <v>1477</v>
      </c>
      <c r="J478" s="53" t="s">
        <v>1435</v>
      </c>
      <c r="K478" s="18" t="s">
        <v>1436</v>
      </c>
      <c r="L478" s="26" t="s">
        <v>1478</v>
      </c>
      <c r="M478" s="26" t="s">
        <v>1479</v>
      </c>
      <c r="N478" s="21" t="s">
        <v>9</v>
      </c>
      <c r="O478" s="20" t="s">
        <v>4</v>
      </c>
      <c r="P478" s="20" t="s">
        <v>380</v>
      </c>
      <c r="Q478" s="26"/>
      <c r="R478" s="26"/>
      <c r="S478" s="20" t="s">
        <v>380</v>
      </c>
      <c r="T478" s="26"/>
      <c r="U478" s="20" t="s">
        <v>380</v>
      </c>
      <c r="V478" s="26"/>
      <c r="W478" s="26" t="s">
        <v>616</v>
      </c>
      <c r="X478" s="20" t="s">
        <v>4</v>
      </c>
      <c r="Y478" s="20" t="s">
        <v>4</v>
      </c>
      <c r="Z478" s="20" t="s">
        <v>4</v>
      </c>
      <c r="AA478" s="26" t="s">
        <v>391</v>
      </c>
      <c r="AB478" s="28"/>
      <c r="AC478" s="24"/>
      <c r="AD478" s="24"/>
    </row>
    <row r="479">
      <c r="A479" s="25"/>
      <c r="B479" s="53" t="s">
        <v>1480</v>
      </c>
      <c r="C479" s="53">
        <v>6.204731272E9</v>
      </c>
      <c r="D479" s="26">
        <v>22.0</v>
      </c>
      <c r="E479" s="20" t="s">
        <v>367</v>
      </c>
      <c r="F479" s="26" t="s">
        <v>1457</v>
      </c>
      <c r="G479" s="26" t="s">
        <v>647</v>
      </c>
      <c r="H479" s="26" t="s">
        <v>1243</v>
      </c>
      <c r="I479" s="26" t="s">
        <v>1481</v>
      </c>
      <c r="J479" s="53" t="s">
        <v>1435</v>
      </c>
      <c r="K479" s="18" t="s">
        <v>1436</v>
      </c>
      <c r="L479" s="26" t="s">
        <v>1482</v>
      </c>
      <c r="M479" s="26" t="s">
        <v>1483</v>
      </c>
      <c r="N479" s="21" t="s">
        <v>9</v>
      </c>
      <c r="O479" s="20" t="s">
        <v>4</v>
      </c>
      <c r="P479" s="20" t="s">
        <v>4</v>
      </c>
      <c r="Q479" s="26" t="s">
        <v>703</v>
      </c>
      <c r="R479" s="26"/>
      <c r="S479" s="20" t="s">
        <v>380</v>
      </c>
      <c r="T479" s="26"/>
      <c r="U479" s="20" t="s">
        <v>380</v>
      </c>
      <c r="V479" s="26"/>
      <c r="W479" s="26" t="s">
        <v>616</v>
      </c>
      <c r="X479" s="20" t="s">
        <v>4</v>
      </c>
      <c r="Y479" s="20" t="s">
        <v>4</v>
      </c>
      <c r="Z479" s="20" t="s">
        <v>4</v>
      </c>
      <c r="AA479" s="26" t="s">
        <v>391</v>
      </c>
      <c r="AB479" s="28"/>
      <c r="AC479" s="24"/>
      <c r="AD479" s="24"/>
    </row>
    <row r="480">
      <c r="A480" s="25"/>
      <c r="B480" s="53" t="s">
        <v>1484</v>
      </c>
      <c r="C480" s="53">
        <v>7.541031168E9</v>
      </c>
      <c r="D480" s="26">
        <v>18.0</v>
      </c>
      <c r="E480" s="20" t="s">
        <v>367</v>
      </c>
      <c r="F480" s="26" t="s">
        <v>1448</v>
      </c>
      <c r="G480" s="26" t="s">
        <v>1304</v>
      </c>
      <c r="H480" s="26" t="s">
        <v>1233</v>
      </c>
      <c r="I480" s="26" t="s">
        <v>1485</v>
      </c>
      <c r="J480" s="53" t="s">
        <v>1435</v>
      </c>
      <c r="K480" s="18" t="s">
        <v>1436</v>
      </c>
      <c r="L480" s="26" t="s">
        <v>1449</v>
      </c>
      <c r="M480" s="26"/>
      <c r="N480" s="21" t="s">
        <v>9</v>
      </c>
      <c r="O480" s="20" t="s">
        <v>380</v>
      </c>
      <c r="P480" s="20" t="s">
        <v>4</v>
      </c>
      <c r="Q480" s="26" t="s">
        <v>867</v>
      </c>
      <c r="R480" s="26"/>
      <c r="S480" s="20" t="s">
        <v>380</v>
      </c>
      <c r="T480" s="26"/>
      <c r="U480" s="20" t="s">
        <v>380</v>
      </c>
      <c r="V480" s="26"/>
      <c r="W480" s="26" t="s">
        <v>616</v>
      </c>
      <c r="X480" s="20" t="s">
        <v>4</v>
      </c>
      <c r="Y480" s="20" t="s">
        <v>4</v>
      </c>
      <c r="Z480" s="20" t="s">
        <v>4</v>
      </c>
      <c r="AA480" s="26" t="s">
        <v>391</v>
      </c>
      <c r="AB480" s="28"/>
      <c r="AC480" s="24"/>
      <c r="AD480" s="24"/>
    </row>
    <row r="481">
      <c r="A481" s="25"/>
      <c r="B481" s="53" t="s">
        <v>1486</v>
      </c>
      <c r="C481" s="53">
        <v>9.80188133E8</v>
      </c>
      <c r="D481" s="19"/>
      <c r="E481" s="20"/>
      <c r="F481" s="26"/>
      <c r="G481" s="26"/>
      <c r="H481" s="26"/>
      <c r="I481" s="19"/>
      <c r="J481" s="53" t="s">
        <v>1435</v>
      </c>
      <c r="K481" s="18" t="s">
        <v>1436</v>
      </c>
      <c r="L481" s="26"/>
      <c r="M481" s="26"/>
      <c r="N481" s="21" t="s">
        <v>27</v>
      </c>
      <c r="O481" s="20"/>
      <c r="P481" s="20"/>
      <c r="Q481" s="26"/>
      <c r="R481" s="26"/>
      <c r="S481" s="20"/>
      <c r="T481" s="26"/>
      <c r="U481" s="20"/>
      <c r="V481" s="26"/>
      <c r="W481" s="26"/>
      <c r="X481" s="20"/>
      <c r="Y481" s="20"/>
      <c r="Z481" s="20"/>
      <c r="AA481" s="26"/>
      <c r="AB481" s="28"/>
      <c r="AC481" s="24"/>
      <c r="AD481" s="24"/>
    </row>
    <row r="482">
      <c r="A482" s="25"/>
      <c r="B482" s="53" t="s">
        <v>1487</v>
      </c>
      <c r="C482" s="53">
        <v>9.77129737E9</v>
      </c>
      <c r="D482" s="26">
        <v>33.0</v>
      </c>
      <c r="E482" s="20" t="s">
        <v>367</v>
      </c>
      <c r="F482" s="26" t="s">
        <v>1488</v>
      </c>
      <c r="G482" s="26" t="s">
        <v>647</v>
      </c>
      <c r="H482" s="26" t="s">
        <v>1266</v>
      </c>
      <c r="I482" s="26" t="s">
        <v>1489</v>
      </c>
      <c r="J482" s="53" t="s">
        <v>1435</v>
      </c>
      <c r="K482" s="18" t="s">
        <v>1436</v>
      </c>
      <c r="L482" s="26" t="s">
        <v>1449</v>
      </c>
      <c r="M482" s="26" t="s">
        <v>1490</v>
      </c>
      <c r="N482" s="21" t="s">
        <v>9</v>
      </c>
      <c r="O482" s="20" t="s">
        <v>4</v>
      </c>
      <c r="P482" s="20" t="s">
        <v>380</v>
      </c>
      <c r="Q482" s="26"/>
      <c r="R482" s="26"/>
      <c r="S482" s="20" t="s">
        <v>4</v>
      </c>
      <c r="T482" s="26" t="s">
        <v>1491</v>
      </c>
      <c r="U482" s="20" t="s">
        <v>380</v>
      </c>
      <c r="V482" s="26"/>
      <c r="W482" s="26" t="s">
        <v>616</v>
      </c>
      <c r="X482" s="20" t="s">
        <v>4</v>
      </c>
      <c r="Y482" s="20" t="s">
        <v>380</v>
      </c>
      <c r="Z482" s="20" t="s">
        <v>4</v>
      </c>
      <c r="AA482" s="26" t="s">
        <v>391</v>
      </c>
      <c r="AB482" s="28"/>
      <c r="AC482" s="24"/>
      <c r="AD482" s="24"/>
    </row>
    <row r="483">
      <c r="A483" s="25"/>
      <c r="B483" s="53" t="s">
        <v>1492</v>
      </c>
      <c r="C483" s="53">
        <v>7.766875105E9</v>
      </c>
      <c r="D483" s="19"/>
      <c r="E483" s="19"/>
      <c r="F483" s="19"/>
      <c r="G483" s="19"/>
      <c r="H483" s="19"/>
      <c r="I483" s="19"/>
      <c r="J483" s="19"/>
      <c r="K483" s="18" t="s">
        <v>1436</v>
      </c>
      <c r="L483" s="19"/>
      <c r="M483" s="19"/>
      <c r="N483" s="18" t="s">
        <v>180</v>
      </c>
      <c r="O483" s="19"/>
      <c r="P483" s="19"/>
      <c r="Q483" s="19"/>
      <c r="R483" s="19"/>
      <c r="AB483" s="33"/>
      <c r="AC483" s="24"/>
      <c r="AD483" s="24"/>
    </row>
    <row r="484">
      <c r="A484" s="31"/>
      <c r="B484" s="53" t="s">
        <v>1493</v>
      </c>
      <c r="C484" s="53">
        <v>7.488308839E9</v>
      </c>
      <c r="D484" s="26">
        <v>31.0</v>
      </c>
      <c r="E484" s="26" t="s">
        <v>367</v>
      </c>
      <c r="F484" s="26" t="s">
        <v>1494</v>
      </c>
      <c r="G484" s="26" t="s">
        <v>647</v>
      </c>
      <c r="H484" s="26" t="s">
        <v>1266</v>
      </c>
      <c r="I484" s="26" t="s">
        <v>1495</v>
      </c>
      <c r="J484" s="26" t="s">
        <v>1435</v>
      </c>
      <c r="K484" s="18" t="s">
        <v>1436</v>
      </c>
      <c r="L484" s="26" t="s">
        <v>1449</v>
      </c>
      <c r="M484" s="26" t="s">
        <v>1449</v>
      </c>
      <c r="N484" s="18" t="s">
        <v>1496</v>
      </c>
      <c r="O484" s="26" t="s">
        <v>4</v>
      </c>
      <c r="P484" s="26" t="s">
        <v>4</v>
      </c>
      <c r="Q484" s="26" t="s">
        <v>388</v>
      </c>
      <c r="R484" s="19"/>
      <c r="S484" s="39" t="s">
        <v>1497</v>
      </c>
      <c r="T484" s="39" t="s">
        <v>1251</v>
      </c>
      <c r="U484" s="39" t="s">
        <v>1497</v>
      </c>
      <c r="V484" s="39" t="s">
        <v>1498</v>
      </c>
      <c r="W484" s="39" t="s">
        <v>616</v>
      </c>
      <c r="X484" s="39" t="s">
        <v>4</v>
      </c>
      <c r="Y484" s="39" t="s">
        <v>4</v>
      </c>
      <c r="Z484" s="39" t="s">
        <v>4</v>
      </c>
      <c r="AA484" s="39" t="s">
        <v>1499</v>
      </c>
      <c r="AB484" s="33"/>
      <c r="AC484" s="24"/>
      <c r="AD484" s="24"/>
    </row>
    <row r="485">
      <c r="A485" s="32"/>
      <c r="B485" s="33"/>
      <c r="C485" s="34"/>
      <c r="K485" s="34"/>
      <c r="N485" s="34"/>
      <c r="AB485" s="33"/>
      <c r="AC485" s="24"/>
      <c r="AD485" s="24"/>
    </row>
    <row r="486">
      <c r="A486" s="16" t="s">
        <v>1500</v>
      </c>
      <c r="B486" s="17" t="s">
        <v>1501</v>
      </c>
      <c r="C486" s="18">
        <v>8.825255103E9</v>
      </c>
      <c r="D486" s="26">
        <v>40.0</v>
      </c>
      <c r="E486" s="20" t="s">
        <v>367</v>
      </c>
      <c r="F486" s="63" t="s">
        <v>1502</v>
      </c>
      <c r="G486" s="26" t="s">
        <v>1304</v>
      </c>
      <c r="H486" s="26" t="s">
        <v>1325</v>
      </c>
      <c r="I486" s="26" t="s">
        <v>1503</v>
      </c>
      <c r="J486" s="26" t="s">
        <v>1504</v>
      </c>
      <c r="K486" s="26" t="s">
        <v>1504</v>
      </c>
      <c r="L486" s="26" t="s">
        <v>1504</v>
      </c>
      <c r="M486" s="26" t="s">
        <v>1505</v>
      </c>
      <c r="N486" s="21" t="s">
        <v>9</v>
      </c>
      <c r="O486" s="20" t="s">
        <v>4</v>
      </c>
      <c r="P486" s="20" t="s">
        <v>4</v>
      </c>
      <c r="Q486" s="26" t="s">
        <v>703</v>
      </c>
      <c r="R486" s="26" t="s">
        <v>1506</v>
      </c>
      <c r="S486" s="20" t="s">
        <v>4</v>
      </c>
      <c r="T486" s="26"/>
      <c r="U486" s="20" t="s">
        <v>4</v>
      </c>
      <c r="V486" s="19"/>
      <c r="W486" s="26" t="s">
        <v>616</v>
      </c>
      <c r="X486" s="20" t="s">
        <v>4</v>
      </c>
      <c r="Y486" s="20" t="s">
        <v>4</v>
      </c>
      <c r="Z486" s="20" t="s">
        <v>4</v>
      </c>
      <c r="AA486" s="26" t="s">
        <v>391</v>
      </c>
      <c r="AB486" s="28"/>
      <c r="AC486" s="24"/>
      <c r="AD486" s="24"/>
    </row>
    <row r="487">
      <c r="A487" s="25"/>
      <c r="B487" s="17" t="s">
        <v>1507</v>
      </c>
      <c r="C487" s="18">
        <v>6.205296234E9</v>
      </c>
      <c r="D487" s="39">
        <v>35.0</v>
      </c>
      <c r="E487" s="20" t="s">
        <v>367</v>
      </c>
      <c r="F487" s="26" t="s">
        <v>1508</v>
      </c>
      <c r="G487" s="26" t="s">
        <v>518</v>
      </c>
      <c r="H487" s="26" t="s">
        <v>418</v>
      </c>
      <c r="I487" s="26" t="s">
        <v>1509</v>
      </c>
      <c r="J487" s="26" t="s">
        <v>1504</v>
      </c>
      <c r="K487" s="26" t="s">
        <v>1504</v>
      </c>
      <c r="L487" s="26" t="s">
        <v>1510</v>
      </c>
      <c r="M487" s="26" t="s">
        <v>1511</v>
      </c>
      <c r="N487" s="21" t="s">
        <v>9</v>
      </c>
      <c r="O487" s="20" t="s">
        <v>4</v>
      </c>
      <c r="P487" s="20" t="s">
        <v>4</v>
      </c>
      <c r="Q487" s="26" t="s">
        <v>444</v>
      </c>
      <c r="R487" s="26" t="s">
        <v>1512</v>
      </c>
      <c r="S487" s="20" t="s">
        <v>4</v>
      </c>
      <c r="T487" s="19"/>
      <c r="U487" s="20" t="s">
        <v>4</v>
      </c>
      <c r="V487" s="19"/>
      <c r="W487" s="26" t="s">
        <v>616</v>
      </c>
      <c r="X487" s="20" t="s">
        <v>4</v>
      </c>
      <c r="Y487" s="20" t="s">
        <v>4</v>
      </c>
      <c r="Z487" s="20" t="s">
        <v>4</v>
      </c>
      <c r="AA487" s="26" t="s">
        <v>391</v>
      </c>
      <c r="AB487" s="28"/>
      <c r="AC487" s="24"/>
      <c r="AD487" s="24"/>
    </row>
    <row r="488">
      <c r="A488" s="25"/>
      <c r="B488" s="17" t="s">
        <v>89</v>
      </c>
      <c r="C488" s="18">
        <v>9.162539192E9</v>
      </c>
      <c r="D488" s="19"/>
      <c r="E488" s="20"/>
      <c r="F488" s="19"/>
      <c r="G488" s="19"/>
      <c r="H488" s="19"/>
      <c r="I488" s="19"/>
      <c r="J488" s="26" t="s">
        <v>1504</v>
      </c>
      <c r="K488" s="26" t="s">
        <v>1504</v>
      </c>
      <c r="L488" s="19"/>
      <c r="M488" s="19"/>
      <c r="N488" s="21" t="s">
        <v>54</v>
      </c>
      <c r="O488" s="20"/>
      <c r="P488" s="20"/>
      <c r="Q488" s="19"/>
      <c r="R488" s="19"/>
      <c r="S488" s="20"/>
      <c r="T488" s="19"/>
      <c r="U488" s="20"/>
      <c r="V488" s="19"/>
      <c r="W488" s="26"/>
      <c r="X488" s="20"/>
      <c r="Y488" s="20"/>
      <c r="Z488" s="20"/>
      <c r="AA488" s="26"/>
      <c r="AB488" s="28"/>
      <c r="AC488" s="24"/>
      <c r="AD488" s="24"/>
    </row>
    <row r="489">
      <c r="A489" s="25"/>
      <c r="B489" s="17" t="s">
        <v>1513</v>
      </c>
      <c r="C489" s="18">
        <v>8.809608457E9</v>
      </c>
      <c r="D489" s="19"/>
      <c r="E489" s="20"/>
      <c r="F489" s="19"/>
      <c r="G489" s="19"/>
      <c r="H489" s="19"/>
      <c r="I489" s="19"/>
      <c r="J489" s="26" t="s">
        <v>1504</v>
      </c>
      <c r="K489" s="26" t="s">
        <v>1504</v>
      </c>
      <c r="L489" s="19"/>
      <c r="M489" s="19"/>
      <c r="N489" s="21" t="s">
        <v>13</v>
      </c>
      <c r="O489" s="20"/>
      <c r="P489" s="20"/>
      <c r="Q489" s="19"/>
      <c r="R489" s="19"/>
      <c r="S489" s="20"/>
      <c r="T489" s="19"/>
      <c r="U489" s="20"/>
      <c r="V489" s="19"/>
      <c r="W489" s="26"/>
      <c r="X489" s="20"/>
      <c r="Y489" s="20"/>
      <c r="Z489" s="20"/>
      <c r="AA489" s="26"/>
      <c r="AB489" s="28"/>
      <c r="AC489" s="24"/>
      <c r="AD489" s="24"/>
    </row>
    <row r="490">
      <c r="A490" s="25"/>
      <c r="B490" s="17" t="s">
        <v>1514</v>
      </c>
      <c r="C490" s="18">
        <v>8.21042248E9</v>
      </c>
      <c r="D490" s="19"/>
      <c r="E490" s="20"/>
      <c r="F490" s="19"/>
      <c r="G490" s="19"/>
      <c r="H490" s="19"/>
      <c r="I490" s="19"/>
      <c r="J490" s="26" t="s">
        <v>1504</v>
      </c>
      <c r="K490" s="26" t="s">
        <v>1504</v>
      </c>
      <c r="L490" s="19"/>
      <c r="M490" s="19"/>
      <c r="N490" s="21" t="s">
        <v>13</v>
      </c>
      <c r="O490" s="20"/>
      <c r="P490" s="20"/>
      <c r="Q490" s="19"/>
      <c r="R490" s="19"/>
      <c r="S490" s="20"/>
      <c r="T490" s="19"/>
      <c r="U490" s="20"/>
      <c r="V490" s="19"/>
      <c r="W490" s="26"/>
      <c r="X490" s="20"/>
      <c r="Y490" s="20"/>
      <c r="Z490" s="20"/>
      <c r="AA490" s="26"/>
      <c r="AB490" s="28"/>
      <c r="AC490" s="24"/>
      <c r="AD490" s="24"/>
    </row>
    <row r="491">
      <c r="A491" s="25"/>
      <c r="B491" s="17" t="s">
        <v>1515</v>
      </c>
      <c r="C491" s="18">
        <v>7.464097172E9</v>
      </c>
      <c r="D491" s="19"/>
      <c r="E491" s="20"/>
      <c r="F491" s="19"/>
      <c r="G491" s="19"/>
      <c r="H491" s="19"/>
      <c r="I491" s="19"/>
      <c r="J491" s="26" t="s">
        <v>1504</v>
      </c>
      <c r="K491" s="26" t="s">
        <v>1504</v>
      </c>
      <c r="L491" s="19"/>
      <c r="M491" s="19"/>
      <c r="N491" s="21" t="s">
        <v>9</v>
      </c>
      <c r="O491" s="20"/>
      <c r="P491" s="20"/>
      <c r="Q491" s="19"/>
      <c r="R491" s="19"/>
      <c r="S491" s="20"/>
      <c r="T491" s="19"/>
      <c r="U491" s="20"/>
      <c r="V491" s="19"/>
      <c r="W491" s="26"/>
      <c r="X491" s="20"/>
      <c r="Y491" s="20"/>
      <c r="Z491" s="20"/>
      <c r="AA491" s="26"/>
      <c r="AB491" s="17" t="s">
        <v>1516</v>
      </c>
      <c r="AC491" s="24"/>
      <c r="AD491" s="24"/>
    </row>
    <row r="492">
      <c r="A492" s="25"/>
      <c r="B492" s="17" t="s">
        <v>1517</v>
      </c>
      <c r="C492" s="18">
        <v>9.546552553E9</v>
      </c>
      <c r="D492" s="19"/>
      <c r="E492" s="20"/>
      <c r="F492" s="19"/>
      <c r="G492" s="19"/>
      <c r="H492" s="19"/>
      <c r="I492" s="19"/>
      <c r="J492" s="26" t="s">
        <v>1504</v>
      </c>
      <c r="K492" s="26" t="s">
        <v>1504</v>
      </c>
      <c r="L492" s="19"/>
      <c r="M492" s="19"/>
      <c r="N492" s="21" t="s">
        <v>9</v>
      </c>
      <c r="O492" s="20"/>
      <c r="P492" s="20"/>
      <c r="Q492" s="19"/>
      <c r="R492" s="19"/>
      <c r="S492" s="20"/>
      <c r="T492" s="19"/>
      <c r="U492" s="20"/>
      <c r="V492" s="19"/>
      <c r="W492" s="26"/>
      <c r="X492" s="20"/>
      <c r="Y492" s="20"/>
      <c r="Z492" s="20"/>
      <c r="AA492" s="26"/>
      <c r="AB492" s="17" t="s">
        <v>1518</v>
      </c>
      <c r="AC492" s="24"/>
      <c r="AD492" s="24"/>
    </row>
    <row r="493">
      <c r="A493" s="25"/>
      <c r="B493" s="17" t="s">
        <v>1519</v>
      </c>
      <c r="C493" s="18">
        <v>9.801340522E9</v>
      </c>
      <c r="D493" s="26">
        <v>55.0</v>
      </c>
      <c r="E493" s="20" t="s">
        <v>367</v>
      </c>
      <c r="F493" s="26" t="s">
        <v>1520</v>
      </c>
      <c r="G493" s="26" t="s">
        <v>1304</v>
      </c>
      <c r="H493" s="26" t="s">
        <v>804</v>
      </c>
      <c r="I493" s="26" t="s">
        <v>1509</v>
      </c>
      <c r="J493" s="26" t="s">
        <v>1504</v>
      </c>
      <c r="K493" s="26" t="s">
        <v>1504</v>
      </c>
      <c r="L493" s="26" t="s">
        <v>1521</v>
      </c>
      <c r="M493" s="26" t="s">
        <v>1522</v>
      </c>
      <c r="N493" s="21" t="s">
        <v>9</v>
      </c>
      <c r="O493" s="20" t="s">
        <v>4</v>
      </c>
      <c r="P493" s="20" t="s">
        <v>4</v>
      </c>
      <c r="Q493" s="26" t="s">
        <v>444</v>
      </c>
      <c r="R493" s="26" t="s">
        <v>1523</v>
      </c>
      <c r="S493" s="20" t="s">
        <v>4</v>
      </c>
      <c r="T493" s="19"/>
      <c r="U493" s="20" t="s">
        <v>4</v>
      </c>
      <c r="V493" s="19"/>
      <c r="W493" s="26" t="s">
        <v>616</v>
      </c>
      <c r="X493" s="20" t="s">
        <v>4</v>
      </c>
      <c r="Y493" s="20" t="s">
        <v>380</v>
      </c>
      <c r="Z493" s="20" t="s">
        <v>4</v>
      </c>
      <c r="AA493" s="26" t="s">
        <v>391</v>
      </c>
      <c r="AB493" s="28"/>
      <c r="AC493" s="24"/>
      <c r="AD493" s="24"/>
    </row>
    <row r="494">
      <c r="A494" s="25"/>
      <c r="B494" s="17" t="s">
        <v>1524</v>
      </c>
      <c r="C494" s="18">
        <v>6.201255692E9</v>
      </c>
      <c r="D494" s="19"/>
      <c r="E494" s="20"/>
      <c r="F494" s="19"/>
      <c r="G494" s="19"/>
      <c r="H494" s="19"/>
      <c r="I494" s="19"/>
      <c r="J494" s="26" t="s">
        <v>1504</v>
      </c>
      <c r="K494" s="26" t="s">
        <v>1504</v>
      </c>
      <c r="L494" s="19"/>
      <c r="M494" s="19"/>
      <c r="N494" s="21" t="s">
        <v>23</v>
      </c>
      <c r="O494" s="20"/>
      <c r="P494" s="20"/>
      <c r="Q494" s="19"/>
      <c r="R494" s="19"/>
      <c r="S494" s="20"/>
      <c r="T494" s="19"/>
      <c r="U494" s="20"/>
      <c r="V494" s="19"/>
      <c r="W494" s="26"/>
      <c r="X494" s="20"/>
      <c r="Y494" s="20"/>
      <c r="Z494" s="20"/>
      <c r="AA494" s="26"/>
      <c r="AB494" s="28"/>
      <c r="AC494" s="24"/>
      <c r="AD494" s="24"/>
    </row>
    <row r="495">
      <c r="A495" s="25"/>
      <c r="B495" s="17" t="s">
        <v>1525</v>
      </c>
      <c r="C495" s="18">
        <v>8.603676581E9</v>
      </c>
      <c r="D495" s="26">
        <v>25.0</v>
      </c>
      <c r="E495" s="20" t="s">
        <v>367</v>
      </c>
      <c r="F495" s="26" t="s">
        <v>1526</v>
      </c>
      <c r="G495" s="26" t="s">
        <v>1304</v>
      </c>
      <c r="H495" s="26" t="s">
        <v>1233</v>
      </c>
      <c r="I495" s="19"/>
      <c r="J495" s="26" t="s">
        <v>1504</v>
      </c>
      <c r="K495" s="26" t="s">
        <v>1504</v>
      </c>
      <c r="L495" s="26" t="s">
        <v>1521</v>
      </c>
      <c r="M495" s="26" t="s">
        <v>1527</v>
      </c>
      <c r="N495" s="21" t="s">
        <v>9</v>
      </c>
      <c r="O495" s="20" t="s">
        <v>4</v>
      </c>
      <c r="P495" s="20" t="s">
        <v>380</v>
      </c>
      <c r="Q495" s="19"/>
      <c r="R495" s="19"/>
      <c r="S495" s="20" t="s">
        <v>4</v>
      </c>
      <c r="T495" s="19"/>
      <c r="U495" s="20" t="s">
        <v>4</v>
      </c>
      <c r="V495" s="19"/>
      <c r="W495" s="26" t="s">
        <v>616</v>
      </c>
      <c r="X495" s="20" t="s">
        <v>4</v>
      </c>
      <c r="Y495" s="20" t="s">
        <v>4</v>
      </c>
      <c r="Z495" s="20" t="s">
        <v>4</v>
      </c>
      <c r="AA495" s="26" t="s">
        <v>391</v>
      </c>
      <c r="AB495" s="28"/>
      <c r="AC495" s="24"/>
      <c r="AD495" s="24"/>
    </row>
    <row r="496">
      <c r="A496" s="25"/>
      <c r="B496" s="17" t="s">
        <v>1528</v>
      </c>
      <c r="C496" s="53">
        <v>8.38400002E9</v>
      </c>
      <c r="D496" s="19"/>
      <c r="E496" s="20"/>
      <c r="F496" s="19"/>
      <c r="G496" s="19"/>
      <c r="H496" s="19"/>
      <c r="I496" s="19"/>
      <c r="J496" s="26" t="s">
        <v>1504</v>
      </c>
      <c r="K496" s="26" t="s">
        <v>1504</v>
      </c>
      <c r="L496" s="19"/>
      <c r="M496" s="19"/>
      <c r="N496" s="21" t="s">
        <v>9</v>
      </c>
      <c r="O496" s="20"/>
      <c r="P496" s="20"/>
      <c r="Q496" s="19"/>
      <c r="R496" s="19"/>
      <c r="S496" s="20"/>
      <c r="T496" s="19"/>
      <c r="U496" s="20"/>
      <c r="V496" s="19"/>
      <c r="W496" s="26"/>
      <c r="X496" s="20"/>
      <c r="Y496" s="20"/>
      <c r="Z496" s="20"/>
      <c r="AA496" s="26"/>
      <c r="AB496" s="17" t="s">
        <v>1529</v>
      </c>
      <c r="AC496" s="24"/>
      <c r="AD496" s="24"/>
    </row>
    <row r="497">
      <c r="A497" s="25"/>
      <c r="B497" s="17" t="s">
        <v>1530</v>
      </c>
      <c r="C497" s="18">
        <v>9.304085451E9</v>
      </c>
      <c r="D497" s="26">
        <v>38.0</v>
      </c>
      <c r="E497" s="20" t="s">
        <v>367</v>
      </c>
      <c r="F497" s="26" t="s">
        <v>1531</v>
      </c>
      <c r="G497" s="26" t="s">
        <v>375</v>
      </c>
      <c r="H497" s="26" t="s">
        <v>383</v>
      </c>
      <c r="I497" s="26" t="s">
        <v>1532</v>
      </c>
      <c r="J497" s="26" t="s">
        <v>1504</v>
      </c>
      <c r="K497" s="26" t="s">
        <v>1504</v>
      </c>
      <c r="L497" s="26" t="s">
        <v>1521</v>
      </c>
      <c r="M497" s="26" t="s">
        <v>1533</v>
      </c>
      <c r="N497" s="21" t="s">
        <v>9</v>
      </c>
      <c r="O497" s="20" t="s">
        <v>4</v>
      </c>
      <c r="P497" s="20" t="s">
        <v>380</v>
      </c>
      <c r="Q497" s="19"/>
      <c r="R497" s="19"/>
      <c r="S497" s="20" t="s">
        <v>4</v>
      </c>
      <c r="T497" s="19"/>
      <c r="U497" s="20" t="s">
        <v>4</v>
      </c>
      <c r="V497" s="19"/>
      <c r="W497" s="26" t="s">
        <v>616</v>
      </c>
      <c r="X497" s="20" t="s">
        <v>4</v>
      </c>
      <c r="Y497" s="20" t="s">
        <v>380</v>
      </c>
      <c r="Z497" s="20" t="s">
        <v>4</v>
      </c>
      <c r="AA497" s="26" t="s">
        <v>391</v>
      </c>
      <c r="AB497" s="28"/>
      <c r="AC497" s="24"/>
      <c r="AD497" s="24"/>
    </row>
    <row r="498">
      <c r="A498" s="25"/>
      <c r="B498" s="17" t="s">
        <v>1534</v>
      </c>
      <c r="C498" s="18">
        <v>6.239717575E9</v>
      </c>
      <c r="D498" s="19"/>
      <c r="E498" s="20"/>
      <c r="F498" s="19"/>
      <c r="G498" s="19"/>
      <c r="H498" s="19"/>
      <c r="I498" s="19"/>
      <c r="J498" s="26" t="s">
        <v>1504</v>
      </c>
      <c r="K498" s="26" t="s">
        <v>1504</v>
      </c>
      <c r="L498" s="19"/>
      <c r="M498" s="19"/>
      <c r="N498" s="21" t="s">
        <v>23</v>
      </c>
      <c r="O498" s="20"/>
      <c r="P498" s="20"/>
      <c r="Q498" s="19"/>
      <c r="R498" s="19"/>
      <c r="S498" s="20"/>
      <c r="T498" s="19"/>
      <c r="U498" s="20"/>
      <c r="V498" s="19"/>
      <c r="W498" s="26"/>
      <c r="X498" s="20"/>
      <c r="Y498" s="20"/>
      <c r="Z498" s="20"/>
      <c r="AA498" s="26"/>
      <c r="AB498" s="28"/>
      <c r="AC498" s="24"/>
      <c r="AD498" s="24"/>
    </row>
    <row r="499">
      <c r="A499" s="25"/>
      <c r="B499" s="17" t="s">
        <v>1535</v>
      </c>
      <c r="C499" s="53">
        <v>6.2005332E9</v>
      </c>
      <c r="D499" s="26">
        <v>30.0</v>
      </c>
      <c r="E499" s="20" t="s">
        <v>367</v>
      </c>
      <c r="F499" s="26" t="s">
        <v>1536</v>
      </c>
      <c r="G499" s="26" t="s">
        <v>375</v>
      </c>
      <c r="H499" s="26" t="s">
        <v>1066</v>
      </c>
      <c r="I499" s="26" t="s">
        <v>1537</v>
      </c>
      <c r="J499" s="26" t="s">
        <v>1504</v>
      </c>
      <c r="K499" s="26" t="s">
        <v>1504</v>
      </c>
      <c r="L499" s="26" t="s">
        <v>1521</v>
      </c>
      <c r="M499" s="26" t="s">
        <v>1538</v>
      </c>
      <c r="N499" s="21" t="s">
        <v>9</v>
      </c>
      <c r="O499" s="20" t="s">
        <v>4</v>
      </c>
      <c r="P499" s="20" t="s">
        <v>380</v>
      </c>
      <c r="Q499" s="19"/>
      <c r="R499" s="19"/>
      <c r="S499" s="20" t="s">
        <v>4</v>
      </c>
      <c r="T499" s="19"/>
      <c r="U499" s="20" t="s">
        <v>4</v>
      </c>
      <c r="V499" s="19"/>
      <c r="W499" s="26" t="s">
        <v>616</v>
      </c>
      <c r="X499" s="20" t="s">
        <v>4</v>
      </c>
      <c r="Y499" s="20" t="s">
        <v>380</v>
      </c>
      <c r="Z499" s="20" t="s">
        <v>4</v>
      </c>
      <c r="AA499" s="26" t="s">
        <v>391</v>
      </c>
      <c r="AB499" s="28"/>
      <c r="AC499" s="24"/>
      <c r="AD499" s="24"/>
    </row>
    <row r="500">
      <c r="A500" s="25"/>
      <c r="B500" s="17" t="s">
        <v>1539</v>
      </c>
      <c r="C500" s="18">
        <v>9.631247107E9</v>
      </c>
      <c r="D500" s="19"/>
      <c r="E500" s="20"/>
      <c r="F500" s="19"/>
      <c r="G500" s="19"/>
      <c r="H500" s="19"/>
      <c r="I500" s="19"/>
      <c r="J500" s="26" t="s">
        <v>1504</v>
      </c>
      <c r="K500" s="26" t="s">
        <v>1504</v>
      </c>
      <c r="L500" s="19"/>
      <c r="M500" s="19"/>
      <c r="N500" s="21" t="s">
        <v>54</v>
      </c>
      <c r="O500" s="20"/>
      <c r="P500" s="20"/>
      <c r="Q500" s="19"/>
      <c r="R500" s="19"/>
      <c r="S500" s="20"/>
      <c r="T500" s="19"/>
      <c r="U500" s="20"/>
      <c r="V500" s="19"/>
      <c r="W500" s="26"/>
      <c r="X500" s="20"/>
      <c r="Y500" s="20"/>
      <c r="Z500" s="20"/>
      <c r="AA500" s="26"/>
      <c r="AB500" s="28"/>
      <c r="AC500" s="24"/>
      <c r="AD500" s="24"/>
    </row>
    <row r="501">
      <c r="A501" s="25"/>
      <c r="B501" s="17" t="s">
        <v>1540</v>
      </c>
      <c r="C501" s="18">
        <v>8.603675742E9</v>
      </c>
      <c r="D501" s="19"/>
      <c r="E501" s="20"/>
      <c r="F501" s="19"/>
      <c r="G501" s="19"/>
      <c r="H501" s="19"/>
      <c r="I501" s="19"/>
      <c r="J501" s="26" t="s">
        <v>1504</v>
      </c>
      <c r="K501" s="26" t="s">
        <v>1504</v>
      </c>
      <c r="L501" s="19"/>
      <c r="M501" s="19"/>
      <c r="N501" s="21" t="s">
        <v>13</v>
      </c>
      <c r="O501" s="20"/>
      <c r="P501" s="20"/>
      <c r="Q501" s="19"/>
      <c r="R501" s="19"/>
      <c r="S501" s="20"/>
      <c r="T501" s="19"/>
      <c r="U501" s="20"/>
      <c r="V501" s="19"/>
      <c r="W501" s="26"/>
      <c r="X501" s="20"/>
      <c r="Y501" s="20"/>
      <c r="Z501" s="20"/>
      <c r="AA501" s="26"/>
      <c r="AB501" s="28"/>
      <c r="AC501" s="24"/>
      <c r="AD501" s="24"/>
    </row>
    <row r="502">
      <c r="A502" s="25"/>
      <c r="B502" s="17" t="s">
        <v>1541</v>
      </c>
      <c r="C502" s="18">
        <v>7.428559853E9</v>
      </c>
      <c r="D502" s="19"/>
      <c r="E502" s="20"/>
      <c r="F502" s="19"/>
      <c r="G502" s="19"/>
      <c r="H502" s="19"/>
      <c r="I502" s="19"/>
      <c r="J502" s="26" t="s">
        <v>1504</v>
      </c>
      <c r="K502" s="26" t="s">
        <v>1504</v>
      </c>
      <c r="L502" s="19"/>
      <c r="M502" s="19"/>
      <c r="N502" s="21" t="s">
        <v>9</v>
      </c>
      <c r="O502" s="20"/>
      <c r="P502" s="20"/>
      <c r="Q502" s="19"/>
      <c r="R502" s="19"/>
      <c r="S502" s="20"/>
      <c r="T502" s="19"/>
      <c r="U502" s="20"/>
      <c r="V502" s="19"/>
      <c r="W502" s="26"/>
      <c r="X502" s="20"/>
      <c r="Y502" s="20"/>
      <c r="Z502" s="20"/>
      <c r="AA502" s="26"/>
      <c r="AB502" s="17" t="s">
        <v>488</v>
      </c>
      <c r="AC502" s="24"/>
      <c r="AD502" s="24"/>
    </row>
    <row r="503">
      <c r="A503" s="25"/>
      <c r="B503" s="17" t="s">
        <v>1542</v>
      </c>
      <c r="C503" s="18">
        <v>7.004205486E9</v>
      </c>
      <c r="D503" s="26">
        <v>32.0</v>
      </c>
      <c r="E503" s="20" t="s">
        <v>367</v>
      </c>
      <c r="F503" s="26" t="s">
        <v>1543</v>
      </c>
      <c r="G503" s="26" t="s">
        <v>1304</v>
      </c>
      <c r="H503" s="26" t="s">
        <v>1233</v>
      </c>
      <c r="I503" s="26" t="s">
        <v>1544</v>
      </c>
      <c r="J503" s="26" t="s">
        <v>1504</v>
      </c>
      <c r="K503" s="26" t="s">
        <v>1504</v>
      </c>
      <c r="L503" s="26" t="s">
        <v>1521</v>
      </c>
      <c r="M503" s="26" t="s">
        <v>1545</v>
      </c>
      <c r="N503" s="21" t="s">
        <v>9</v>
      </c>
      <c r="O503" s="20" t="s">
        <v>4</v>
      </c>
      <c r="P503" s="20" t="s">
        <v>4</v>
      </c>
      <c r="Q503" s="26" t="s">
        <v>444</v>
      </c>
      <c r="R503" s="26" t="s">
        <v>1523</v>
      </c>
      <c r="S503" s="20" t="s">
        <v>4</v>
      </c>
      <c r="T503" s="19"/>
      <c r="U503" s="20" t="s">
        <v>4</v>
      </c>
      <c r="V503" s="19"/>
      <c r="W503" s="26" t="s">
        <v>616</v>
      </c>
      <c r="X503" s="20" t="s">
        <v>4</v>
      </c>
      <c r="Y503" s="20" t="s">
        <v>380</v>
      </c>
      <c r="Z503" s="20" t="s">
        <v>4</v>
      </c>
      <c r="AA503" s="26" t="s">
        <v>391</v>
      </c>
      <c r="AB503" s="28"/>
      <c r="AC503" s="24"/>
      <c r="AD503" s="24"/>
    </row>
    <row r="504">
      <c r="A504" s="25"/>
      <c r="B504" s="17" t="s">
        <v>1546</v>
      </c>
      <c r="C504" s="18">
        <v>8.540812708E9</v>
      </c>
      <c r="D504" s="19"/>
      <c r="E504" s="20"/>
      <c r="F504" s="19"/>
      <c r="G504" s="19"/>
      <c r="H504" s="19"/>
      <c r="I504" s="19"/>
      <c r="J504" s="26" t="s">
        <v>1504</v>
      </c>
      <c r="K504" s="26" t="s">
        <v>1504</v>
      </c>
      <c r="L504" s="19"/>
      <c r="M504" s="19"/>
      <c r="N504" s="21" t="s">
        <v>54</v>
      </c>
      <c r="O504" s="20"/>
      <c r="P504" s="20"/>
      <c r="Q504" s="19"/>
      <c r="R504" s="19"/>
      <c r="S504" s="20"/>
      <c r="T504" s="19"/>
      <c r="U504" s="20"/>
      <c r="V504" s="19"/>
      <c r="W504" s="26"/>
      <c r="X504" s="20"/>
      <c r="Y504" s="20"/>
      <c r="Z504" s="20"/>
      <c r="AA504" s="26"/>
      <c r="AB504" s="28"/>
      <c r="AC504" s="24"/>
      <c r="AD504" s="24"/>
    </row>
    <row r="505">
      <c r="A505" s="25"/>
      <c r="B505" s="17" t="s">
        <v>1547</v>
      </c>
      <c r="C505" s="18">
        <v>7.549852065E9</v>
      </c>
      <c r="D505" s="26">
        <v>65.0</v>
      </c>
      <c r="E505" s="20" t="s">
        <v>367</v>
      </c>
      <c r="F505" s="26" t="s">
        <v>1520</v>
      </c>
      <c r="G505" s="26" t="s">
        <v>1304</v>
      </c>
      <c r="H505" s="26" t="s">
        <v>383</v>
      </c>
      <c r="I505" s="26" t="s">
        <v>1548</v>
      </c>
      <c r="J505" s="26" t="s">
        <v>1504</v>
      </c>
      <c r="K505" s="26" t="s">
        <v>1504</v>
      </c>
      <c r="L505" s="26" t="s">
        <v>1521</v>
      </c>
      <c r="M505" s="26" t="s">
        <v>1549</v>
      </c>
      <c r="N505" s="21" t="s">
        <v>9</v>
      </c>
      <c r="O505" s="20" t="s">
        <v>4</v>
      </c>
      <c r="P505" s="20" t="s">
        <v>4</v>
      </c>
      <c r="Q505" s="26" t="s">
        <v>444</v>
      </c>
      <c r="R505" s="26" t="s">
        <v>1523</v>
      </c>
      <c r="S505" s="20" t="s">
        <v>4</v>
      </c>
      <c r="T505" s="19"/>
      <c r="U505" s="20" t="s">
        <v>4</v>
      </c>
      <c r="V505" s="19"/>
      <c r="W505" s="26" t="s">
        <v>616</v>
      </c>
      <c r="X505" s="20" t="s">
        <v>4</v>
      </c>
      <c r="Y505" s="20" t="s">
        <v>4</v>
      </c>
      <c r="Z505" s="20" t="s">
        <v>4</v>
      </c>
      <c r="AA505" s="26" t="s">
        <v>391</v>
      </c>
      <c r="AB505" s="28"/>
      <c r="AC505" s="24"/>
      <c r="AD505" s="24"/>
    </row>
    <row r="506">
      <c r="A506" s="25"/>
      <c r="B506" s="17" t="s">
        <v>1550</v>
      </c>
      <c r="C506" s="18">
        <v>9.973433204E9</v>
      </c>
      <c r="D506" s="19"/>
      <c r="E506" s="20"/>
      <c r="F506" s="19"/>
      <c r="G506" s="19"/>
      <c r="H506" s="19"/>
      <c r="I506" s="19"/>
      <c r="J506" s="26" t="s">
        <v>1504</v>
      </c>
      <c r="K506" s="26" t="s">
        <v>1504</v>
      </c>
      <c r="L506" s="19"/>
      <c r="M506" s="19"/>
      <c r="N506" s="21" t="s">
        <v>54</v>
      </c>
      <c r="O506" s="20"/>
      <c r="P506" s="20"/>
      <c r="Q506" s="19"/>
      <c r="R506" s="19"/>
      <c r="S506" s="20"/>
      <c r="T506" s="19"/>
      <c r="U506" s="20"/>
      <c r="V506" s="19"/>
      <c r="W506" s="26"/>
      <c r="X506" s="20"/>
      <c r="Y506" s="20"/>
      <c r="Z506" s="20"/>
      <c r="AA506" s="26"/>
      <c r="AB506" s="17" t="s">
        <v>1551</v>
      </c>
      <c r="AC506" s="24"/>
      <c r="AD506" s="24"/>
    </row>
    <row r="507">
      <c r="A507" s="25"/>
      <c r="B507" s="17" t="s">
        <v>1552</v>
      </c>
      <c r="C507" s="18">
        <v>8.002445456E9</v>
      </c>
      <c r="D507" s="19"/>
      <c r="E507" s="20"/>
      <c r="F507" s="19"/>
      <c r="G507" s="19"/>
      <c r="H507" s="19"/>
      <c r="I507" s="19"/>
      <c r="J507" s="26" t="s">
        <v>1504</v>
      </c>
      <c r="K507" s="26" t="s">
        <v>1504</v>
      </c>
      <c r="L507" s="19"/>
      <c r="M507" s="19"/>
      <c r="N507" s="21" t="s">
        <v>23</v>
      </c>
      <c r="O507" s="20"/>
      <c r="P507" s="20"/>
      <c r="Q507" s="19"/>
      <c r="R507" s="19"/>
      <c r="S507" s="20"/>
      <c r="T507" s="19"/>
      <c r="U507" s="20"/>
      <c r="V507" s="19"/>
      <c r="W507" s="26"/>
      <c r="X507" s="20"/>
      <c r="Y507" s="20"/>
      <c r="Z507" s="20"/>
      <c r="AA507" s="26"/>
      <c r="AB507" s="28"/>
      <c r="AC507" s="24"/>
      <c r="AD507" s="24"/>
    </row>
    <row r="508">
      <c r="A508" s="25"/>
      <c r="B508" s="17" t="s">
        <v>1553</v>
      </c>
      <c r="C508" s="18">
        <v>9.235879676E9</v>
      </c>
      <c r="D508" s="19"/>
      <c r="E508" s="20"/>
      <c r="F508" s="19"/>
      <c r="G508" s="19"/>
      <c r="H508" s="19"/>
      <c r="I508" s="19"/>
      <c r="J508" s="26" t="s">
        <v>1504</v>
      </c>
      <c r="K508" s="26" t="s">
        <v>1504</v>
      </c>
      <c r="L508" s="19"/>
      <c r="M508" s="19"/>
      <c r="N508" s="21" t="s">
        <v>27</v>
      </c>
      <c r="O508" s="20"/>
      <c r="P508" s="20"/>
      <c r="Q508" s="19"/>
      <c r="R508" s="19"/>
      <c r="S508" s="20"/>
      <c r="T508" s="19"/>
      <c r="U508" s="20"/>
      <c r="V508" s="19"/>
      <c r="W508" s="26"/>
      <c r="X508" s="20"/>
      <c r="Y508" s="20"/>
      <c r="Z508" s="20"/>
      <c r="AA508" s="26"/>
      <c r="AB508" s="28"/>
      <c r="AC508" s="24"/>
      <c r="AD508" s="24"/>
    </row>
    <row r="509">
      <c r="A509" s="31"/>
      <c r="B509" s="17" t="s">
        <v>1554</v>
      </c>
      <c r="C509" s="18">
        <v>9.931331466E9</v>
      </c>
      <c r="D509" s="26">
        <v>36.0</v>
      </c>
      <c r="E509" s="20" t="s">
        <v>367</v>
      </c>
      <c r="F509" s="26" t="s">
        <v>1555</v>
      </c>
      <c r="G509" s="26" t="s">
        <v>1304</v>
      </c>
      <c r="H509" s="26" t="s">
        <v>1310</v>
      </c>
      <c r="I509" s="26" t="s">
        <v>1556</v>
      </c>
      <c r="J509" s="26" t="s">
        <v>1504</v>
      </c>
      <c r="K509" s="26" t="s">
        <v>1504</v>
      </c>
      <c r="L509" s="26" t="s">
        <v>1504</v>
      </c>
      <c r="M509" s="26" t="s">
        <v>1557</v>
      </c>
      <c r="N509" s="21" t="s">
        <v>9</v>
      </c>
      <c r="O509" s="20" t="s">
        <v>4</v>
      </c>
      <c r="P509" s="43" t="s">
        <v>4</v>
      </c>
      <c r="Q509" s="26" t="s">
        <v>867</v>
      </c>
      <c r="R509" s="26" t="s">
        <v>1558</v>
      </c>
      <c r="S509" s="20" t="s">
        <v>4</v>
      </c>
      <c r="T509" s="19"/>
      <c r="U509" s="20" t="s">
        <v>4</v>
      </c>
      <c r="V509" s="26" t="s">
        <v>1559</v>
      </c>
      <c r="W509" s="26" t="s">
        <v>616</v>
      </c>
      <c r="X509" s="20" t="s">
        <v>4</v>
      </c>
      <c r="Y509" s="20" t="s">
        <v>4</v>
      </c>
      <c r="Z509" s="20" t="s">
        <v>4</v>
      </c>
      <c r="AA509" s="26" t="s">
        <v>391</v>
      </c>
      <c r="AB509" s="28"/>
      <c r="AC509" s="24"/>
      <c r="AD509" s="24"/>
    </row>
    <row r="510">
      <c r="A510" s="32"/>
      <c r="B510" s="33"/>
      <c r="C510" s="34"/>
      <c r="K510" s="34"/>
      <c r="N510" s="34"/>
      <c r="P510" s="64"/>
      <c r="AB510" s="33"/>
      <c r="AC510" s="24"/>
      <c r="AD510" s="24"/>
    </row>
    <row r="511">
      <c r="A511" s="16" t="s">
        <v>1560</v>
      </c>
      <c r="B511" s="17" t="s">
        <v>1561</v>
      </c>
      <c r="C511" s="17">
        <v>9.931059565E9</v>
      </c>
      <c r="D511" s="65">
        <v>35.0</v>
      </c>
      <c r="E511" s="20" t="s">
        <v>367</v>
      </c>
      <c r="F511" s="26" t="s">
        <v>750</v>
      </c>
      <c r="G511" s="26" t="s">
        <v>647</v>
      </c>
      <c r="H511" s="26" t="s">
        <v>1233</v>
      </c>
      <c r="I511" s="26" t="s">
        <v>1096</v>
      </c>
      <c r="J511" s="26" t="s">
        <v>1562</v>
      </c>
      <c r="K511" s="26" t="s">
        <v>1563</v>
      </c>
      <c r="L511" s="26" t="s">
        <v>1563</v>
      </c>
      <c r="M511" s="26" t="s">
        <v>1564</v>
      </c>
      <c r="N511" s="21" t="s">
        <v>9</v>
      </c>
      <c r="O511" s="20" t="s">
        <v>4</v>
      </c>
      <c r="P511" s="43" t="s">
        <v>4</v>
      </c>
      <c r="Q511" s="26" t="s">
        <v>1565</v>
      </c>
      <c r="R511" s="19"/>
      <c r="S511" s="20" t="s">
        <v>4</v>
      </c>
      <c r="T511" s="26" t="s">
        <v>1566</v>
      </c>
      <c r="U511" s="20" t="s">
        <v>380</v>
      </c>
      <c r="V511" s="19"/>
      <c r="W511" s="26" t="s">
        <v>616</v>
      </c>
      <c r="X511" s="20" t="s">
        <v>4</v>
      </c>
      <c r="Y511" s="20" t="s">
        <v>4</v>
      </c>
      <c r="Z511" s="20" t="s">
        <v>4</v>
      </c>
      <c r="AA511" s="26" t="s">
        <v>391</v>
      </c>
      <c r="AB511" s="28"/>
      <c r="AC511" s="24"/>
      <c r="AD511" s="24"/>
    </row>
    <row r="512">
      <c r="A512" s="25"/>
      <c r="B512" s="17" t="s">
        <v>1567</v>
      </c>
      <c r="C512" s="17">
        <v>7.633948045E9</v>
      </c>
      <c r="D512" s="65">
        <v>50.0</v>
      </c>
      <c r="E512" s="20" t="s">
        <v>367</v>
      </c>
      <c r="F512" s="26" t="s">
        <v>1568</v>
      </c>
      <c r="G512" s="26" t="s">
        <v>647</v>
      </c>
      <c r="H512" s="26" t="s">
        <v>1233</v>
      </c>
      <c r="I512" s="26" t="s">
        <v>1569</v>
      </c>
      <c r="J512" s="26" t="s">
        <v>1570</v>
      </c>
      <c r="K512" s="26" t="s">
        <v>1563</v>
      </c>
      <c r="L512" s="26" t="s">
        <v>1563</v>
      </c>
      <c r="M512" s="26" t="s">
        <v>1571</v>
      </c>
      <c r="N512" s="21" t="s">
        <v>9</v>
      </c>
      <c r="O512" s="20" t="s">
        <v>4</v>
      </c>
      <c r="P512" s="43" t="s">
        <v>380</v>
      </c>
      <c r="Q512" s="19"/>
      <c r="R512" s="19"/>
      <c r="S512" s="20" t="s">
        <v>4</v>
      </c>
      <c r="T512" s="26" t="s">
        <v>1572</v>
      </c>
      <c r="U512" s="20" t="s">
        <v>380</v>
      </c>
      <c r="V512" s="19"/>
      <c r="W512" s="26" t="s">
        <v>616</v>
      </c>
      <c r="X512" s="20" t="s">
        <v>4</v>
      </c>
      <c r="Y512" s="20" t="s">
        <v>4</v>
      </c>
      <c r="Z512" s="20" t="s">
        <v>4</v>
      </c>
      <c r="AA512" s="26" t="s">
        <v>391</v>
      </c>
      <c r="AB512" s="28"/>
      <c r="AC512" s="24"/>
      <c r="AD512" s="24"/>
    </row>
    <row r="513">
      <c r="A513" s="25"/>
      <c r="B513" s="17" t="s">
        <v>1573</v>
      </c>
      <c r="C513" s="17">
        <v>7.765846551E9</v>
      </c>
      <c r="D513" s="66"/>
      <c r="E513" s="20"/>
      <c r="F513" s="19"/>
      <c r="G513" s="19"/>
      <c r="H513" s="19"/>
      <c r="I513" s="19"/>
      <c r="J513" s="26"/>
      <c r="K513" s="26" t="s">
        <v>1563</v>
      </c>
      <c r="L513" s="19"/>
      <c r="M513" s="19"/>
      <c r="N513" s="21"/>
      <c r="O513" s="20"/>
      <c r="P513" s="43"/>
      <c r="Q513" s="19"/>
      <c r="R513" s="19"/>
      <c r="S513" s="20"/>
      <c r="T513" s="19"/>
      <c r="U513" s="20"/>
      <c r="V513" s="19"/>
      <c r="W513" s="26"/>
      <c r="X513" s="20"/>
      <c r="Y513" s="20"/>
      <c r="Z513" s="20"/>
      <c r="AA513" s="26"/>
      <c r="AB513" s="28"/>
      <c r="AC513" s="24"/>
      <c r="AD513" s="24"/>
    </row>
    <row r="514">
      <c r="A514" s="25"/>
      <c r="B514" s="17" t="s">
        <v>1574</v>
      </c>
      <c r="C514" s="17">
        <v>9.905487919E9</v>
      </c>
      <c r="D514" s="66"/>
      <c r="E514" s="20"/>
      <c r="F514" s="19"/>
      <c r="G514" s="19"/>
      <c r="H514" s="19"/>
      <c r="I514" s="19"/>
      <c r="J514" s="26"/>
      <c r="K514" s="26" t="s">
        <v>1563</v>
      </c>
      <c r="L514" s="19"/>
      <c r="M514" s="19"/>
      <c r="N514" s="21"/>
      <c r="O514" s="20"/>
      <c r="P514" s="43"/>
      <c r="Q514" s="19"/>
      <c r="R514" s="19"/>
      <c r="S514" s="20"/>
      <c r="T514" s="19"/>
      <c r="U514" s="20"/>
      <c r="V514" s="19"/>
      <c r="W514" s="26"/>
      <c r="X514" s="20"/>
      <c r="Y514" s="20"/>
      <c r="Z514" s="20"/>
      <c r="AA514" s="26"/>
      <c r="AB514" s="28"/>
      <c r="AC514" s="24"/>
      <c r="AD514" s="24"/>
    </row>
    <row r="515">
      <c r="A515" s="25"/>
      <c r="B515" s="17" t="s">
        <v>1575</v>
      </c>
      <c r="C515" s="17">
        <v>8.002370889E9</v>
      </c>
      <c r="D515" s="66"/>
      <c r="E515" s="20"/>
      <c r="F515" s="19"/>
      <c r="G515" s="19"/>
      <c r="H515" s="19"/>
      <c r="I515" s="19"/>
      <c r="J515" s="26"/>
      <c r="K515" s="26" t="s">
        <v>1563</v>
      </c>
      <c r="L515" s="19"/>
      <c r="M515" s="19"/>
      <c r="N515" s="21"/>
      <c r="O515" s="20"/>
      <c r="P515" s="43"/>
      <c r="Q515" s="19"/>
      <c r="R515" s="19"/>
      <c r="S515" s="20"/>
      <c r="T515" s="19"/>
      <c r="U515" s="20"/>
      <c r="V515" s="19"/>
      <c r="W515" s="26"/>
      <c r="X515" s="20"/>
      <c r="Y515" s="20"/>
      <c r="Z515" s="20"/>
      <c r="AA515" s="26"/>
      <c r="AB515" s="28"/>
      <c r="AC515" s="24"/>
      <c r="AD515" s="24"/>
    </row>
    <row r="516">
      <c r="A516" s="25"/>
      <c r="B516" s="17" t="s">
        <v>1576</v>
      </c>
      <c r="C516" s="17">
        <v>9.570464752E9</v>
      </c>
      <c r="D516" s="66"/>
      <c r="E516" s="20"/>
      <c r="F516" s="19"/>
      <c r="G516" s="19"/>
      <c r="H516" s="19"/>
      <c r="I516" s="19"/>
      <c r="J516" s="26"/>
      <c r="K516" s="26" t="s">
        <v>1563</v>
      </c>
      <c r="L516" s="19"/>
      <c r="M516" s="19"/>
      <c r="N516" s="21"/>
      <c r="O516" s="20"/>
      <c r="P516" s="43"/>
      <c r="Q516" s="19"/>
      <c r="R516" s="19"/>
      <c r="S516" s="20"/>
      <c r="T516" s="19"/>
      <c r="U516" s="20"/>
      <c r="V516" s="19"/>
      <c r="W516" s="26"/>
      <c r="X516" s="20"/>
      <c r="Y516" s="20"/>
      <c r="Z516" s="20"/>
      <c r="AA516" s="26"/>
      <c r="AB516" s="28"/>
      <c r="AC516" s="24"/>
      <c r="AD516" s="24"/>
    </row>
    <row r="517">
      <c r="A517" s="25"/>
      <c r="B517" s="17" t="s">
        <v>1577</v>
      </c>
      <c r="C517" s="17">
        <v>8.969864115E9</v>
      </c>
      <c r="D517" s="66"/>
      <c r="E517" s="20"/>
      <c r="F517" s="19"/>
      <c r="G517" s="19"/>
      <c r="H517" s="19"/>
      <c r="I517" s="19"/>
      <c r="J517" s="26"/>
      <c r="K517" s="26" t="s">
        <v>1563</v>
      </c>
      <c r="L517" s="19"/>
      <c r="M517" s="19"/>
      <c r="N517" s="21"/>
      <c r="O517" s="20"/>
      <c r="P517" s="43"/>
      <c r="Q517" s="19"/>
      <c r="R517" s="19"/>
      <c r="S517" s="20"/>
      <c r="T517" s="19"/>
      <c r="U517" s="20"/>
      <c r="V517" s="19"/>
      <c r="W517" s="26"/>
      <c r="X517" s="20"/>
      <c r="Y517" s="20"/>
      <c r="Z517" s="20"/>
      <c r="AA517" s="26"/>
      <c r="AB517" s="28"/>
      <c r="AC517" s="24"/>
      <c r="AD517" s="24"/>
    </row>
    <row r="518">
      <c r="A518" s="25"/>
      <c r="B518" s="17" t="s">
        <v>1578</v>
      </c>
      <c r="C518" s="17">
        <v>9.934272087E9</v>
      </c>
      <c r="D518" s="66"/>
      <c r="E518" s="20"/>
      <c r="F518" s="19"/>
      <c r="G518" s="19"/>
      <c r="H518" s="19"/>
      <c r="I518" s="19"/>
      <c r="J518" s="26"/>
      <c r="K518" s="26" t="s">
        <v>1563</v>
      </c>
      <c r="L518" s="19"/>
      <c r="M518" s="19"/>
      <c r="N518" s="21"/>
      <c r="O518" s="20"/>
      <c r="P518" s="43"/>
      <c r="Q518" s="19"/>
      <c r="R518" s="19"/>
      <c r="S518" s="20"/>
      <c r="T518" s="19"/>
      <c r="U518" s="20"/>
      <c r="V518" s="19"/>
      <c r="W518" s="26"/>
      <c r="X518" s="20"/>
      <c r="Y518" s="20"/>
      <c r="Z518" s="20"/>
      <c r="AA518" s="26"/>
      <c r="AB518" s="28"/>
      <c r="AC518" s="24"/>
      <c r="AD518" s="24"/>
    </row>
    <row r="519">
      <c r="A519" s="25"/>
      <c r="B519" s="17" t="s">
        <v>1579</v>
      </c>
      <c r="C519" s="17">
        <v>8.735979323E9</v>
      </c>
      <c r="D519" s="66"/>
      <c r="E519" s="20"/>
      <c r="F519" s="19"/>
      <c r="G519" s="19"/>
      <c r="H519" s="19"/>
      <c r="I519" s="19"/>
      <c r="J519" s="26"/>
      <c r="K519" s="26" t="s">
        <v>1563</v>
      </c>
      <c r="L519" s="19"/>
      <c r="M519" s="19"/>
      <c r="N519" s="21"/>
      <c r="O519" s="20"/>
      <c r="P519" s="43"/>
      <c r="Q519" s="19"/>
      <c r="R519" s="19"/>
      <c r="S519" s="20"/>
      <c r="T519" s="19"/>
      <c r="U519" s="20"/>
      <c r="V519" s="19"/>
      <c r="W519" s="26"/>
      <c r="X519" s="20"/>
      <c r="Y519" s="20"/>
      <c r="Z519" s="20"/>
      <c r="AA519" s="26"/>
      <c r="AB519" s="28"/>
      <c r="AC519" s="24"/>
      <c r="AD519" s="24"/>
    </row>
    <row r="520">
      <c r="A520" s="25"/>
      <c r="B520" s="17" t="s">
        <v>1580</v>
      </c>
      <c r="C520" s="17">
        <v>9.525146391E9</v>
      </c>
      <c r="D520" s="66"/>
      <c r="E520" s="20"/>
      <c r="F520" s="19"/>
      <c r="G520" s="19"/>
      <c r="H520" s="19"/>
      <c r="I520" s="19"/>
      <c r="J520" s="26"/>
      <c r="K520" s="26" t="s">
        <v>1563</v>
      </c>
      <c r="L520" s="19"/>
      <c r="M520" s="19"/>
      <c r="N520" s="21"/>
      <c r="O520" s="20"/>
      <c r="P520" s="43"/>
      <c r="Q520" s="19"/>
      <c r="R520" s="19"/>
      <c r="S520" s="20"/>
      <c r="T520" s="19"/>
      <c r="U520" s="20"/>
      <c r="V520" s="19"/>
      <c r="W520" s="26"/>
      <c r="X520" s="20"/>
      <c r="Y520" s="20"/>
      <c r="Z520" s="20"/>
      <c r="AA520" s="26"/>
      <c r="AB520" s="28"/>
      <c r="AC520" s="24"/>
      <c r="AD520" s="24"/>
    </row>
    <row r="521">
      <c r="A521" s="25"/>
      <c r="B521" s="17" t="s">
        <v>421</v>
      </c>
      <c r="C521" s="17">
        <v>7.549289551E9</v>
      </c>
      <c r="D521" s="66"/>
      <c r="E521" s="20"/>
      <c r="F521" s="19"/>
      <c r="G521" s="19"/>
      <c r="H521" s="19"/>
      <c r="I521" s="19"/>
      <c r="J521" s="26"/>
      <c r="K521" s="26" t="s">
        <v>1563</v>
      </c>
      <c r="L521" s="19"/>
      <c r="M521" s="19"/>
      <c r="N521" s="21"/>
      <c r="O521" s="20"/>
      <c r="P521" s="43"/>
      <c r="Q521" s="19"/>
      <c r="R521" s="19"/>
      <c r="S521" s="20"/>
      <c r="T521" s="19"/>
      <c r="U521" s="20"/>
      <c r="V521" s="19"/>
      <c r="W521" s="26"/>
      <c r="X521" s="20"/>
      <c r="Y521" s="20"/>
      <c r="Z521" s="20"/>
      <c r="AA521" s="26"/>
      <c r="AB521" s="28"/>
      <c r="AC521" s="24"/>
      <c r="AD521" s="24"/>
    </row>
    <row r="522">
      <c r="A522" s="25"/>
      <c r="B522" s="17" t="s">
        <v>1581</v>
      </c>
      <c r="C522" s="17">
        <v>6.209662976E9</v>
      </c>
      <c r="D522" s="66"/>
      <c r="E522" s="20"/>
      <c r="F522" s="19"/>
      <c r="G522" s="19"/>
      <c r="H522" s="19"/>
      <c r="I522" s="19"/>
      <c r="J522" s="26"/>
      <c r="K522" s="26" t="s">
        <v>1563</v>
      </c>
      <c r="L522" s="19"/>
      <c r="M522" s="19"/>
      <c r="N522" s="21"/>
      <c r="O522" s="20"/>
      <c r="P522" s="43"/>
      <c r="Q522" s="19"/>
      <c r="R522" s="19"/>
      <c r="S522" s="20"/>
      <c r="T522" s="19"/>
      <c r="U522" s="20"/>
      <c r="V522" s="19"/>
      <c r="W522" s="26"/>
      <c r="X522" s="20"/>
      <c r="Y522" s="20"/>
      <c r="Z522" s="20"/>
      <c r="AA522" s="26"/>
      <c r="AB522" s="28"/>
      <c r="AC522" s="24"/>
      <c r="AD522" s="24"/>
    </row>
    <row r="523">
      <c r="A523" s="25"/>
      <c r="B523" s="17" t="s">
        <v>1582</v>
      </c>
      <c r="C523" s="17">
        <v>9.006891188E9</v>
      </c>
      <c r="D523" s="66"/>
      <c r="E523" s="20"/>
      <c r="F523" s="19"/>
      <c r="G523" s="19"/>
      <c r="H523" s="19"/>
      <c r="I523" s="19"/>
      <c r="J523" s="26"/>
      <c r="K523" s="26" t="s">
        <v>1563</v>
      </c>
      <c r="L523" s="19"/>
      <c r="M523" s="19"/>
      <c r="N523" s="21"/>
      <c r="O523" s="20"/>
      <c r="P523" s="43"/>
      <c r="Q523" s="19"/>
      <c r="R523" s="19"/>
      <c r="S523" s="20"/>
      <c r="T523" s="19"/>
      <c r="U523" s="20"/>
      <c r="V523" s="19"/>
      <c r="W523" s="26"/>
      <c r="X523" s="20"/>
      <c r="Y523" s="20"/>
      <c r="Z523" s="20"/>
      <c r="AA523" s="26"/>
      <c r="AB523" s="28"/>
      <c r="AC523" s="24"/>
      <c r="AD523" s="24"/>
    </row>
    <row r="524">
      <c r="A524" s="25"/>
      <c r="B524" s="17" t="s">
        <v>1583</v>
      </c>
      <c r="C524" s="17">
        <v>6.29964831E9</v>
      </c>
      <c r="D524" s="66"/>
      <c r="E524" s="20"/>
      <c r="F524" s="19"/>
      <c r="G524" s="19"/>
      <c r="H524" s="19"/>
      <c r="I524" s="19"/>
      <c r="J524" s="26"/>
      <c r="K524" s="26" t="s">
        <v>1563</v>
      </c>
      <c r="L524" s="19"/>
      <c r="M524" s="19"/>
      <c r="N524" s="21"/>
      <c r="O524" s="20"/>
      <c r="P524" s="43"/>
      <c r="Q524" s="19"/>
      <c r="R524" s="19"/>
      <c r="S524" s="20"/>
      <c r="T524" s="19"/>
      <c r="U524" s="20"/>
      <c r="V524" s="19"/>
      <c r="W524" s="26"/>
      <c r="X524" s="20"/>
      <c r="Y524" s="20"/>
      <c r="Z524" s="20"/>
      <c r="AA524" s="26"/>
      <c r="AB524" s="28"/>
      <c r="AC524" s="24"/>
      <c r="AD524" s="24"/>
    </row>
    <row r="525">
      <c r="A525" s="25"/>
      <c r="B525" s="17" t="s">
        <v>1584</v>
      </c>
      <c r="C525" s="17">
        <v>7.004834266E9</v>
      </c>
      <c r="D525" s="66"/>
      <c r="E525" s="20"/>
      <c r="F525" s="19"/>
      <c r="G525" s="19"/>
      <c r="H525" s="19"/>
      <c r="I525" s="19"/>
      <c r="J525" s="26"/>
      <c r="K525" s="26" t="s">
        <v>1563</v>
      </c>
      <c r="L525" s="19"/>
      <c r="M525" s="19"/>
      <c r="N525" s="21"/>
      <c r="O525" s="20"/>
      <c r="P525" s="43"/>
      <c r="Q525" s="19"/>
      <c r="R525" s="19"/>
      <c r="S525" s="20"/>
      <c r="T525" s="19"/>
      <c r="U525" s="20"/>
      <c r="V525" s="19"/>
      <c r="W525" s="26"/>
      <c r="X525" s="20"/>
      <c r="Y525" s="20"/>
      <c r="Z525" s="20"/>
      <c r="AA525" s="26"/>
      <c r="AB525" s="28"/>
      <c r="AC525" s="24"/>
      <c r="AD525" s="24"/>
    </row>
    <row r="526">
      <c r="A526" s="25"/>
      <c r="B526" s="17" t="s">
        <v>1585</v>
      </c>
      <c r="C526" s="17">
        <v>6.207400315E9</v>
      </c>
      <c r="D526" s="66"/>
      <c r="E526" s="20"/>
      <c r="F526" s="19"/>
      <c r="G526" s="19"/>
      <c r="H526" s="19"/>
      <c r="I526" s="19"/>
      <c r="J526" s="26"/>
      <c r="K526" s="26" t="s">
        <v>1563</v>
      </c>
      <c r="L526" s="19"/>
      <c r="M526" s="19"/>
      <c r="N526" s="21"/>
      <c r="O526" s="20"/>
      <c r="P526" s="43"/>
      <c r="Q526" s="19"/>
      <c r="R526" s="19"/>
      <c r="S526" s="20"/>
      <c r="T526" s="19"/>
      <c r="U526" s="20"/>
      <c r="V526" s="19"/>
      <c r="W526" s="26"/>
      <c r="X526" s="20"/>
      <c r="Y526" s="20"/>
      <c r="Z526" s="20"/>
      <c r="AA526" s="26"/>
      <c r="AB526" s="28"/>
      <c r="AC526" s="24"/>
      <c r="AD526" s="24"/>
    </row>
    <row r="527">
      <c r="A527" s="25"/>
      <c r="B527" s="17" t="s">
        <v>1586</v>
      </c>
      <c r="C527" s="17">
        <v>7.808261928E9</v>
      </c>
      <c r="D527" s="66"/>
      <c r="E527" s="20"/>
      <c r="F527" s="19"/>
      <c r="G527" s="19"/>
      <c r="H527" s="19"/>
      <c r="I527" s="19"/>
      <c r="J527" s="26"/>
      <c r="K527" s="26" t="s">
        <v>1563</v>
      </c>
      <c r="L527" s="19"/>
      <c r="M527" s="19"/>
      <c r="N527" s="21"/>
      <c r="O527" s="20"/>
      <c r="P527" s="43"/>
      <c r="Q527" s="19"/>
      <c r="R527" s="19"/>
      <c r="S527" s="20"/>
      <c r="T527" s="19"/>
      <c r="U527" s="20"/>
      <c r="V527" s="19"/>
      <c r="W527" s="26"/>
      <c r="X527" s="20"/>
      <c r="Y527" s="20"/>
      <c r="Z527" s="20"/>
      <c r="AA527" s="26"/>
      <c r="AB527" s="28"/>
      <c r="AC527" s="24"/>
      <c r="AD527" s="24"/>
    </row>
    <row r="528">
      <c r="A528" s="25"/>
      <c r="B528" s="17" t="s">
        <v>1587</v>
      </c>
      <c r="C528" s="17">
        <v>9.771401335E9</v>
      </c>
      <c r="D528" s="66"/>
      <c r="E528" s="20"/>
      <c r="F528" s="19"/>
      <c r="G528" s="19"/>
      <c r="H528" s="19"/>
      <c r="I528" s="19"/>
      <c r="J528" s="26"/>
      <c r="K528" s="26" t="s">
        <v>1563</v>
      </c>
      <c r="L528" s="19"/>
      <c r="M528" s="19"/>
      <c r="N528" s="21"/>
      <c r="O528" s="20"/>
      <c r="P528" s="43"/>
      <c r="Q528" s="19"/>
      <c r="R528" s="19"/>
      <c r="S528" s="20"/>
      <c r="T528" s="19"/>
      <c r="U528" s="20"/>
      <c r="V528" s="19"/>
      <c r="W528" s="26"/>
      <c r="X528" s="20"/>
      <c r="Y528" s="20"/>
      <c r="Z528" s="20"/>
      <c r="AA528" s="26"/>
      <c r="AB528" s="28"/>
      <c r="AC528" s="24"/>
      <c r="AD528" s="24"/>
    </row>
    <row r="529">
      <c r="A529" s="25"/>
      <c r="B529" s="17" t="s">
        <v>1588</v>
      </c>
      <c r="C529" s="17">
        <v>9.83532507E9</v>
      </c>
      <c r="D529" s="66"/>
      <c r="E529" s="20"/>
      <c r="F529" s="19"/>
      <c r="G529" s="19"/>
      <c r="H529" s="19"/>
      <c r="I529" s="19"/>
      <c r="J529" s="26"/>
      <c r="K529" s="26" t="s">
        <v>1563</v>
      </c>
      <c r="L529" s="19"/>
      <c r="M529" s="19"/>
      <c r="N529" s="21"/>
      <c r="O529" s="20"/>
      <c r="P529" s="43"/>
      <c r="Q529" s="19"/>
      <c r="R529" s="19"/>
      <c r="S529" s="20"/>
      <c r="T529" s="19"/>
      <c r="U529" s="20"/>
      <c r="V529" s="19"/>
      <c r="W529" s="26"/>
      <c r="X529" s="20"/>
      <c r="Y529" s="20"/>
      <c r="Z529" s="20"/>
      <c r="AA529" s="26"/>
      <c r="AB529" s="28"/>
      <c r="AC529" s="24"/>
      <c r="AD529" s="24"/>
    </row>
    <row r="530">
      <c r="A530" s="25"/>
      <c r="B530" s="17" t="s">
        <v>1589</v>
      </c>
      <c r="C530" s="17">
        <v>9.693167773E9</v>
      </c>
      <c r="D530" s="66"/>
      <c r="E530" s="20"/>
      <c r="F530" s="19"/>
      <c r="G530" s="19"/>
      <c r="H530" s="19"/>
      <c r="I530" s="19"/>
      <c r="J530" s="26"/>
      <c r="K530" s="26" t="s">
        <v>1563</v>
      </c>
      <c r="L530" s="19"/>
      <c r="M530" s="19"/>
      <c r="N530" s="21"/>
      <c r="O530" s="20"/>
      <c r="P530" s="43"/>
      <c r="Q530" s="19"/>
      <c r="R530" s="19"/>
      <c r="S530" s="20"/>
      <c r="T530" s="19"/>
      <c r="U530" s="20"/>
      <c r="V530" s="19"/>
      <c r="W530" s="26"/>
      <c r="X530" s="20"/>
      <c r="Y530" s="20"/>
      <c r="Z530" s="20"/>
      <c r="AA530" s="26"/>
      <c r="AB530" s="28"/>
      <c r="AC530" s="24"/>
      <c r="AD530" s="24"/>
    </row>
    <row r="531">
      <c r="A531" s="25"/>
      <c r="B531" s="17" t="s">
        <v>1575</v>
      </c>
      <c r="C531" s="17">
        <v>9.128284927E9</v>
      </c>
      <c r="D531" s="66"/>
      <c r="E531" s="20"/>
      <c r="F531" s="19"/>
      <c r="G531" s="19"/>
      <c r="H531" s="19"/>
      <c r="I531" s="19"/>
      <c r="J531" s="26"/>
      <c r="K531" s="26" t="s">
        <v>1563</v>
      </c>
      <c r="L531" s="19"/>
      <c r="M531" s="19"/>
      <c r="N531" s="21"/>
      <c r="O531" s="20"/>
      <c r="P531" s="43"/>
      <c r="Q531" s="19"/>
      <c r="R531" s="19"/>
      <c r="S531" s="20"/>
      <c r="T531" s="19"/>
      <c r="U531" s="20"/>
      <c r="V531" s="19"/>
      <c r="W531" s="26"/>
      <c r="X531" s="20"/>
      <c r="Y531" s="20"/>
      <c r="Z531" s="20"/>
      <c r="AA531" s="26"/>
      <c r="AB531" s="28"/>
      <c r="AC531" s="24"/>
      <c r="AD531" s="24"/>
    </row>
    <row r="532">
      <c r="A532" s="25"/>
      <c r="B532" s="17" t="s">
        <v>1590</v>
      </c>
      <c r="C532" s="17">
        <v>6.20187146E9</v>
      </c>
      <c r="D532" s="66"/>
      <c r="E532" s="20"/>
      <c r="F532" s="19"/>
      <c r="G532" s="19"/>
      <c r="H532" s="19"/>
      <c r="I532" s="19"/>
      <c r="J532" s="26"/>
      <c r="K532" s="26" t="s">
        <v>1563</v>
      </c>
      <c r="L532" s="19"/>
      <c r="M532" s="19"/>
      <c r="N532" s="21"/>
      <c r="O532" s="20"/>
      <c r="P532" s="43"/>
      <c r="Q532" s="19"/>
      <c r="R532" s="19"/>
      <c r="S532" s="20"/>
      <c r="T532" s="19"/>
      <c r="U532" s="20"/>
      <c r="V532" s="19"/>
      <c r="W532" s="26"/>
      <c r="X532" s="20"/>
      <c r="Y532" s="20"/>
      <c r="Z532" s="20"/>
      <c r="AA532" s="26"/>
      <c r="AB532" s="28"/>
      <c r="AC532" s="24"/>
      <c r="AD532" s="24"/>
    </row>
    <row r="533">
      <c r="A533" s="25"/>
      <c r="B533" s="17" t="s">
        <v>1591</v>
      </c>
      <c r="C533" s="17">
        <v>8.809420961E9</v>
      </c>
      <c r="D533" s="66"/>
      <c r="E533" s="20"/>
      <c r="F533" s="19"/>
      <c r="G533" s="19"/>
      <c r="H533" s="19"/>
      <c r="I533" s="19"/>
      <c r="J533" s="26"/>
      <c r="K533" s="26" t="s">
        <v>1563</v>
      </c>
      <c r="L533" s="19"/>
      <c r="M533" s="19"/>
      <c r="N533" s="21"/>
      <c r="O533" s="20"/>
      <c r="P533" s="43"/>
      <c r="Q533" s="19"/>
      <c r="R533" s="19"/>
      <c r="S533" s="20"/>
      <c r="T533" s="19"/>
      <c r="U533" s="20"/>
      <c r="V533" s="19"/>
      <c r="W533" s="26"/>
      <c r="X533" s="20"/>
      <c r="Y533" s="20"/>
      <c r="Z533" s="20"/>
      <c r="AA533" s="26"/>
      <c r="AB533" s="28"/>
      <c r="AC533" s="24"/>
      <c r="AD533" s="24"/>
    </row>
    <row r="534">
      <c r="A534" s="25"/>
      <c r="B534" s="17" t="s">
        <v>1592</v>
      </c>
      <c r="C534" s="17">
        <v>8.298619559E9</v>
      </c>
      <c r="D534" s="66"/>
      <c r="E534" s="20"/>
      <c r="F534" s="19"/>
      <c r="G534" s="19"/>
      <c r="H534" s="19"/>
      <c r="I534" s="19"/>
      <c r="J534" s="26"/>
      <c r="K534" s="26" t="s">
        <v>1563</v>
      </c>
      <c r="L534" s="19"/>
      <c r="M534" s="19"/>
      <c r="N534" s="21"/>
      <c r="O534" s="20"/>
      <c r="P534" s="43"/>
      <c r="Q534" s="19"/>
      <c r="R534" s="19"/>
      <c r="S534" s="20"/>
      <c r="T534" s="19"/>
      <c r="U534" s="20"/>
      <c r="V534" s="19"/>
      <c r="W534" s="26"/>
      <c r="X534" s="20"/>
      <c r="Y534" s="20"/>
      <c r="Z534" s="20"/>
      <c r="AA534" s="26"/>
      <c r="AB534" s="28"/>
      <c r="AC534" s="24"/>
      <c r="AD534" s="24"/>
    </row>
    <row r="535">
      <c r="A535" s="25"/>
      <c r="B535" s="17" t="s">
        <v>1593</v>
      </c>
      <c r="C535" s="17">
        <v>8.789226099E9</v>
      </c>
      <c r="D535" s="66"/>
      <c r="E535" s="20"/>
      <c r="F535" s="19"/>
      <c r="G535" s="19"/>
      <c r="H535" s="19"/>
      <c r="I535" s="19"/>
      <c r="J535" s="26"/>
      <c r="K535" s="26" t="s">
        <v>1563</v>
      </c>
      <c r="L535" s="19"/>
      <c r="M535" s="19"/>
      <c r="N535" s="21"/>
      <c r="O535" s="20"/>
      <c r="P535" s="43"/>
      <c r="Q535" s="19"/>
      <c r="R535" s="19"/>
      <c r="S535" s="20"/>
      <c r="T535" s="19"/>
      <c r="U535" s="20"/>
      <c r="V535" s="19"/>
      <c r="W535" s="26"/>
      <c r="X535" s="20"/>
      <c r="Y535" s="20"/>
      <c r="Z535" s="20"/>
      <c r="AA535" s="26"/>
      <c r="AB535" s="28"/>
      <c r="AC535" s="24"/>
      <c r="AD535" s="24"/>
    </row>
    <row r="536">
      <c r="A536" s="25"/>
      <c r="B536" s="17" t="s">
        <v>56</v>
      </c>
      <c r="C536" s="17">
        <v>8.804532173E9</v>
      </c>
      <c r="D536" s="66"/>
      <c r="E536" s="20"/>
      <c r="F536" s="19"/>
      <c r="G536" s="19"/>
      <c r="H536" s="19"/>
      <c r="I536" s="19"/>
      <c r="J536" s="26"/>
      <c r="K536" s="26" t="s">
        <v>1563</v>
      </c>
      <c r="L536" s="19"/>
      <c r="M536" s="19"/>
      <c r="N536" s="21"/>
      <c r="O536" s="20"/>
      <c r="P536" s="43"/>
      <c r="Q536" s="19"/>
      <c r="R536" s="19"/>
      <c r="S536" s="20"/>
      <c r="T536" s="19"/>
      <c r="U536" s="20"/>
      <c r="V536" s="19"/>
      <c r="W536" s="26"/>
      <c r="X536" s="20"/>
      <c r="Y536" s="20"/>
      <c r="Z536" s="20"/>
      <c r="AA536" s="26"/>
      <c r="AB536" s="28"/>
      <c r="AC536" s="24"/>
      <c r="AD536" s="24"/>
    </row>
    <row r="537">
      <c r="A537" s="25"/>
      <c r="B537" s="17" t="s">
        <v>1594</v>
      </c>
      <c r="C537" s="17">
        <v>8.002438548E9</v>
      </c>
      <c r="D537" s="66"/>
      <c r="E537" s="20"/>
      <c r="F537" s="19"/>
      <c r="G537" s="19"/>
      <c r="H537" s="19"/>
      <c r="I537" s="19"/>
      <c r="J537" s="26"/>
      <c r="K537" s="26" t="s">
        <v>1563</v>
      </c>
      <c r="L537" s="19"/>
      <c r="M537" s="19"/>
      <c r="N537" s="21"/>
      <c r="O537" s="20"/>
      <c r="P537" s="43"/>
      <c r="Q537" s="19"/>
      <c r="R537" s="19"/>
      <c r="S537" s="20"/>
      <c r="T537" s="19"/>
      <c r="U537" s="20"/>
      <c r="V537" s="19"/>
      <c r="W537" s="26"/>
      <c r="X537" s="20"/>
      <c r="Y537" s="20"/>
      <c r="Z537" s="20"/>
      <c r="AA537" s="26"/>
      <c r="AB537" s="28"/>
      <c r="AC537" s="24"/>
      <c r="AD537" s="24"/>
    </row>
    <row r="538">
      <c r="A538" s="25"/>
      <c r="B538" s="17" t="s">
        <v>1595</v>
      </c>
      <c r="C538" s="17">
        <v>8.75747394E9</v>
      </c>
      <c r="D538" s="66"/>
      <c r="E538" s="20"/>
      <c r="F538" s="19"/>
      <c r="G538" s="19"/>
      <c r="H538" s="19"/>
      <c r="I538" s="19"/>
      <c r="J538" s="26"/>
      <c r="K538" s="26" t="s">
        <v>1563</v>
      </c>
      <c r="L538" s="19"/>
      <c r="M538" s="19"/>
      <c r="N538" s="21"/>
      <c r="O538" s="20"/>
      <c r="P538" s="43"/>
      <c r="Q538" s="19"/>
      <c r="R538" s="19"/>
      <c r="S538" s="20"/>
      <c r="T538" s="19"/>
      <c r="U538" s="20"/>
      <c r="V538" s="19"/>
      <c r="W538" s="26"/>
      <c r="X538" s="20"/>
      <c r="Y538" s="20"/>
      <c r="Z538" s="20"/>
      <c r="AA538" s="26"/>
      <c r="AB538" s="28"/>
      <c r="AC538" s="24"/>
      <c r="AD538" s="24"/>
    </row>
    <row r="539">
      <c r="A539" s="25"/>
      <c r="B539" s="17" t="s">
        <v>1596</v>
      </c>
      <c r="C539" s="17">
        <v>8.292213428E9</v>
      </c>
      <c r="D539" s="66"/>
      <c r="E539" s="20"/>
      <c r="F539" s="19"/>
      <c r="G539" s="19"/>
      <c r="H539" s="19"/>
      <c r="I539" s="19"/>
      <c r="J539" s="26"/>
      <c r="K539" s="26" t="s">
        <v>1563</v>
      </c>
      <c r="L539" s="19"/>
      <c r="M539" s="19"/>
      <c r="N539" s="21"/>
      <c r="O539" s="20"/>
      <c r="P539" s="43"/>
      <c r="Q539" s="19"/>
      <c r="R539" s="19"/>
      <c r="S539" s="20"/>
      <c r="T539" s="19"/>
      <c r="U539" s="20"/>
      <c r="V539" s="19"/>
      <c r="W539" s="26"/>
      <c r="X539" s="20"/>
      <c r="Y539" s="20"/>
      <c r="Z539" s="20"/>
      <c r="AA539" s="26"/>
      <c r="AB539" s="28"/>
      <c r="AC539" s="24"/>
      <c r="AD539" s="24"/>
    </row>
    <row r="540">
      <c r="A540" s="25"/>
      <c r="B540" s="17" t="s">
        <v>1597</v>
      </c>
      <c r="C540" s="17">
        <v>8.294235217E9</v>
      </c>
      <c r="D540" s="66"/>
      <c r="E540" s="20"/>
      <c r="F540" s="19"/>
      <c r="G540" s="19"/>
      <c r="H540" s="19"/>
      <c r="I540" s="19"/>
      <c r="J540" s="26"/>
      <c r="K540" s="26" t="s">
        <v>1563</v>
      </c>
      <c r="L540" s="19"/>
      <c r="M540" s="19"/>
      <c r="N540" s="21"/>
      <c r="O540" s="20"/>
      <c r="P540" s="43"/>
      <c r="Q540" s="19"/>
      <c r="R540" s="19"/>
      <c r="S540" s="20"/>
      <c r="T540" s="19"/>
      <c r="U540" s="20"/>
      <c r="V540" s="19"/>
      <c r="W540" s="26"/>
      <c r="X540" s="20"/>
      <c r="Y540" s="20"/>
      <c r="Z540" s="20"/>
      <c r="AA540" s="26"/>
      <c r="AB540" s="28"/>
      <c r="AC540" s="24"/>
      <c r="AD540" s="24"/>
    </row>
    <row r="541">
      <c r="A541" s="25"/>
      <c r="B541" s="17" t="s">
        <v>1598</v>
      </c>
      <c r="C541" s="17">
        <v>9.162243414E9</v>
      </c>
      <c r="D541" s="66"/>
      <c r="E541" s="20"/>
      <c r="F541" s="19"/>
      <c r="G541" s="19"/>
      <c r="H541" s="19"/>
      <c r="I541" s="19"/>
      <c r="J541" s="26"/>
      <c r="K541" s="26" t="s">
        <v>1563</v>
      </c>
      <c r="L541" s="19"/>
      <c r="M541" s="19"/>
      <c r="N541" s="21"/>
      <c r="O541" s="20"/>
      <c r="P541" s="43"/>
      <c r="Q541" s="19"/>
      <c r="R541" s="19"/>
      <c r="S541" s="20"/>
      <c r="T541" s="19"/>
      <c r="U541" s="20"/>
      <c r="V541" s="19"/>
      <c r="W541" s="26"/>
      <c r="X541" s="20"/>
      <c r="Y541" s="20"/>
      <c r="Z541" s="20"/>
      <c r="AA541" s="26"/>
      <c r="AB541" s="28"/>
      <c r="AC541" s="24"/>
      <c r="AD541" s="24"/>
    </row>
    <row r="542">
      <c r="A542" s="25"/>
      <c r="B542" s="17" t="s">
        <v>1599</v>
      </c>
      <c r="C542" s="17">
        <v>6.20331204E9</v>
      </c>
      <c r="D542" s="66"/>
      <c r="E542" s="20"/>
      <c r="F542" s="19"/>
      <c r="G542" s="19"/>
      <c r="H542" s="19"/>
      <c r="I542" s="19"/>
      <c r="J542" s="26"/>
      <c r="K542" s="26" t="s">
        <v>1563</v>
      </c>
      <c r="L542" s="19"/>
      <c r="M542" s="19"/>
      <c r="N542" s="21"/>
      <c r="O542" s="20"/>
      <c r="P542" s="43"/>
      <c r="Q542" s="19"/>
      <c r="R542" s="19"/>
      <c r="S542" s="20"/>
      <c r="T542" s="19"/>
      <c r="U542" s="20"/>
      <c r="V542" s="19"/>
      <c r="W542" s="26"/>
      <c r="X542" s="20"/>
      <c r="Y542" s="20"/>
      <c r="Z542" s="20"/>
      <c r="AA542" s="26"/>
      <c r="AB542" s="28"/>
      <c r="AC542" s="24"/>
      <c r="AD542" s="24"/>
    </row>
    <row r="543">
      <c r="A543" s="25"/>
      <c r="B543" s="17" t="s">
        <v>1600</v>
      </c>
      <c r="C543" s="17">
        <v>7.352752311E9</v>
      </c>
      <c r="D543" s="66"/>
      <c r="E543" s="20"/>
      <c r="F543" s="19"/>
      <c r="G543" s="19"/>
      <c r="H543" s="19"/>
      <c r="I543" s="19"/>
      <c r="J543" s="26"/>
      <c r="K543" s="26" t="s">
        <v>1563</v>
      </c>
      <c r="L543" s="19"/>
      <c r="M543" s="19"/>
      <c r="N543" s="21"/>
      <c r="O543" s="20"/>
      <c r="P543" s="43"/>
      <c r="Q543" s="19"/>
      <c r="R543" s="19"/>
      <c r="S543" s="20"/>
      <c r="T543" s="19"/>
      <c r="U543" s="20"/>
      <c r="V543" s="19"/>
      <c r="W543" s="26"/>
      <c r="X543" s="20"/>
      <c r="Y543" s="20"/>
      <c r="Z543" s="20"/>
      <c r="AA543" s="26"/>
      <c r="AB543" s="28"/>
      <c r="AC543" s="24"/>
      <c r="AD543" s="24"/>
    </row>
    <row r="544">
      <c r="A544" s="25"/>
      <c r="B544" s="17" t="s">
        <v>1588</v>
      </c>
      <c r="C544" s="17">
        <v>9.631226508E9</v>
      </c>
      <c r="D544" s="66"/>
      <c r="E544" s="20"/>
      <c r="F544" s="19"/>
      <c r="G544" s="19"/>
      <c r="H544" s="19"/>
      <c r="I544" s="19"/>
      <c r="J544" s="26"/>
      <c r="K544" s="26" t="s">
        <v>1563</v>
      </c>
      <c r="L544" s="19"/>
      <c r="M544" s="19"/>
      <c r="N544" s="21"/>
      <c r="O544" s="20"/>
      <c r="P544" s="43"/>
      <c r="Q544" s="19"/>
      <c r="R544" s="19"/>
      <c r="S544" s="20"/>
      <c r="T544" s="19"/>
      <c r="U544" s="20"/>
      <c r="V544" s="19"/>
      <c r="W544" s="26"/>
      <c r="X544" s="20"/>
      <c r="Y544" s="20"/>
      <c r="Z544" s="20"/>
      <c r="AA544" s="26"/>
      <c r="AB544" s="28"/>
      <c r="AC544" s="24"/>
      <c r="AD544" s="24"/>
    </row>
    <row r="545">
      <c r="A545" s="25"/>
      <c r="B545" s="17" t="s">
        <v>1601</v>
      </c>
      <c r="C545" s="17">
        <v>9.523487308E9</v>
      </c>
      <c r="D545" s="66"/>
      <c r="E545" s="20"/>
      <c r="F545" s="19"/>
      <c r="G545" s="19"/>
      <c r="H545" s="19"/>
      <c r="I545" s="19"/>
      <c r="J545" s="26"/>
      <c r="K545" s="26" t="s">
        <v>1563</v>
      </c>
      <c r="L545" s="19"/>
      <c r="M545" s="19"/>
      <c r="N545" s="21"/>
      <c r="O545" s="20"/>
      <c r="P545" s="43"/>
      <c r="Q545" s="19"/>
      <c r="R545" s="19"/>
      <c r="S545" s="20"/>
      <c r="T545" s="19"/>
      <c r="U545" s="20"/>
      <c r="V545" s="19"/>
      <c r="W545" s="26"/>
      <c r="X545" s="20"/>
      <c r="Y545" s="20"/>
      <c r="Z545" s="20"/>
      <c r="AA545" s="26"/>
      <c r="AB545" s="28"/>
      <c r="AC545" s="24"/>
      <c r="AD545" s="24"/>
    </row>
    <row r="546">
      <c r="A546" s="25"/>
      <c r="B546" s="17" t="s">
        <v>1602</v>
      </c>
      <c r="C546" s="17">
        <v>7.870392175E9</v>
      </c>
      <c r="D546" s="66"/>
      <c r="E546" s="20"/>
      <c r="F546" s="19"/>
      <c r="G546" s="19"/>
      <c r="H546" s="19"/>
      <c r="I546" s="19"/>
      <c r="J546" s="26"/>
      <c r="K546" s="26" t="s">
        <v>1563</v>
      </c>
      <c r="L546" s="19"/>
      <c r="M546" s="19"/>
      <c r="N546" s="21"/>
      <c r="O546" s="20"/>
      <c r="P546" s="43"/>
      <c r="Q546" s="19"/>
      <c r="R546" s="19"/>
      <c r="S546" s="20"/>
      <c r="T546" s="19"/>
      <c r="U546" s="20"/>
      <c r="V546" s="19"/>
      <c r="W546" s="26"/>
      <c r="X546" s="20"/>
      <c r="Y546" s="20"/>
      <c r="Z546" s="20"/>
      <c r="AA546" s="26"/>
      <c r="AB546" s="28"/>
      <c r="AC546" s="24"/>
      <c r="AD546" s="24"/>
    </row>
    <row r="547">
      <c r="A547" s="25"/>
      <c r="B547" s="17" t="s">
        <v>1603</v>
      </c>
      <c r="C547" s="17">
        <v>7.563054235E9</v>
      </c>
      <c r="D547" s="66"/>
      <c r="E547" s="20"/>
      <c r="F547" s="19"/>
      <c r="G547" s="19"/>
      <c r="H547" s="19"/>
      <c r="I547" s="19"/>
      <c r="J547" s="26"/>
      <c r="K547" s="26" t="s">
        <v>1563</v>
      </c>
      <c r="L547" s="19"/>
      <c r="M547" s="19"/>
      <c r="N547" s="21"/>
      <c r="O547" s="20"/>
      <c r="P547" s="43"/>
      <c r="Q547" s="19"/>
      <c r="R547" s="19"/>
      <c r="S547" s="20"/>
      <c r="T547" s="19"/>
      <c r="U547" s="20"/>
      <c r="V547" s="19"/>
      <c r="W547" s="26"/>
      <c r="X547" s="20"/>
      <c r="Y547" s="20"/>
      <c r="Z547" s="20"/>
      <c r="AA547" s="26"/>
      <c r="AB547" s="28"/>
      <c r="AC547" s="24"/>
      <c r="AD547" s="24"/>
    </row>
    <row r="548">
      <c r="A548" s="25"/>
      <c r="B548" s="17" t="s">
        <v>53</v>
      </c>
      <c r="C548" s="17">
        <v>7.004656149E9</v>
      </c>
      <c r="D548" s="66"/>
      <c r="E548" s="20"/>
      <c r="F548" s="19"/>
      <c r="G548" s="19"/>
      <c r="H548" s="19"/>
      <c r="I548" s="19"/>
      <c r="J548" s="26"/>
      <c r="K548" s="26" t="s">
        <v>1563</v>
      </c>
      <c r="L548" s="19"/>
      <c r="M548" s="19"/>
      <c r="N548" s="21"/>
      <c r="O548" s="20"/>
      <c r="P548" s="43"/>
      <c r="Q548" s="19"/>
      <c r="R548" s="19"/>
      <c r="S548" s="20"/>
      <c r="T548" s="19"/>
      <c r="U548" s="20"/>
      <c r="V548" s="19"/>
      <c r="W548" s="26"/>
      <c r="X548" s="20"/>
      <c r="Y548" s="20"/>
      <c r="Z548" s="20"/>
      <c r="AA548" s="26"/>
      <c r="AB548" s="28"/>
      <c r="AC548" s="24"/>
      <c r="AD548" s="24"/>
    </row>
    <row r="549">
      <c r="A549" s="25"/>
      <c r="B549" s="17" t="s">
        <v>1604</v>
      </c>
      <c r="C549" s="17">
        <v>6.207258153E9</v>
      </c>
      <c r="D549" s="66"/>
      <c r="E549" s="20"/>
      <c r="F549" s="19"/>
      <c r="G549" s="19"/>
      <c r="H549" s="19"/>
      <c r="I549" s="19"/>
      <c r="J549" s="26"/>
      <c r="K549" s="26" t="s">
        <v>1563</v>
      </c>
      <c r="L549" s="19"/>
      <c r="M549" s="19"/>
      <c r="N549" s="21"/>
      <c r="O549" s="20"/>
      <c r="P549" s="43"/>
      <c r="Q549" s="19"/>
      <c r="R549" s="19"/>
      <c r="S549" s="20"/>
      <c r="T549" s="19"/>
      <c r="U549" s="20"/>
      <c r="V549" s="19"/>
      <c r="W549" s="26"/>
      <c r="X549" s="20"/>
      <c r="Y549" s="20"/>
      <c r="Z549" s="20"/>
      <c r="AA549" s="26"/>
      <c r="AB549" s="28"/>
      <c r="AC549" s="24"/>
      <c r="AD549" s="24"/>
    </row>
    <row r="550">
      <c r="A550" s="25"/>
      <c r="B550" s="17" t="s">
        <v>1605</v>
      </c>
      <c r="C550" s="17">
        <v>9.162095813E9</v>
      </c>
      <c r="D550" s="66"/>
      <c r="E550" s="20"/>
      <c r="F550" s="19"/>
      <c r="G550" s="19"/>
      <c r="H550" s="19"/>
      <c r="I550" s="19"/>
      <c r="J550" s="26"/>
      <c r="K550" s="26" t="s">
        <v>1563</v>
      </c>
      <c r="L550" s="19"/>
      <c r="M550" s="19"/>
      <c r="N550" s="21"/>
      <c r="O550" s="20"/>
      <c r="P550" s="43"/>
      <c r="Q550" s="19"/>
      <c r="R550" s="19"/>
      <c r="S550" s="20"/>
      <c r="T550" s="19"/>
      <c r="U550" s="20"/>
      <c r="V550" s="19"/>
      <c r="W550" s="26"/>
      <c r="X550" s="20"/>
      <c r="Y550" s="20"/>
      <c r="Z550" s="20"/>
      <c r="AA550" s="26"/>
      <c r="AB550" s="28"/>
      <c r="AC550" s="24"/>
      <c r="AD550" s="24"/>
    </row>
    <row r="551">
      <c r="A551" s="25"/>
      <c r="B551" s="17" t="s">
        <v>311</v>
      </c>
      <c r="C551" s="67">
        <v>9.931909862E9</v>
      </c>
      <c r="D551" s="66"/>
      <c r="E551" s="20"/>
      <c r="F551" s="19"/>
      <c r="G551" s="19"/>
      <c r="H551" s="19"/>
      <c r="I551" s="19"/>
      <c r="J551" s="26"/>
      <c r="K551" s="26" t="s">
        <v>1563</v>
      </c>
      <c r="L551" s="19"/>
      <c r="M551" s="19"/>
      <c r="N551" s="21"/>
      <c r="O551" s="20"/>
      <c r="P551" s="43"/>
      <c r="Q551" s="19"/>
      <c r="R551" s="19"/>
      <c r="S551" s="20"/>
      <c r="T551" s="19"/>
      <c r="U551" s="20"/>
      <c r="V551" s="19"/>
      <c r="W551" s="26"/>
      <c r="X551" s="20"/>
      <c r="Y551" s="20"/>
      <c r="Z551" s="20"/>
      <c r="AA551" s="26"/>
      <c r="AB551" s="28"/>
      <c r="AC551" s="24"/>
      <c r="AD551" s="24"/>
    </row>
    <row r="552">
      <c r="A552" s="25"/>
      <c r="B552" s="17" t="s">
        <v>1606</v>
      </c>
      <c r="C552" s="67">
        <v>9.065679015E9</v>
      </c>
      <c r="D552" s="66"/>
      <c r="E552" s="20"/>
      <c r="F552" s="19"/>
      <c r="G552" s="19"/>
      <c r="H552" s="19"/>
      <c r="I552" s="19"/>
      <c r="J552" s="26"/>
      <c r="K552" s="26" t="s">
        <v>1563</v>
      </c>
      <c r="L552" s="19"/>
      <c r="M552" s="19"/>
      <c r="N552" s="21"/>
      <c r="O552" s="20"/>
      <c r="P552" s="43"/>
      <c r="Q552" s="19"/>
      <c r="R552" s="19"/>
      <c r="S552" s="20"/>
      <c r="T552" s="19"/>
      <c r="U552" s="20"/>
      <c r="V552" s="19"/>
      <c r="W552" s="26"/>
      <c r="X552" s="20"/>
      <c r="Y552" s="20"/>
      <c r="Z552" s="20"/>
      <c r="AA552" s="26"/>
      <c r="AB552" s="28"/>
      <c r="AC552" s="24"/>
      <c r="AD552" s="24"/>
    </row>
    <row r="553">
      <c r="A553" s="25"/>
      <c r="B553" s="17" t="s">
        <v>1607</v>
      </c>
      <c r="C553" s="67">
        <v>7.654708253E9</v>
      </c>
      <c r="D553" s="66"/>
      <c r="E553" s="20"/>
      <c r="F553" s="19"/>
      <c r="G553" s="19"/>
      <c r="H553" s="19"/>
      <c r="I553" s="19"/>
      <c r="J553" s="26"/>
      <c r="K553" s="26" t="s">
        <v>1563</v>
      </c>
      <c r="L553" s="19"/>
      <c r="M553" s="19"/>
      <c r="N553" s="21"/>
      <c r="O553" s="20"/>
      <c r="P553" s="43"/>
      <c r="Q553" s="19"/>
      <c r="R553" s="19"/>
      <c r="S553" s="20"/>
      <c r="T553" s="19"/>
      <c r="U553" s="20"/>
      <c r="V553" s="19"/>
      <c r="W553" s="26"/>
      <c r="X553" s="20"/>
      <c r="Y553" s="20"/>
      <c r="Z553" s="20"/>
      <c r="AA553" s="26"/>
      <c r="AB553" s="28"/>
      <c r="AC553" s="24"/>
      <c r="AD553" s="24"/>
    </row>
    <row r="554">
      <c r="A554" s="25"/>
      <c r="B554" s="17" t="s">
        <v>1608</v>
      </c>
      <c r="C554" s="67">
        <v>9.117438796E9</v>
      </c>
      <c r="D554" s="66"/>
      <c r="E554" s="20"/>
      <c r="F554" s="19"/>
      <c r="G554" s="19"/>
      <c r="H554" s="19"/>
      <c r="I554" s="19"/>
      <c r="J554" s="26"/>
      <c r="K554" s="26" t="s">
        <v>1563</v>
      </c>
      <c r="L554" s="19"/>
      <c r="M554" s="19"/>
      <c r="N554" s="21"/>
      <c r="O554" s="20"/>
      <c r="P554" s="43"/>
      <c r="Q554" s="19"/>
      <c r="R554" s="19"/>
      <c r="S554" s="20"/>
      <c r="T554" s="19"/>
      <c r="U554" s="20"/>
      <c r="V554" s="19"/>
      <c r="W554" s="26"/>
      <c r="X554" s="20"/>
      <c r="Y554" s="20"/>
      <c r="Z554" s="20"/>
      <c r="AA554" s="26"/>
      <c r="AB554" s="28"/>
      <c r="AC554" s="24"/>
      <c r="AD554" s="24"/>
    </row>
    <row r="555">
      <c r="A555" s="25"/>
      <c r="B555" s="17" t="s">
        <v>1609</v>
      </c>
      <c r="C555" s="67">
        <v>9.631510579E9</v>
      </c>
      <c r="D555" s="66"/>
      <c r="E555" s="20"/>
      <c r="F555" s="19"/>
      <c r="G555" s="19"/>
      <c r="H555" s="19"/>
      <c r="I555" s="19"/>
      <c r="J555" s="26"/>
      <c r="K555" s="26" t="s">
        <v>1563</v>
      </c>
      <c r="L555" s="19"/>
      <c r="M555" s="19"/>
      <c r="N555" s="21"/>
      <c r="O555" s="20"/>
      <c r="P555" s="43"/>
      <c r="Q555" s="19"/>
      <c r="R555" s="19"/>
      <c r="S555" s="20"/>
      <c r="T555" s="19"/>
      <c r="U555" s="20"/>
      <c r="V555" s="19"/>
      <c r="W555" s="26"/>
      <c r="X555" s="20"/>
      <c r="Y555" s="20"/>
      <c r="Z555" s="20"/>
      <c r="AA555" s="26"/>
      <c r="AB555" s="28"/>
      <c r="AC555" s="24"/>
      <c r="AD555" s="24"/>
    </row>
    <row r="556">
      <c r="A556" s="25"/>
      <c r="B556" s="17" t="s">
        <v>277</v>
      </c>
      <c r="C556" s="67">
        <v>8.102580521E9</v>
      </c>
      <c r="D556" s="66"/>
      <c r="E556" s="20"/>
      <c r="F556" s="19"/>
      <c r="G556" s="19"/>
      <c r="H556" s="19"/>
      <c r="I556" s="19"/>
      <c r="J556" s="26"/>
      <c r="K556" s="26" t="s">
        <v>1563</v>
      </c>
      <c r="L556" s="19"/>
      <c r="M556" s="19"/>
      <c r="N556" s="21"/>
      <c r="O556" s="20"/>
      <c r="P556" s="43"/>
      <c r="Q556" s="19"/>
      <c r="R556" s="19"/>
      <c r="S556" s="20"/>
      <c r="T556" s="19"/>
      <c r="U556" s="20"/>
      <c r="V556" s="19"/>
      <c r="W556" s="26"/>
      <c r="X556" s="20"/>
      <c r="Y556" s="20"/>
      <c r="Z556" s="20"/>
      <c r="AA556" s="26"/>
      <c r="AB556" s="28"/>
      <c r="AC556" s="24"/>
      <c r="AD556" s="24"/>
    </row>
    <row r="557">
      <c r="A557" s="25"/>
      <c r="B557" s="17" t="s">
        <v>1610</v>
      </c>
      <c r="C557" s="67">
        <v>8.490999275E9</v>
      </c>
      <c r="D557" s="66"/>
      <c r="E557" s="20"/>
      <c r="F557" s="19"/>
      <c r="G557" s="19"/>
      <c r="H557" s="19"/>
      <c r="I557" s="19"/>
      <c r="J557" s="26"/>
      <c r="K557" s="26" t="s">
        <v>1563</v>
      </c>
      <c r="L557" s="19"/>
      <c r="M557" s="19"/>
      <c r="N557" s="21"/>
      <c r="O557" s="20"/>
      <c r="P557" s="43"/>
      <c r="Q557" s="19"/>
      <c r="R557" s="19"/>
      <c r="S557" s="20"/>
      <c r="T557" s="19"/>
      <c r="U557" s="20"/>
      <c r="V557" s="19"/>
      <c r="W557" s="26"/>
      <c r="X557" s="20"/>
      <c r="Y557" s="20"/>
      <c r="Z557" s="20"/>
      <c r="AA557" s="26"/>
      <c r="AB557" s="28"/>
      <c r="AC557" s="24"/>
      <c r="AD557" s="24"/>
    </row>
    <row r="558">
      <c r="A558" s="25"/>
      <c r="B558" s="17" t="s">
        <v>1611</v>
      </c>
      <c r="C558" s="67">
        <v>7.294963913E9</v>
      </c>
      <c r="D558" s="66"/>
      <c r="E558" s="20"/>
      <c r="F558" s="19"/>
      <c r="G558" s="19"/>
      <c r="H558" s="19"/>
      <c r="I558" s="19"/>
      <c r="J558" s="26"/>
      <c r="K558" s="26" t="s">
        <v>1563</v>
      </c>
      <c r="L558" s="19"/>
      <c r="M558" s="19"/>
      <c r="N558" s="21"/>
      <c r="O558" s="20"/>
      <c r="P558" s="43"/>
      <c r="Q558" s="19"/>
      <c r="R558" s="19"/>
      <c r="S558" s="20"/>
      <c r="T558" s="19"/>
      <c r="U558" s="20"/>
      <c r="V558" s="19"/>
      <c r="W558" s="26"/>
      <c r="X558" s="20"/>
      <c r="Y558" s="20"/>
      <c r="Z558" s="20"/>
      <c r="AA558" s="26"/>
      <c r="AB558" s="28"/>
      <c r="AC558" s="24"/>
      <c r="AD558" s="24"/>
    </row>
    <row r="559">
      <c r="A559" s="25"/>
      <c r="B559" s="17" t="s">
        <v>1612</v>
      </c>
      <c r="C559" s="67">
        <v>9.30498934E9</v>
      </c>
      <c r="D559" s="66"/>
      <c r="E559" s="20"/>
      <c r="F559" s="19"/>
      <c r="G559" s="19"/>
      <c r="H559" s="19"/>
      <c r="I559" s="19"/>
      <c r="J559" s="26"/>
      <c r="K559" s="26" t="s">
        <v>1563</v>
      </c>
      <c r="L559" s="19"/>
      <c r="M559" s="19"/>
      <c r="N559" s="21"/>
      <c r="O559" s="20"/>
      <c r="P559" s="43"/>
      <c r="Q559" s="19"/>
      <c r="R559" s="19"/>
      <c r="S559" s="20"/>
      <c r="T559" s="19"/>
      <c r="U559" s="20"/>
      <c r="V559" s="19"/>
      <c r="W559" s="26"/>
      <c r="X559" s="20"/>
      <c r="Y559" s="20"/>
      <c r="Z559" s="20"/>
      <c r="AA559" s="26"/>
      <c r="AB559" s="28"/>
      <c r="AC559" s="24"/>
      <c r="AD559" s="24"/>
    </row>
    <row r="560">
      <c r="A560" s="25"/>
      <c r="B560" s="17" t="s">
        <v>1613</v>
      </c>
      <c r="C560" s="67">
        <v>9.315052778E9</v>
      </c>
      <c r="D560" s="66"/>
      <c r="E560" s="20"/>
      <c r="F560" s="19"/>
      <c r="G560" s="19"/>
      <c r="H560" s="19"/>
      <c r="I560" s="19"/>
      <c r="J560" s="26"/>
      <c r="K560" s="26" t="s">
        <v>1563</v>
      </c>
      <c r="L560" s="19"/>
      <c r="M560" s="19"/>
      <c r="N560" s="21"/>
      <c r="O560" s="20"/>
      <c r="P560" s="43"/>
      <c r="Q560" s="19"/>
      <c r="R560" s="19"/>
      <c r="S560" s="20"/>
      <c r="T560" s="19"/>
      <c r="U560" s="20"/>
      <c r="V560" s="19"/>
      <c r="W560" s="26"/>
      <c r="X560" s="20"/>
      <c r="Y560" s="20"/>
      <c r="Z560" s="20"/>
      <c r="AA560" s="26"/>
      <c r="AB560" s="28"/>
      <c r="AC560" s="24"/>
      <c r="AD560" s="24"/>
    </row>
    <row r="561">
      <c r="A561" s="25"/>
      <c r="B561" s="17" t="s">
        <v>1614</v>
      </c>
      <c r="C561" s="67">
        <v>9.9318159E9</v>
      </c>
      <c r="D561" s="66"/>
      <c r="E561" s="20"/>
      <c r="F561" s="19"/>
      <c r="G561" s="19"/>
      <c r="H561" s="19"/>
      <c r="I561" s="19"/>
      <c r="J561" s="26"/>
      <c r="K561" s="26" t="s">
        <v>1563</v>
      </c>
      <c r="L561" s="19"/>
      <c r="M561" s="19"/>
      <c r="N561" s="21"/>
      <c r="O561" s="20"/>
      <c r="P561" s="43"/>
      <c r="Q561" s="19"/>
      <c r="R561" s="19"/>
      <c r="S561" s="20"/>
      <c r="T561" s="19"/>
      <c r="U561" s="20"/>
      <c r="V561" s="19"/>
      <c r="W561" s="26"/>
      <c r="X561" s="20"/>
      <c r="Y561" s="20"/>
      <c r="Z561" s="20"/>
      <c r="AA561" s="26"/>
      <c r="AB561" s="28"/>
      <c r="AC561" s="24"/>
      <c r="AD561" s="24"/>
    </row>
    <row r="562">
      <c r="A562" s="25"/>
      <c r="B562" s="17" t="s">
        <v>1615</v>
      </c>
      <c r="C562" s="67">
        <v>6.200549536E9</v>
      </c>
      <c r="D562" s="66"/>
      <c r="E562" s="20"/>
      <c r="F562" s="19"/>
      <c r="G562" s="19"/>
      <c r="H562" s="19"/>
      <c r="I562" s="19"/>
      <c r="J562" s="26"/>
      <c r="K562" s="26" t="s">
        <v>1563</v>
      </c>
      <c r="L562" s="19"/>
      <c r="M562" s="19"/>
      <c r="N562" s="21"/>
      <c r="O562" s="20"/>
      <c r="P562" s="43"/>
      <c r="Q562" s="19"/>
      <c r="R562" s="19"/>
      <c r="S562" s="20"/>
      <c r="T562" s="19"/>
      <c r="U562" s="20"/>
      <c r="V562" s="19"/>
      <c r="W562" s="26"/>
      <c r="X562" s="20"/>
      <c r="Y562" s="20"/>
      <c r="Z562" s="20"/>
      <c r="AA562" s="26"/>
      <c r="AB562" s="28"/>
      <c r="AC562" s="24"/>
      <c r="AD562" s="24"/>
    </row>
    <row r="563">
      <c r="A563" s="25"/>
      <c r="B563" s="17" t="s">
        <v>239</v>
      </c>
      <c r="C563" s="67">
        <v>9.955579813E9</v>
      </c>
      <c r="D563" s="66"/>
      <c r="E563" s="20"/>
      <c r="F563" s="19"/>
      <c r="G563" s="19"/>
      <c r="H563" s="19"/>
      <c r="I563" s="19"/>
      <c r="J563" s="26"/>
      <c r="K563" s="26" t="s">
        <v>1563</v>
      </c>
      <c r="L563" s="19"/>
      <c r="M563" s="19"/>
      <c r="N563" s="21"/>
      <c r="O563" s="20"/>
      <c r="P563" s="43"/>
      <c r="Q563" s="19"/>
      <c r="R563" s="19"/>
      <c r="S563" s="20"/>
      <c r="T563" s="19"/>
      <c r="U563" s="20"/>
      <c r="V563" s="19"/>
      <c r="W563" s="26"/>
      <c r="X563" s="20"/>
      <c r="Y563" s="20"/>
      <c r="Z563" s="20"/>
      <c r="AA563" s="26"/>
      <c r="AB563" s="28"/>
      <c r="AC563" s="24"/>
      <c r="AD563" s="24"/>
    </row>
    <row r="564">
      <c r="A564" s="25"/>
      <c r="B564" s="17" t="s">
        <v>1616</v>
      </c>
      <c r="C564" s="67">
        <v>9.155787414E9</v>
      </c>
      <c r="D564" s="66"/>
      <c r="E564" s="20"/>
      <c r="F564" s="19"/>
      <c r="G564" s="19"/>
      <c r="H564" s="19"/>
      <c r="I564" s="19"/>
      <c r="J564" s="26"/>
      <c r="K564" s="26" t="s">
        <v>1563</v>
      </c>
      <c r="L564" s="19"/>
      <c r="M564" s="19"/>
      <c r="N564" s="21"/>
      <c r="O564" s="20"/>
      <c r="P564" s="43"/>
      <c r="Q564" s="19"/>
      <c r="R564" s="19"/>
      <c r="S564" s="20"/>
      <c r="T564" s="19"/>
      <c r="U564" s="20"/>
      <c r="V564" s="19"/>
      <c r="W564" s="26"/>
      <c r="X564" s="20"/>
      <c r="Y564" s="20"/>
      <c r="Z564" s="20"/>
      <c r="AA564" s="26"/>
      <c r="AB564" s="28"/>
      <c r="AC564" s="24"/>
      <c r="AD564" s="24"/>
    </row>
    <row r="565">
      <c r="A565" s="25"/>
      <c r="B565" s="17" t="s">
        <v>77</v>
      </c>
      <c r="C565" s="67">
        <v>9.798588887E9</v>
      </c>
      <c r="D565" s="66"/>
      <c r="E565" s="20"/>
      <c r="F565" s="19"/>
      <c r="G565" s="19"/>
      <c r="H565" s="19"/>
      <c r="I565" s="19"/>
      <c r="J565" s="26"/>
      <c r="K565" s="26" t="s">
        <v>1563</v>
      </c>
      <c r="L565" s="19"/>
      <c r="M565" s="19"/>
      <c r="N565" s="21"/>
      <c r="O565" s="20"/>
      <c r="P565" s="43"/>
      <c r="Q565" s="19"/>
      <c r="R565" s="19"/>
      <c r="S565" s="20"/>
      <c r="T565" s="19"/>
      <c r="U565" s="20"/>
      <c r="V565" s="19"/>
      <c r="W565" s="26"/>
      <c r="X565" s="20"/>
      <c r="Y565" s="20"/>
      <c r="Z565" s="20"/>
      <c r="AA565" s="26"/>
      <c r="AB565" s="28"/>
      <c r="AC565" s="24"/>
      <c r="AD565" s="24"/>
    </row>
    <row r="566">
      <c r="A566" s="25"/>
      <c r="B566" s="17" t="s">
        <v>1617</v>
      </c>
      <c r="C566" s="67">
        <v>9.199928159E9</v>
      </c>
      <c r="D566" s="66"/>
      <c r="E566" s="20"/>
      <c r="F566" s="19"/>
      <c r="G566" s="19"/>
      <c r="H566" s="19"/>
      <c r="I566" s="19"/>
      <c r="J566" s="26"/>
      <c r="K566" s="26" t="s">
        <v>1563</v>
      </c>
      <c r="L566" s="19"/>
      <c r="M566" s="19"/>
      <c r="N566" s="21"/>
      <c r="O566" s="20"/>
      <c r="P566" s="43"/>
      <c r="Q566" s="19"/>
      <c r="R566" s="19"/>
      <c r="S566" s="20"/>
      <c r="T566" s="19"/>
      <c r="U566" s="20"/>
      <c r="V566" s="19"/>
      <c r="W566" s="26"/>
      <c r="X566" s="20"/>
      <c r="Y566" s="20"/>
      <c r="Z566" s="20"/>
      <c r="AA566" s="26"/>
      <c r="AB566" s="28"/>
      <c r="AC566" s="24"/>
      <c r="AD566" s="24"/>
    </row>
    <row r="567">
      <c r="A567" s="25"/>
      <c r="B567" s="17" t="s">
        <v>1618</v>
      </c>
      <c r="C567" s="67">
        <v>6.287880559E9</v>
      </c>
      <c r="D567" s="66"/>
      <c r="E567" s="20"/>
      <c r="F567" s="19"/>
      <c r="G567" s="19"/>
      <c r="H567" s="19"/>
      <c r="I567" s="19"/>
      <c r="J567" s="26"/>
      <c r="K567" s="26" t="s">
        <v>1563</v>
      </c>
      <c r="L567" s="19"/>
      <c r="M567" s="19"/>
      <c r="N567" s="21"/>
      <c r="O567" s="20"/>
      <c r="P567" s="43"/>
      <c r="Q567" s="19"/>
      <c r="R567" s="19"/>
      <c r="S567" s="20"/>
      <c r="T567" s="19"/>
      <c r="U567" s="20"/>
      <c r="V567" s="19"/>
      <c r="W567" s="26"/>
      <c r="X567" s="20"/>
      <c r="Y567" s="20"/>
      <c r="Z567" s="20"/>
      <c r="AA567" s="26"/>
      <c r="AB567" s="28"/>
      <c r="AC567" s="24"/>
      <c r="AD567" s="24"/>
    </row>
    <row r="568">
      <c r="A568" s="31"/>
      <c r="B568" s="17" t="s">
        <v>1619</v>
      </c>
      <c r="C568" s="67">
        <v>7.091498973E9</v>
      </c>
      <c r="D568" s="66"/>
      <c r="E568" s="20"/>
      <c r="F568" s="19"/>
      <c r="G568" s="19"/>
      <c r="H568" s="19"/>
      <c r="I568" s="19"/>
      <c r="J568" s="26"/>
      <c r="K568" s="26" t="s">
        <v>1563</v>
      </c>
      <c r="L568" s="19"/>
      <c r="M568" s="19"/>
      <c r="N568" s="21"/>
      <c r="O568" s="20"/>
      <c r="P568" s="43"/>
      <c r="Q568" s="19"/>
      <c r="R568" s="19"/>
      <c r="S568" s="20"/>
      <c r="T568" s="19"/>
      <c r="U568" s="20"/>
      <c r="V568" s="19"/>
      <c r="W568" s="26"/>
      <c r="X568" s="20"/>
      <c r="Y568" s="20"/>
      <c r="Z568" s="20"/>
      <c r="AA568" s="26"/>
      <c r="AB568" s="28"/>
      <c r="AC568" s="24"/>
      <c r="AD568" s="24"/>
    </row>
    <row r="569">
      <c r="A569" s="32"/>
      <c r="B569" s="33"/>
      <c r="C569" s="34"/>
      <c r="K569" s="34"/>
      <c r="N569" s="34"/>
      <c r="AB569" s="33"/>
      <c r="AC569" s="24"/>
      <c r="AD569" s="24"/>
    </row>
    <row r="570">
      <c r="A570" s="32"/>
      <c r="B570" s="33"/>
      <c r="C570" s="34"/>
      <c r="K570" s="34"/>
      <c r="N570" s="34"/>
      <c r="AB570" s="33"/>
      <c r="AC570" s="24"/>
      <c r="AD570" s="24"/>
    </row>
    <row r="571">
      <c r="A571" s="32"/>
      <c r="B571" s="33"/>
      <c r="C571" s="34"/>
      <c r="K571" s="34"/>
      <c r="N571" s="34"/>
      <c r="AB571" s="33"/>
      <c r="AC571" s="24"/>
      <c r="AD571" s="24"/>
    </row>
    <row r="572">
      <c r="A572" s="32"/>
      <c r="B572" s="33"/>
      <c r="C572" s="34"/>
      <c r="K572" s="34"/>
      <c r="N572" s="34"/>
      <c r="AB572" s="33"/>
      <c r="AC572" s="24"/>
      <c r="AD572" s="24"/>
    </row>
    <row r="573">
      <c r="A573" s="32"/>
      <c r="B573" s="33"/>
      <c r="C573" s="34"/>
      <c r="K573" s="34"/>
      <c r="N573" s="34"/>
      <c r="AB573" s="33"/>
      <c r="AC573" s="24"/>
      <c r="AD573" s="24"/>
    </row>
    <row r="574">
      <c r="A574" s="32"/>
      <c r="B574" s="33"/>
      <c r="C574" s="34"/>
      <c r="K574" s="34"/>
      <c r="N574" s="34"/>
      <c r="AB574" s="33"/>
      <c r="AC574" s="24"/>
      <c r="AD574" s="24"/>
    </row>
    <row r="575">
      <c r="A575" s="32"/>
      <c r="B575" s="33"/>
      <c r="C575" s="34"/>
      <c r="K575" s="34"/>
      <c r="N575" s="34"/>
      <c r="AB575" s="33"/>
      <c r="AC575" s="24"/>
      <c r="AD575" s="24"/>
    </row>
    <row r="576">
      <c r="A576" s="32"/>
      <c r="B576" s="33"/>
      <c r="C576" s="34"/>
      <c r="K576" s="34"/>
      <c r="N576" s="34"/>
      <c r="AB576" s="33"/>
      <c r="AC576" s="24"/>
      <c r="AD576" s="24"/>
    </row>
    <row r="577">
      <c r="A577" s="32"/>
      <c r="B577" s="33"/>
      <c r="C577" s="34"/>
      <c r="K577" s="34"/>
      <c r="N577" s="34"/>
      <c r="AB577" s="33"/>
      <c r="AC577" s="24"/>
      <c r="AD577" s="24"/>
    </row>
    <row r="578">
      <c r="A578" s="32"/>
      <c r="B578" s="33"/>
      <c r="C578" s="34"/>
      <c r="K578" s="34"/>
      <c r="N578" s="34"/>
      <c r="AB578" s="33"/>
      <c r="AC578" s="24"/>
      <c r="AD578" s="24"/>
    </row>
    <row r="579">
      <c r="A579" s="32"/>
      <c r="B579" s="33"/>
      <c r="C579" s="34"/>
      <c r="K579" s="34"/>
      <c r="N579" s="34"/>
      <c r="AB579" s="33"/>
      <c r="AC579" s="24"/>
      <c r="AD579" s="24"/>
    </row>
    <row r="580">
      <c r="A580" s="32"/>
      <c r="B580" s="33"/>
      <c r="C580" s="34"/>
      <c r="K580" s="34"/>
      <c r="N580" s="34"/>
      <c r="AB580" s="33"/>
      <c r="AC580" s="24"/>
      <c r="AD580" s="24"/>
    </row>
    <row r="581">
      <c r="A581" s="32"/>
      <c r="B581" s="33"/>
      <c r="C581" s="34"/>
      <c r="K581" s="34"/>
      <c r="N581" s="34"/>
      <c r="AB581" s="33"/>
      <c r="AC581" s="24"/>
      <c r="AD581" s="24"/>
    </row>
    <row r="582">
      <c r="A582" s="32"/>
      <c r="B582" s="33"/>
      <c r="C582" s="34"/>
      <c r="K582" s="34"/>
      <c r="N582" s="34"/>
      <c r="AB582" s="33"/>
      <c r="AC582" s="24"/>
      <c r="AD582" s="24"/>
    </row>
    <row r="583">
      <c r="A583" s="32"/>
      <c r="B583" s="33"/>
      <c r="C583" s="34"/>
      <c r="K583" s="34"/>
      <c r="N583" s="34"/>
      <c r="AB583" s="33"/>
      <c r="AC583" s="24"/>
      <c r="AD583" s="24"/>
    </row>
    <row r="584">
      <c r="A584" s="32"/>
      <c r="B584" s="33"/>
      <c r="C584" s="34"/>
      <c r="K584" s="34"/>
      <c r="N584" s="34"/>
      <c r="AB584" s="33"/>
      <c r="AC584" s="24"/>
      <c r="AD584" s="24"/>
    </row>
    <row r="585">
      <c r="A585" s="32"/>
      <c r="B585" s="33"/>
      <c r="C585" s="34"/>
      <c r="K585" s="34"/>
      <c r="N585" s="34"/>
      <c r="AB585" s="33"/>
      <c r="AC585" s="24"/>
      <c r="AD585" s="24"/>
    </row>
    <row r="586">
      <c r="A586" s="32"/>
      <c r="B586" s="33"/>
      <c r="C586" s="34"/>
      <c r="K586" s="34"/>
      <c r="N586" s="34"/>
      <c r="AB586" s="33"/>
      <c r="AC586" s="24"/>
      <c r="AD586" s="24"/>
    </row>
    <row r="587">
      <c r="A587" s="32"/>
      <c r="B587" s="33"/>
      <c r="C587" s="34"/>
      <c r="K587" s="34"/>
      <c r="N587" s="34"/>
      <c r="AB587" s="33"/>
      <c r="AC587" s="24"/>
      <c r="AD587" s="24"/>
    </row>
    <row r="588">
      <c r="A588" s="32"/>
      <c r="B588" s="33"/>
      <c r="C588" s="34"/>
      <c r="K588" s="34"/>
      <c r="N588" s="34"/>
      <c r="AB588" s="33"/>
      <c r="AC588" s="24"/>
      <c r="AD588" s="24"/>
    </row>
    <row r="589">
      <c r="A589" s="32"/>
      <c r="B589" s="33"/>
      <c r="C589" s="34"/>
      <c r="K589" s="34"/>
      <c r="N589" s="34"/>
      <c r="AB589" s="33"/>
      <c r="AC589" s="24"/>
      <c r="AD589" s="24"/>
    </row>
    <row r="590">
      <c r="A590" s="32"/>
      <c r="B590" s="33"/>
      <c r="C590" s="34"/>
      <c r="K590" s="34"/>
      <c r="N590" s="34"/>
      <c r="AB590" s="33"/>
      <c r="AC590" s="24"/>
      <c r="AD590" s="24"/>
    </row>
    <row r="591">
      <c r="A591" s="32"/>
      <c r="B591" s="33"/>
      <c r="C591" s="34"/>
      <c r="K591" s="34"/>
      <c r="N591" s="34"/>
      <c r="AB591" s="33"/>
      <c r="AC591" s="24"/>
      <c r="AD591" s="24"/>
    </row>
    <row r="592">
      <c r="A592" s="32"/>
      <c r="B592" s="33"/>
      <c r="C592" s="34"/>
      <c r="K592" s="34"/>
      <c r="N592" s="34"/>
      <c r="AB592" s="33"/>
      <c r="AC592" s="24"/>
      <c r="AD592" s="24"/>
    </row>
    <row r="593">
      <c r="A593" s="32"/>
      <c r="B593" s="33"/>
      <c r="C593" s="34"/>
      <c r="K593" s="34"/>
      <c r="N593" s="34"/>
      <c r="AB593" s="33"/>
      <c r="AC593" s="24"/>
      <c r="AD593" s="24"/>
    </row>
    <row r="594">
      <c r="A594" s="32"/>
      <c r="B594" s="33"/>
      <c r="C594" s="34"/>
      <c r="K594" s="34"/>
      <c r="N594" s="34"/>
      <c r="AB594" s="33"/>
      <c r="AC594" s="24"/>
      <c r="AD594" s="24"/>
    </row>
    <row r="595">
      <c r="A595" s="32"/>
      <c r="B595" s="33"/>
      <c r="C595" s="34"/>
      <c r="K595" s="34"/>
      <c r="N595" s="34"/>
      <c r="AB595" s="33"/>
      <c r="AC595" s="24"/>
      <c r="AD595" s="24"/>
    </row>
    <row r="596">
      <c r="A596" s="32"/>
      <c r="B596" s="33"/>
      <c r="C596" s="34"/>
      <c r="K596" s="34"/>
      <c r="N596" s="34"/>
      <c r="AB596" s="33"/>
      <c r="AC596" s="24"/>
      <c r="AD596" s="24"/>
    </row>
    <row r="597">
      <c r="A597" s="32"/>
      <c r="B597" s="33"/>
      <c r="C597" s="34"/>
      <c r="K597" s="34"/>
      <c r="N597" s="34"/>
      <c r="AB597" s="33"/>
      <c r="AC597" s="24"/>
      <c r="AD597" s="24"/>
    </row>
    <row r="598">
      <c r="A598" s="32"/>
      <c r="B598" s="33"/>
      <c r="C598" s="34"/>
      <c r="K598" s="34"/>
      <c r="N598" s="34"/>
      <c r="AB598" s="33"/>
      <c r="AC598" s="24"/>
      <c r="AD598" s="24"/>
    </row>
    <row r="599">
      <c r="A599" s="32"/>
      <c r="B599" s="33"/>
      <c r="C599" s="34"/>
      <c r="K599" s="34"/>
      <c r="N599" s="34"/>
      <c r="AB599" s="33"/>
      <c r="AC599" s="24"/>
      <c r="AD599" s="24"/>
    </row>
    <row r="600">
      <c r="A600" s="32"/>
      <c r="B600" s="33"/>
      <c r="C600" s="34"/>
      <c r="K600" s="34"/>
      <c r="N600" s="34"/>
      <c r="AB600" s="33"/>
      <c r="AC600" s="24"/>
      <c r="AD600" s="24"/>
    </row>
    <row r="601">
      <c r="A601" s="32"/>
      <c r="B601" s="33"/>
      <c r="C601" s="34"/>
      <c r="K601" s="34"/>
      <c r="N601" s="34"/>
      <c r="AB601" s="33"/>
      <c r="AC601" s="24"/>
      <c r="AD601" s="24"/>
    </row>
    <row r="602">
      <c r="A602" s="32"/>
      <c r="B602" s="33"/>
      <c r="C602" s="34"/>
      <c r="K602" s="34"/>
      <c r="N602" s="34"/>
      <c r="AB602" s="33"/>
      <c r="AC602" s="24"/>
      <c r="AD602" s="24"/>
    </row>
    <row r="603">
      <c r="A603" s="32"/>
      <c r="B603" s="33"/>
      <c r="C603" s="34"/>
      <c r="K603" s="34"/>
      <c r="N603" s="34"/>
      <c r="AB603" s="33"/>
      <c r="AC603" s="24"/>
      <c r="AD603" s="24"/>
    </row>
    <row r="604">
      <c r="A604" s="32"/>
      <c r="B604" s="33"/>
      <c r="C604" s="34"/>
      <c r="K604" s="34"/>
      <c r="N604" s="34"/>
      <c r="AB604" s="33"/>
      <c r="AC604" s="24"/>
      <c r="AD604" s="24"/>
    </row>
    <row r="605">
      <c r="A605" s="32"/>
      <c r="B605" s="33"/>
      <c r="C605" s="34"/>
      <c r="K605" s="34"/>
      <c r="N605" s="34"/>
      <c r="AB605" s="33"/>
      <c r="AC605" s="24"/>
      <c r="AD605" s="24"/>
    </row>
    <row r="606">
      <c r="A606" s="32"/>
      <c r="B606" s="33"/>
      <c r="C606" s="34"/>
      <c r="K606" s="34"/>
      <c r="N606" s="34"/>
      <c r="AB606" s="33"/>
      <c r="AC606" s="24"/>
      <c r="AD606" s="24"/>
    </row>
    <row r="607">
      <c r="A607" s="32"/>
      <c r="B607" s="33"/>
      <c r="C607" s="34"/>
      <c r="K607" s="34"/>
      <c r="N607" s="34"/>
      <c r="AB607" s="33"/>
      <c r="AC607" s="24"/>
      <c r="AD607" s="24"/>
    </row>
    <row r="608">
      <c r="A608" s="32"/>
      <c r="B608" s="33"/>
      <c r="C608" s="34"/>
      <c r="K608" s="34"/>
      <c r="N608" s="34"/>
      <c r="AB608" s="33"/>
      <c r="AC608" s="24"/>
      <c r="AD608" s="24"/>
    </row>
    <row r="609">
      <c r="A609" s="32"/>
      <c r="B609" s="33"/>
      <c r="C609" s="34"/>
      <c r="K609" s="34"/>
      <c r="N609" s="34"/>
      <c r="AB609" s="33"/>
      <c r="AC609" s="24"/>
      <c r="AD609" s="24"/>
    </row>
    <row r="610">
      <c r="A610" s="32"/>
      <c r="B610" s="33"/>
      <c r="C610" s="34"/>
      <c r="K610" s="34"/>
      <c r="N610" s="34"/>
      <c r="AB610" s="33"/>
      <c r="AC610" s="24"/>
      <c r="AD610" s="24"/>
    </row>
    <row r="611">
      <c r="A611" s="32"/>
      <c r="B611" s="33"/>
      <c r="C611" s="34"/>
      <c r="K611" s="34"/>
      <c r="N611" s="34"/>
      <c r="AB611" s="33"/>
      <c r="AC611" s="24"/>
      <c r="AD611" s="24"/>
    </row>
    <row r="612">
      <c r="A612" s="32"/>
      <c r="B612" s="33"/>
      <c r="C612" s="34"/>
      <c r="K612" s="34"/>
      <c r="N612" s="34"/>
      <c r="AB612" s="33"/>
      <c r="AC612" s="24"/>
      <c r="AD612" s="24"/>
    </row>
    <row r="613">
      <c r="A613" s="32"/>
      <c r="B613" s="33"/>
      <c r="C613" s="34"/>
      <c r="K613" s="34"/>
      <c r="N613" s="34"/>
      <c r="AB613" s="33"/>
      <c r="AC613" s="24"/>
      <c r="AD613" s="24"/>
    </row>
    <row r="614">
      <c r="A614" s="32"/>
      <c r="B614" s="33"/>
      <c r="C614" s="34"/>
      <c r="K614" s="34"/>
      <c r="N614" s="34"/>
      <c r="AB614" s="33"/>
      <c r="AC614" s="24"/>
      <c r="AD614" s="24"/>
    </row>
    <row r="615">
      <c r="A615" s="32"/>
      <c r="B615" s="33"/>
      <c r="C615" s="34"/>
      <c r="K615" s="34"/>
      <c r="N615" s="34"/>
      <c r="AB615" s="33"/>
      <c r="AC615" s="24"/>
      <c r="AD615" s="24"/>
    </row>
    <row r="616">
      <c r="A616" s="32"/>
      <c r="B616" s="33"/>
      <c r="C616" s="34"/>
      <c r="K616" s="34"/>
      <c r="N616" s="34"/>
      <c r="AB616" s="33"/>
      <c r="AC616" s="24"/>
      <c r="AD616" s="24"/>
    </row>
    <row r="617">
      <c r="A617" s="32"/>
      <c r="B617" s="33"/>
      <c r="C617" s="34"/>
      <c r="K617" s="34"/>
      <c r="N617" s="34"/>
      <c r="AB617" s="33"/>
      <c r="AC617" s="24"/>
      <c r="AD617" s="24"/>
    </row>
    <row r="618">
      <c r="A618" s="32"/>
      <c r="B618" s="33"/>
      <c r="C618" s="34"/>
      <c r="K618" s="34"/>
      <c r="N618" s="34"/>
      <c r="AB618" s="33"/>
      <c r="AC618" s="24"/>
      <c r="AD618" s="24"/>
    </row>
    <row r="619">
      <c r="A619" s="32"/>
      <c r="B619" s="33"/>
      <c r="C619" s="34"/>
      <c r="K619" s="34"/>
      <c r="N619" s="34"/>
      <c r="AB619" s="33"/>
      <c r="AC619" s="24"/>
      <c r="AD619" s="24"/>
    </row>
    <row r="620">
      <c r="A620" s="32"/>
      <c r="B620" s="33"/>
      <c r="C620" s="34"/>
      <c r="K620" s="34"/>
      <c r="N620" s="34"/>
      <c r="AB620" s="33"/>
      <c r="AC620" s="24"/>
      <c r="AD620" s="24"/>
    </row>
    <row r="621">
      <c r="A621" s="32"/>
      <c r="B621" s="33"/>
      <c r="C621" s="34"/>
      <c r="K621" s="34"/>
      <c r="N621" s="34"/>
      <c r="AB621" s="33"/>
      <c r="AC621" s="24"/>
      <c r="AD621" s="24"/>
    </row>
    <row r="622">
      <c r="A622" s="32"/>
      <c r="B622" s="33"/>
      <c r="C622" s="34"/>
      <c r="K622" s="34"/>
      <c r="N622" s="34"/>
      <c r="AB622" s="33"/>
      <c r="AC622" s="24"/>
      <c r="AD622" s="24"/>
    </row>
    <row r="623">
      <c r="A623" s="32"/>
      <c r="B623" s="33"/>
      <c r="C623" s="34"/>
      <c r="K623" s="34"/>
      <c r="N623" s="34"/>
      <c r="AB623" s="33"/>
      <c r="AC623" s="24"/>
      <c r="AD623" s="24"/>
    </row>
    <row r="624">
      <c r="A624" s="32"/>
      <c r="B624" s="33"/>
      <c r="C624" s="34"/>
      <c r="K624" s="34"/>
      <c r="N624" s="34"/>
      <c r="AB624" s="33"/>
      <c r="AC624" s="24"/>
      <c r="AD624" s="24"/>
    </row>
    <row r="625">
      <c r="A625" s="32"/>
      <c r="B625" s="33"/>
      <c r="C625" s="34"/>
      <c r="K625" s="34"/>
      <c r="N625" s="34"/>
      <c r="AB625" s="33"/>
      <c r="AC625" s="24"/>
      <c r="AD625" s="24"/>
    </row>
    <row r="626">
      <c r="A626" s="32"/>
      <c r="B626" s="33"/>
      <c r="C626" s="34"/>
      <c r="K626" s="34"/>
      <c r="N626" s="34"/>
      <c r="AB626" s="33"/>
      <c r="AC626" s="24"/>
      <c r="AD626" s="24"/>
    </row>
    <row r="627">
      <c r="A627" s="32"/>
      <c r="B627" s="33"/>
      <c r="C627" s="34"/>
      <c r="K627" s="34"/>
      <c r="N627" s="34"/>
      <c r="AB627" s="33"/>
      <c r="AC627" s="24"/>
      <c r="AD627" s="24"/>
    </row>
    <row r="628">
      <c r="A628" s="32"/>
      <c r="B628" s="33"/>
      <c r="C628" s="34"/>
      <c r="K628" s="34"/>
      <c r="N628" s="34"/>
      <c r="AB628" s="33"/>
      <c r="AC628" s="24"/>
      <c r="AD628" s="24"/>
    </row>
    <row r="629">
      <c r="A629" s="32"/>
      <c r="B629" s="33"/>
      <c r="C629" s="34"/>
      <c r="K629" s="34"/>
      <c r="N629" s="34"/>
      <c r="AB629" s="33"/>
      <c r="AC629" s="24"/>
      <c r="AD629" s="24"/>
    </row>
    <row r="630">
      <c r="A630" s="32"/>
      <c r="B630" s="33"/>
      <c r="C630" s="34"/>
      <c r="K630" s="34"/>
      <c r="N630" s="34"/>
      <c r="AB630" s="33"/>
      <c r="AC630" s="24"/>
      <c r="AD630" s="24"/>
    </row>
    <row r="631">
      <c r="A631" s="32"/>
      <c r="B631" s="33"/>
      <c r="C631" s="34"/>
      <c r="K631" s="34"/>
      <c r="N631" s="34"/>
      <c r="AB631" s="33"/>
      <c r="AC631" s="24"/>
      <c r="AD631" s="24"/>
    </row>
    <row r="632">
      <c r="A632" s="32"/>
      <c r="B632" s="33"/>
      <c r="C632" s="34"/>
      <c r="K632" s="34"/>
      <c r="N632" s="34"/>
      <c r="AB632" s="33"/>
      <c r="AC632" s="24"/>
      <c r="AD632" s="24"/>
    </row>
    <row r="633">
      <c r="A633" s="32"/>
      <c r="B633" s="33"/>
      <c r="C633" s="34"/>
      <c r="K633" s="34"/>
      <c r="N633" s="34"/>
      <c r="AB633" s="33"/>
      <c r="AC633" s="24"/>
      <c r="AD633" s="24"/>
    </row>
    <row r="634">
      <c r="A634" s="32"/>
      <c r="B634" s="33"/>
      <c r="C634" s="34"/>
      <c r="K634" s="34"/>
      <c r="N634" s="34"/>
      <c r="AB634" s="33"/>
      <c r="AC634" s="24"/>
      <c r="AD634" s="24"/>
    </row>
    <row r="635">
      <c r="A635" s="32"/>
      <c r="B635" s="33"/>
      <c r="C635" s="34"/>
      <c r="K635" s="34"/>
      <c r="N635" s="34"/>
      <c r="AB635" s="33"/>
      <c r="AC635" s="24"/>
      <c r="AD635" s="24"/>
    </row>
    <row r="636">
      <c r="A636" s="32"/>
      <c r="B636" s="33"/>
      <c r="C636" s="34"/>
      <c r="K636" s="34"/>
      <c r="N636" s="34"/>
      <c r="AB636" s="33"/>
      <c r="AC636" s="24"/>
      <c r="AD636" s="24"/>
    </row>
    <row r="637">
      <c r="A637" s="32"/>
      <c r="B637" s="33"/>
      <c r="C637" s="34"/>
      <c r="K637" s="34"/>
      <c r="N637" s="34"/>
      <c r="AB637" s="33"/>
      <c r="AC637" s="24"/>
      <c r="AD637" s="24"/>
    </row>
    <row r="638">
      <c r="A638" s="32"/>
      <c r="B638" s="33"/>
      <c r="C638" s="34"/>
      <c r="K638" s="34"/>
      <c r="N638" s="34"/>
      <c r="AB638" s="33"/>
      <c r="AC638" s="24"/>
      <c r="AD638" s="24"/>
    </row>
    <row r="639">
      <c r="A639" s="32"/>
      <c r="B639" s="33"/>
      <c r="C639" s="34"/>
      <c r="K639" s="34"/>
      <c r="N639" s="34"/>
      <c r="AB639" s="33"/>
      <c r="AC639" s="24"/>
      <c r="AD639" s="24"/>
    </row>
    <row r="640">
      <c r="A640" s="32"/>
      <c r="B640" s="33"/>
      <c r="C640" s="34"/>
      <c r="K640" s="34"/>
      <c r="N640" s="34"/>
      <c r="AB640" s="33"/>
      <c r="AC640" s="24"/>
      <c r="AD640" s="24"/>
    </row>
    <row r="641">
      <c r="A641" s="32"/>
      <c r="B641" s="33"/>
      <c r="C641" s="34"/>
      <c r="K641" s="34"/>
      <c r="N641" s="34"/>
      <c r="AB641" s="33"/>
      <c r="AC641" s="24"/>
      <c r="AD641" s="24"/>
    </row>
    <row r="642">
      <c r="A642" s="32"/>
      <c r="B642" s="33"/>
      <c r="C642" s="34"/>
      <c r="K642" s="34"/>
      <c r="N642" s="34"/>
      <c r="AB642" s="33"/>
      <c r="AC642" s="24"/>
      <c r="AD642" s="24"/>
    </row>
    <row r="643">
      <c r="A643" s="32"/>
      <c r="B643" s="33"/>
      <c r="C643" s="34"/>
      <c r="K643" s="34"/>
      <c r="N643" s="34"/>
      <c r="AB643" s="33"/>
      <c r="AC643" s="24"/>
      <c r="AD643" s="24"/>
    </row>
    <row r="644">
      <c r="A644" s="32"/>
      <c r="B644" s="33"/>
      <c r="C644" s="34"/>
      <c r="K644" s="34"/>
      <c r="N644" s="34"/>
      <c r="AB644" s="33"/>
      <c r="AC644" s="24"/>
      <c r="AD644" s="24"/>
    </row>
    <row r="645">
      <c r="A645" s="32"/>
      <c r="B645" s="33"/>
      <c r="C645" s="34"/>
      <c r="K645" s="34"/>
      <c r="N645" s="34"/>
      <c r="AB645" s="33"/>
      <c r="AC645" s="24"/>
      <c r="AD645" s="24"/>
    </row>
    <row r="646">
      <c r="A646" s="32"/>
      <c r="B646" s="33"/>
      <c r="C646" s="34"/>
      <c r="K646" s="34"/>
      <c r="N646" s="34"/>
      <c r="AB646" s="33"/>
      <c r="AC646" s="24"/>
      <c r="AD646" s="24"/>
    </row>
    <row r="647">
      <c r="A647" s="32"/>
      <c r="B647" s="33"/>
      <c r="C647" s="34"/>
      <c r="K647" s="34"/>
      <c r="N647" s="34"/>
      <c r="AB647" s="33"/>
      <c r="AC647" s="24"/>
      <c r="AD647" s="24"/>
    </row>
    <row r="648">
      <c r="A648" s="32"/>
      <c r="B648" s="33"/>
      <c r="C648" s="34"/>
      <c r="K648" s="34"/>
      <c r="N648" s="34"/>
      <c r="AB648" s="33"/>
      <c r="AC648" s="24"/>
      <c r="AD648" s="24"/>
    </row>
    <row r="649">
      <c r="A649" s="32"/>
      <c r="B649" s="33"/>
      <c r="C649" s="34"/>
      <c r="K649" s="34"/>
      <c r="N649" s="34"/>
      <c r="AB649" s="33"/>
      <c r="AC649" s="24"/>
      <c r="AD649" s="24"/>
    </row>
    <row r="650">
      <c r="A650" s="32"/>
      <c r="B650" s="33"/>
      <c r="C650" s="34"/>
      <c r="K650" s="34"/>
      <c r="N650" s="34"/>
      <c r="AB650" s="33"/>
      <c r="AC650" s="24"/>
      <c r="AD650" s="24"/>
    </row>
    <row r="651">
      <c r="A651" s="32"/>
      <c r="B651" s="33"/>
      <c r="C651" s="34"/>
      <c r="K651" s="34"/>
      <c r="N651" s="34"/>
      <c r="AB651" s="33"/>
      <c r="AC651" s="24"/>
      <c r="AD651" s="24"/>
    </row>
    <row r="652">
      <c r="A652" s="32"/>
      <c r="B652" s="33"/>
      <c r="C652" s="34"/>
      <c r="K652" s="34"/>
      <c r="N652" s="34"/>
      <c r="AB652" s="33"/>
      <c r="AC652" s="24"/>
      <c r="AD652" s="24"/>
    </row>
    <row r="653">
      <c r="A653" s="32"/>
      <c r="B653" s="33"/>
      <c r="C653" s="34"/>
      <c r="K653" s="34"/>
      <c r="N653" s="34"/>
      <c r="AB653" s="33"/>
      <c r="AC653" s="24"/>
      <c r="AD653" s="24"/>
    </row>
    <row r="654">
      <c r="A654" s="32"/>
      <c r="B654" s="33"/>
      <c r="C654" s="34"/>
      <c r="K654" s="34"/>
      <c r="N654" s="34"/>
      <c r="AB654" s="33"/>
      <c r="AC654" s="24"/>
      <c r="AD654" s="24"/>
    </row>
    <row r="655">
      <c r="A655" s="32"/>
      <c r="B655" s="33"/>
      <c r="C655" s="34"/>
      <c r="K655" s="34"/>
      <c r="N655" s="34"/>
      <c r="AB655" s="33"/>
      <c r="AC655" s="24"/>
      <c r="AD655" s="24"/>
    </row>
    <row r="656">
      <c r="A656" s="32"/>
      <c r="B656" s="33"/>
      <c r="C656" s="34"/>
      <c r="K656" s="34"/>
      <c r="N656" s="34"/>
      <c r="AB656" s="33"/>
      <c r="AC656" s="24"/>
      <c r="AD656" s="24"/>
    </row>
    <row r="657">
      <c r="A657" s="32"/>
      <c r="B657" s="33"/>
      <c r="C657" s="34"/>
      <c r="K657" s="34"/>
      <c r="N657" s="34"/>
      <c r="AB657" s="33"/>
      <c r="AC657" s="24"/>
      <c r="AD657" s="24"/>
    </row>
    <row r="658">
      <c r="A658" s="32"/>
      <c r="B658" s="33"/>
      <c r="C658" s="34"/>
      <c r="K658" s="34"/>
      <c r="N658" s="34"/>
      <c r="AB658" s="33"/>
      <c r="AC658" s="24"/>
      <c r="AD658" s="24"/>
    </row>
    <row r="659">
      <c r="A659" s="32"/>
      <c r="B659" s="33"/>
      <c r="C659" s="34"/>
      <c r="K659" s="34"/>
      <c r="N659" s="34"/>
      <c r="AB659" s="33"/>
      <c r="AC659" s="24"/>
      <c r="AD659" s="24"/>
    </row>
    <row r="660">
      <c r="A660" s="32"/>
      <c r="B660" s="33"/>
      <c r="C660" s="34"/>
      <c r="K660" s="34"/>
      <c r="N660" s="34"/>
      <c r="AB660" s="33"/>
      <c r="AC660" s="24"/>
      <c r="AD660" s="24"/>
    </row>
    <row r="661">
      <c r="A661" s="32"/>
      <c r="B661" s="33"/>
      <c r="C661" s="34"/>
      <c r="K661" s="34"/>
      <c r="N661" s="34"/>
      <c r="AB661" s="33"/>
      <c r="AC661" s="24"/>
      <c r="AD661" s="24"/>
    </row>
    <row r="662">
      <c r="A662" s="32"/>
      <c r="B662" s="33"/>
      <c r="C662" s="34"/>
      <c r="K662" s="34"/>
      <c r="N662" s="34"/>
      <c r="AB662" s="33"/>
      <c r="AC662" s="24"/>
      <c r="AD662" s="24"/>
    </row>
    <row r="663">
      <c r="A663" s="32"/>
      <c r="B663" s="33"/>
      <c r="C663" s="34"/>
      <c r="K663" s="34"/>
      <c r="N663" s="34"/>
      <c r="AB663" s="33"/>
      <c r="AC663" s="24"/>
      <c r="AD663" s="24"/>
    </row>
    <row r="664">
      <c r="A664" s="32"/>
      <c r="B664" s="33"/>
      <c r="C664" s="34"/>
      <c r="K664" s="34"/>
      <c r="N664" s="34"/>
      <c r="AB664" s="33"/>
      <c r="AC664" s="24"/>
      <c r="AD664" s="24"/>
    </row>
    <row r="665">
      <c r="A665" s="32"/>
      <c r="B665" s="33"/>
      <c r="C665" s="34"/>
      <c r="K665" s="34"/>
      <c r="N665" s="34"/>
      <c r="AB665" s="33"/>
      <c r="AC665" s="24"/>
      <c r="AD665" s="24"/>
    </row>
    <row r="666">
      <c r="A666" s="32"/>
      <c r="B666" s="33"/>
      <c r="C666" s="34"/>
      <c r="K666" s="34"/>
      <c r="N666" s="34"/>
      <c r="AB666" s="33"/>
      <c r="AC666" s="24"/>
      <c r="AD666" s="24"/>
    </row>
    <row r="667">
      <c r="A667" s="32"/>
      <c r="B667" s="33"/>
      <c r="C667" s="34"/>
      <c r="K667" s="34"/>
      <c r="N667" s="34"/>
      <c r="AB667" s="33"/>
      <c r="AC667" s="24"/>
      <c r="AD667" s="24"/>
    </row>
    <row r="668">
      <c r="A668" s="32"/>
      <c r="B668" s="33"/>
      <c r="C668" s="34"/>
      <c r="K668" s="34"/>
      <c r="N668" s="34"/>
      <c r="AB668" s="33"/>
      <c r="AC668" s="24"/>
      <c r="AD668" s="24"/>
    </row>
    <row r="669">
      <c r="A669" s="32"/>
      <c r="B669" s="33"/>
      <c r="C669" s="34"/>
      <c r="K669" s="34"/>
      <c r="N669" s="34"/>
      <c r="AB669" s="33"/>
      <c r="AC669" s="24"/>
      <c r="AD669" s="24"/>
    </row>
    <row r="670">
      <c r="A670" s="32"/>
      <c r="B670" s="33"/>
      <c r="C670" s="34"/>
      <c r="K670" s="34"/>
      <c r="N670" s="34"/>
      <c r="AB670" s="33"/>
      <c r="AC670" s="24"/>
      <c r="AD670" s="24"/>
    </row>
    <row r="671">
      <c r="A671" s="32"/>
      <c r="B671" s="33"/>
      <c r="C671" s="34"/>
      <c r="K671" s="34"/>
      <c r="N671" s="34"/>
      <c r="AB671" s="33"/>
      <c r="AC671" s="24"/>
      <c r="AD671" s="24"/>
    </row>
    <row r="672">
      <c r="A672" s="32"/>
      <c r="B672" s="33"/>
      <c r="C672" s="34"/>
      <c r="K672" s="34"/>
      <c r="N672" s="34"/>
      <c r="AB672" s="33"/>
      <c r="AC672" s="24"/>
      <c r="AD672" s="24"/>
    </row>
    <row r="673">
      <c r="A673" s="32"/>
      <c r="B673" s="33"/>
      <c r="C673" s="34"/>
      <c r="K673" s="34"/>
      <c r="N673" s="34"/>
      <c r="AB673" s="33"/>
      <c r="AC673" s="24"/>
      <c r="AD673" s="24"/>
    </row>
    <row r="674">
      <c r="A674" s="32"/>
      <c r="B674" s="33"/>
      <c r="C674" s="34"/>
      <c r="K674" s="34"/>
      <c r="N674" s="34"/>
      <c r="AB674" s="33"/>
      <c r="AC674" s="24"/>
      <c r="AD674" s="24"/>
    </row>
    <row r="675">
      <c r="A675" s="32"/>
      <c r="B675" s="33"/>
      <c r="C675" s="34"/>
      <c r="K675" s="34"/>
      <c r="N675" s="34"/>
      <c r="AB675" s="33"/>
      <c r="AC675" s="24"/>
      <c r="AD675" s="24"/>
    </row>
    <row r="676">
      <c r="A676" s="32"/>
      <c r="B676" s="33"/>
      <c r="C676" s="34"/>
      <c r="K676" s="34"/>
      <c r="N676" s="34"/>
      <c r="AB676" s="33"/>
      <c r="AC676" s="24"/>
      <c r="AD676" s="24"/>
    </row>
    <row r="677">
      <c r="A677" s="32"/>
      <c r="B677" s="33"/>
      <c r="C677" s="34"/>
      <c r="K677" s="34"/>
      <c r="N677" s="34"/>
      <c r="AB677" s="33"/>
      <c r="AC677" s="24"/>
      <c r="AD677" s="24"/>
    </row>
    <row r="678">
      <c r="A678" s="32"/>
      <c r="B678" s="33"/>
      <c r="C678" s="34"/>
      <c r="K678" s="34"/>
      <c r="N678" s="34"/>
      <c r="AB678" s="33"/>
      <c r="AC678" s="24"/>
      <c r="AD678" s="24"/>
    </row>
    <row r="679">
      <c r="A679" s="32"/>
      <c r="B679" s="33"/>
      <c r="C679" s="34"/>
      <c r="K679" s="34"/>
      <c r="N679" s="34"/>
      <c r="AB679" s="33"/>
      <c r="AC679" s="24"/>
      <c r="AD679" s="24"/>
    </row>
    <row r="680">
      <c r="A680" s="32"/>
      <c r="B680" s="33"/>
      <c r="C680" s="34"/>
      <c r="K680" s="34"/>
      <c r="N680" s="34"/>
      <c r="AB680" s="33"/>
      <c r="AC680" s="24"/>
      <c r="AD680" s="24"/>
    </row>
    <row r="681">
      <c r="A681" s="32"/>
      <c r="B681" s="33"/>
      <c r="C681" s="34"/>
      <c r="K681" s="34"/>
      <c r="N681" s="34"/>
      <c r="AB681" s="33"/>
      <c r="AC681" s="24"/>
      <c r="AD681" s="24"/>
    </row>
    <row r="682">
      <c r="A682" s="32"/>
      <c r="B682" s="33"/>
      <c r="C682" s="34"/>
      <c r="K682" s="34"/>
      <c r="N682" s="34"/>
      <c r="AB682" s="33"/>
      <c r="AC682" s="24"/>
      <c r="AD682" s="24"/>
    </row>
    <row r="683">
      <c r="A683" s="32"/>
      <c r="B683" s="33"/>
      <c r="C683" s="34"/>
      <c r="K683" s="34"/>
      <c r="N683" s="34"/>
      <c r="AB683" s="33"/>
      <c r="AC683" s="24"/>
      <c r="AD683" s="24"/>
    </row>
    <row r="684">
      <c r="A684" s="32"/>
      <c r="B684" s="33"/>
      <c r="C684" s="34"/>
      <c r="K684" s="34"/>
      <c r="N684" s="34"/>
      <c r="AB684" s="33"/>
      <c r="AC684" s="24"/>
      <c r="AD684" s="24"/>
    </row>
    <row r="685">
      <c r="A685" s="32"/>
      <c r="B685" s="33"/>
      <c r="C685" s="34"/>
      <c r="K685" s="34"/>
      <c r="N685" s="34"/>
      <c r="AB685" s="33"/>
      <c r="AC685" s="24"/>
      <c r="AD685" s="24"/>
    </row>
    <row r="686">
      <c r="A686" s="32"/>
      <c r="B686" s="33"/>
      <c r="C686" s="34"/>
      <c r="K686" s="34"/>
      <c r="N686" s="34"/>
      <c r="AB686" s="33"/>
      <c r="AC686" s="24"/>
      <c r="AD686" s="24"/>
    </row>
    <row r="687">
      <c r="A687" s="32"/>
      <c r="B687" s="33"/>
      <c r="C687" s="34"/>
      <c r="K687" s="34"/>
      <c r="N687" s="34"/>
      <c r="AB687" s="33"/>
      <c r="AC687" s="24"/>
      <c r="AD687" s="24"/>
    </row>
    <row r="688">
      <c r="A688" s="32"/>
      <c r="B688" s="33"/>
      <c r="C688" s="34"/>
      <c r="K688" s="34"/>
      <c r="N688" s="34"/>
      <c r="AB688" s="33"/>
      <c r="AC688" s="24"/>
      <c r="AD688" s="24"/>
    </row>
    <row r="689">
      <c r="A689" s="32"/>
      <c r="B689" s="33"/>
      <c r="C689" s="34"/>
      <c r="K689" s="34"/>
      <c r="N689" s="34"/>
      <c r="AB689" s="33"/>
      <c r="AC689" s="24"/>
      <c r="AD689" s="24"/>
    </row>
    <row r="690">
      <c r="A690" s="32"/>
      <c r="B690" s="33"/>
      <c r="C690" s="34"/>
      <c r="K690" s="34"/>
      <c r="N690" s="34"/>
      <c r="AB690" s="33"/>
      <c r="AC690" s="24"/>
      <c r="AD690" s="24"/>
    </row>
    <row r="691">
      <c r="A691" s="32"/>
      <c r="B691" s="33"/>
      <c r="C691" s="34"/>
      <c r="K691" s="34"/>
      <c r="N691" s="34"/>
      <c r="AB691" s="33"/>
      <c r="AC691" s="24"/>
      <c r="AD691" s="24"/>
    </row>
    <row r="692">
      <c r="A692" s="32"/>
      <c r="B692" s="33"/>
      <c r="C692" s="34"/>
      <c r="K692" s="34"/>
      <c r="N692" s="34"/>
      <c r="AB692" s="33"/>
      <c r="AC692" s="24"/>
      <c r="AD692" s="24"/>
    </row>
    <row r="693">
      <c r="A693" s="32"/>
      <c r="B693" s="33"/>
      <c r="C693" s="34"/>
      <c r="K693" s="34"/>
      <c r="N693" s="34"/>
      <c r="AB693" s="33"/>
      <c r="AC693" s="24"/>
      <c r="AD693" s="24"/>
    </row>
    <row r="694">
      <c r="A694" s="32"/>
      <c r="B694" s="33"/>
      <c r="C694" s="34"/>
      <c r="K694" s="34"/>
      <c r="N694" s="34"/>
      <c r="AB694" s="33"/>
      <c r="AC694" s="24"/>
      <c r="AD694" s="24"/>
    </row>
    <row r="695">
      <c r="A695" s="32"/>
      <c r="B695" s="33"/>
      <c r="C695" s="34"/>
      <c r="K695" s="34"/>
      <c r="N695" s="34"/>
      <c r="AB695" s="33"/>
      <c r="AC695" s="24"/>
      <c r="AD695" s="24"/>
    </row>
    <row r="696">
      <c r="A696" s="32"/>
      <c r="B696" s="33"/>
      <c r="C696" s="34"/>
      <c r="K696" s="34"/>
      <c r="N696" s="34"/>
      <c r="AB696" s="33"/>
      <c r="AC696" s="24"/>
      <c r="AD696" s="24"/>
    </row>
    <row r="697">
      <c r="A697" s="32"/>
      <c r="B697" s="33"/>
      <c r="C697" s="34"/>
      <c r="K697" s="34"/>
      <c r="N697" s="34"/>
      <c r="AB697" s="33"/>
      <c r="AC697" s="24"/>
      <c r="AD697" s="24"/>
    </row>
    <row r="698">
      <c r="A698" s="32"/>
      <c r="B698" s="33"/>
      <c r="C698" s="34"/>
      <c r="K698" s="34"/>
      <c r="N698" s="34"/>
      <c r="AB698" s="33"/>
      <c r="AC698" s="24"/>
      <c r="AD698" s="24"/>
    </row>
    <row r="699">
      <c r="A699" s="32"/>
      <c r="B699" s="33"/>
      <c r="C699" s="34"/>
      <c r="K699" s="34"/>
      <c r="N699" s="34"/>
      <c r="AB699" s="33"/>
      <c r="AC699" s="24"/>
      <c r="AD699" s="24"/>
    </row>
    <row r="700">
      <c r="A700" s="32"/>
      <c r="B700" s="33"/>
      <c r="C700" s="34"/>
      <c r="K700" s="34"/>
      <c r="N700" s="34"/>
      <c r="AB700" s="33"/>
      <c r="AC700" s="24"/>
      <c r="AD700" s="24"/>
    </row>
    <row r="701">
      <c r="A701" s="32"/>
      <c r="B701" s="33"/>
      <c r="C701" s="34"/>
      <c r="K701" s="34"/>
      <c r="N701" s="34"/>
      <c r="AB701" s="33"/>
      <c r="AC701" s="24"/>
      <c r="AD701" s="24"/>
    </row>
    <row r="702">
      <c r="A702" s="32"/>
      <c r="B702" s="33"/>
      <c r="C702" s="34"/>
      <c r="K702" s="34"/>
      <c r="N702" s="34"/>
      <c r="AB702" s="33"/>
      <c r="AC702" s="24"/>
      <c r="AD702" s="24"/>
    </row>
    <row r="703">
      <c r="A703" s="32"/>
      <c r="B703" s="33"/>
      <c r="C703" s="34"/>
      <c r="K703" s="34"/>
      <c r="N703" s="34"/>
      <c r="AB703" s="33"/>
      <c r="AC703" s="24"/>
      <c r="AD703" s="24"/>
    </row>
    <row r="704">
      <c r="A704" s="32"/>
      <c r="B704" s="33"/>
      <c r="C704" s="34"/>
      <c r="K704" s="34"/>
      <c r="N704" s="34"/>
      <c r="AB704" s="33"/>
      <c r="AC704" s="24"/>
      <c r="AD704" s="24"/>
    </row>
    <row r="705">
      <c r="A705" s="32"/>
      <c r="B705" s="33"/>
      <c r="C705" s="34"/>
      <c r="K705" s="34"/>
      <c r="N705" s="34"/>
      <c r="AB705" s="33"/>
      <c r="AC705" s="24"/>
      <c r="AD705" s="24"/>
    </row>
    <row r="706">
      <c r="A706" s="32"/>
      <c r="B706" s="33"/>
      <c r="C706" s="34"/>
      <c r="K706" s="34"/>
      <c r="N706" s="34"/>
      <c r="AB706" s="33"/>
      <c r="AC706" s="24"/>
      <c r="AD706" s="24"/>
    </row>
    <row r="707">
      <c r="A707" s="32"/>
      <c r="B707" s="33"/>
      <c r="C707" s="34"/>
      <c r="K707" s="34"/>
      <c r="N707" s="34"/>
      <c r="AB707" s="33"/>
      <c r="AC707" s="24"/>
      <c r="AD707" s="24"/>
    </row>
    <row r="708">
      <c r="A708" s="32"/>
      <c r="B708" s="33"/>
      <c r="C708" s="34"/>
      <c r="K708" s="34"/>
      <c r="N708" s="34"/>
      <c r="AB708" s="33"/>
      <c r="AC708" s="24"/>
      <c r="AD708" s="24"/>
    </row>
    <row r="709">
      <c r="A709" s="32"/>
      <c r="B709" s="33"/>
      <c r="C709" s="34"/>
      <c r="K709" s="34"/>
      <c r="N709" s="34"/>
      <c r="AB709" s="33"/>
      <c r="AC709" s="24"/>
      <c r="AD709" s="24"/>
    </row>
    <row r="710">
      <c r="A710" s="32"/>
      <c r="B710" s="33"/>
      <c r="C710" s="34"/>
      <c r="K710" s="34"/>
      <c r="N710" s="34"/>
      <c r="AB710" s="33"/>
      <c r="AC710" s="24"/>
      <c r="AD710" s="24"/>
    </row>
    <row r="711">
      <c r="A711" s="32"/>
      <c r="B711" s="33"/>
      <c r="C711" s="34"/>
      <c r="K711" s="34"/>
      <c r="N711" s="34"/>
      <c r="AB711" s="33"/>
      <c r="AC711" s="24"/>
      <c r="AD711" s="24"/>
    </row>
    <row r="712">
      <c r="A712" s="32"/>
      <c r="B712" s="33"/>
      <c r="C712" s="34"/>
      <c r="K712" s="34"/>
      <c r="N712" s="34"/>
      <c r="AB712" s="33"/>
      <c r="AC712" s="24"/>
      <c r="AD712" s="24"/>
    </row>
    <row r="713">
      <c r="A713" s="32"/>
      <c r="B713" s="33"/>
      <c r="C713" s="34"/>
      <c r="K713" s="34"/>
      <c r="N713" s="34"/>
      <c r="AB713" s="33"/>
      <c r="AC713" s="24"/>
      <c r="AD713" s="24"/>
    </row>
    <row r="714">
      <c r="A714" s="32"/>
      <c r="B714" s="33"/>
      <c r="C714" s="34"/>
      <c r="K714" s="34"/>
      <c r="N714" s="34"/>
      <c r="AB714" s="33"/>
      <c r="AC714" s="24"/>
      <c r="AD714" s="24"/>
    </row>
    <row r="715">
      <c r="A715" s="32"/>
      <c r="B715" s="33"/>
      <c r="C715" s="34"/>
      <c r="K715" s="34"/>
      <c r="N715" s="34"/>
      <c r="AB715" s="33"/>
      <c r="AC715" s="24"/>
      <c r="AD715" s="24"/>
    </row>
    <row r="716">
      <c r="A716" s="32"/>
      <c r="B716" s="33"/>
      <c r="C716" s="34"/>
      <c r="K716" s="34"/>
      <c r="N716" s="34"/>
      <c r="AB716" s="33"/>
      <c r="AC716" s="24"/>
      <c r="AD716" s="24"/>
    </row>
    <row r="717">
      <c r="A717" s="32"/>
      <c r="B717" s="33"/>
      <c r="C717" s="34"/>
      <c r="K717" s="34"/>
      <c r="N717" s="34"/>
      <c r="AB717" s="33"/>
      <c r="AC717" s="24"/>
      <c r="AD717" s="24"/>
    </row>
    <row r="718">
      <c r="A718" s="32"/>
      <c r="B718" s="33"/>
      <c r="C718" s="34"/>
      <c r="K718" s="34"/>
      <c r="N718" s="34"/>
      <c r="AB718" s="33"/>
      <c r="AC718" s="24"/>
      <c r="AD718" s="24"/>
    </row>
    <row r="719">
      <c r="A719" s="32"/>
      <c r="B719" s="33"/>
      <c r="C719" s="34"/>
      <c r="K719" s="34"/>
      <c r="N719" s="34"/>
      <c r="AB719" s="33"/>
      <c r="AC719" s="24"/>
      <c r="AD719" s="24"/>
    </row>
    <row r="720">
      <c r="A720" s="32"/>
      <c r="B720" s="33"/>
      <c r="C720" s="34"/>
      <c r="K720" s="34"/>
      <c r="N720" s="34"/>
      <c r="AB720" s="33"/>
      <c r="AC720" s="24"/>
      <c r="AD720" s="24"/>
    </row>
    <row r="721">
      <c r="A721" s="32"/>
      <c r="B721" s="33"/>
      <c r="C721" s="34"/>
      <c r="K721" s="34"/>
      <c r="N721" s="34"/>
      <c r="AB721" s="33"/>
      <c r="AC721" s="24"/>
      <c r="AD721" s="24"/>
    </row>
    <row r="722">
      <c r="A722" s="32"/>
      <c r="B722" s="33"/>
      <c r="C722" s="34"/>
      <c r="K722" s="34"/>
      <c r="N722" s="34"/>
      <c r="AB722" s="33"/>
      <c r="AC722" s="24"/>
      <c r="AD722" s="24"/>
    </row>
    <row r="723">
      <c r="A723" s="32"/>
      <c r="B723" s="33"/>
      <c r="C723" s="34"/>
      <c r="K723" s="34"/>
      <c r="N723" s="34"/>
      <c r="AB723" s="33"/>
      <c r="AC723" s="24"/>
      <c r="AD723" s="24"/>
    </row>
    <row r="724">
      <c r="A724" s="32"/>
      <c r="B724" s="33"/>
      <c r="C724" s="34"/>
      <c r="K724" s="34"/>
      <c r="N724" s="34"/>
      <c r="AB724" s="33"/>
      <c r="AC724" s="24"/>
      <c r="AD724" s="24"/>
    </row>
    <row r="725">
      <c r="A725" s="32"/>
      <c r="B725" s="33"/>
      <c r="C725" s="34"/>
      <c r="K725" s="34"/>
      <c r="N725" s="34"/>
      <c r="AB725" s="33"/>
      <c r="AC725" s="24"/>
      <c r="AD725" s="24"/>
    </row>
    <row r="726">
      <c r="A726" s="32"/>
      <c r="B726" s="33"/>
      <c r="C726" s="34"/>
      <c r="K726" s="34"/>
      <c r="N726" s="34"/>
      <c r="AB726" s="33"/>
      <c r="AC726" s="24"/>
      <c r="AD726" s="24"/>
    </row>
    <row r="727">
      <c r="A727" s="32"/>
      <c r="B727" s="33"/>
      <c r="C727" s="34"/>
      <c r="K727" s="34"/>
      <c r="N727" s="34"/>
      <c r="AB727" s="33"/>
      <c r="AC727" s="24"/>
      <c r="AD727" s="24"/>
    </row>
    <row r="728">
      <c r="A728" s="32"/>
      <c r="B728" s="33"/>
      <c r="C728" s="34"/>
      <c r="K728" s="34"/>
      <c r="N728" s="34"/>
      <c r="AB728" s="33"/>
      <c r="AC728" s="24"/>
      <c r="AD728" s="24"/>
    </row>
    <row r="729">
      <c r="A729" s="32"/>
      <c r="B729" s="33"/>
      <c r="C729" s="34"/>
      <c r="K729" s="34"/>
      <c r="N729" s="34"/>
      <c r="AB729" s="33"/>
      <c r="AC729" s="24"/>
      <c r="AD729" s="24"/>
    </row>
    <row r="730">
      <c r="A730" s="32"/>
      <c r="B730" s="33"/>
      <c r="C730" s="34"/>
      <c r="K730" s="34"/>
      <c r="N730" s="34"/>
      <c r="AB730" s="33"/>
      <c r="AC730" s="24"/>
      <c r="AD730" s="24"/>
    </row>
    <row r="731">
      <c r="A731" s="32"/>
      <c r="B731" s="33"/>
      <c r="C731" s="34"/>
      <c r="K731" s="34"/>
      <c r="N731" s="34"/>
      <c r="AB731" s="33"/>
      <c r="AC731" s="24"/>
      <c r="AD731" s="24"/>
    </row>
    <row r="732">
      <c r="A732" s="32"/>
      <c r="B732" s="33"/>
      <c r="C732" s="34"/>
      <c r="K732" s="34"/>
      <c r="N732" s="34"/>
      <c r="AB732" s="33"/>
      <c r="AC732" s="24"/>
      <c r="AD732" s="24"/>
    </row>
    <row r="733">
      <c r="A733" s="32"/>
      <c r="B733" s="33"/>
      <c r="C733" s="34"/>
      <c r="K733" s="34"/>
      <c r="N733" s="34"/>
      <c r="AB733" s="33"/>
      <c r="AC733" s="24"/>
      <c r="AD733" s="24"/>
    </row>
    <row r="734">
      <c r="A734" s="32"/>
      <c r="B734" s="33"/>
      <c r="C734" s="34"/>
      <c r="K734" s="34"/>
      <c r="N734" s="34"/>
      <c r="AB734" s="33"/>
      <c r="AC734" s="24"/>
      <c r="AD734" s="24"/>
    </row>
    <row r="735">
      <c r="A735" s="32"/>
      <c r="B735" s="33"/>
      <c r="C735" s="34"/>
      <c r="K735" s="34"/>
      <c r="N735" s="34"/>
      <c r="AB735" s="33"/>
      <c r="AC735" s="24"/>
      <c r="AD735" s="24"/>
    </row>
    <row r="736">
      <c r="A736" s="32"/>
      <c r="B736" s="33"/>
      <c r="C736" s="34"/>
      <c r="K736" s="34"/>
      <c r="N736" s="34"/>
      <c r="AB736" s="33"/>
      <c r="AC736" s="24"/>
      <c r="AD736" s="24"/>
    </row>
    <row r="737">
      <c r="A737" s="32"/>
      <c r="B737" s="33"/>
      <c r="C737" s="34"/>
      <c r="K737" s="34"/>
      <c r="N737" s="34"/>
      <c r="AB737" s="33"/>
      <c r="AC737" s="24"/>
      <c r="AD737" s="24"/>
    </row>
    <row r="738">
      <c r="A738" s="32"/>
      <c r="B738" s="33"/>
      <c r="C738" s="34"/>
      <c r="K738" s="34"/>
      <c r="N738" s="34"/>
      <c r="AB738" s="33"/>
      <c r="AC738" s="24"/>
      <c r="AD738" s="24"/>
    </row>
    <row r="739">
      <c r="A739" s="32"/>
      <c r="B739" s="33"/>
      <c r="C739" s="34"/>
      <c r="K739" s="34"/>
      <c r="N739" s="34"/>
      <c r="AB739" s="33"/>
      <c r="AC739" s="24"/>
      <c r="AD739" s="24"/>
    </row>
    <row r="740">
      <c r="A740" s="32"/>
      <c r="B740" s="33"/>
      <c r="C740" s="34"/>
      <c r="K740" s="34"/>
      <c r="N740" s="34"/>
      <c r="AB740" s="33"/>
      <c r="AC740" s="24"/>
      <c r="AD740" s="24"/>
    </row>
    <row r="741">
      <c r="A741" s="32"/>
      <c r="B741" s="33"/>
      <c r="C741" s="34"/>
      <c r="K741" s="34"/>
      <c r="N741" s="34"/>
      <c r="AB741" s="33"/>
      <c r="AC741" s="24"/>
      <c r="AD741" s="24"/>
    </row>
    <row r="742">
      <c r="A742" s="32"/>
      <c r="B742" s="33"/>
      <c r="C742" s="34"/>
      <c r="K742" s="34"/>
      <c r="N742" s="34"/>
      <c r="AB742" s="33"/>
      <c r="AC742" s="24"/>
      <c r="AD742" s="24"/>
    </row>
    <row r="743">
      <c r="A743" s="32"/>
      <c r="B743" s="33"/>
      <c r="C743" s="34"/>
      <c r="K743" s="34"/>
      <c r="N743" s="34"/>
      <c r="AB743" s="33"/>
      <c r="AC743" s="24"/>
      <c r="AD743" s="24"/>
    </row>
    <row r="744">
      <c r="A744" s="32"/>
      <c r="B744" s="33"/>
      <c r="C744" s="34"/>
      <c r="K744" s="34"/>
      <c r="N744" s="34"/>
      <c r="AB744" s="33"/>
      <c r="AC744" s="24"/>
      <c r="AD744" s="24"/>
    </row>
    <row r="745">
      <c r="A745" s="32"/>
      <c r="B745" s="33"/>
      <c r="C745" s="34"/>
      <c r="K745" s="34"/>
      <c r="N745" s="34"/>
      <c r="AB745" s="33"/>
      <c r="AC745" s="24"/>
      <c r="AD745" s="24"/>
    </row>
    <row r="746">
      <c r="A746" s="32"/>
      <c r="B746" s="33"/>
      <c r="C746" s="34"/>
      <c r="K746" s="34"/>
      <c r="N746" s="34"/>
      <c r="AB746" s="33"/>
      <c r="AC746" s="24"/>
      <c r="AD746" s="24"/>
    </row>
    <row r="747">
      <c r="A747" s="32"/>
      <c r="B747" s="33"/>
      <c r="C747" s="34"/>
      <c r="K747" s="34"/>
      <c r="N747" s="34"/>
      <c r="AB747" s="33"/>
      <c r="AC747" s="24"/>
      <c r="AD747" s="24"/>
    </row>
    <row r="748">
      <c r="A748" s="32"/>
      <c r="B748" s="33"/>
      <c r="C748" s="34"/>
      <c r="K748" s="34"/>
      <c r="N748" s="34"/>
      <c r="AB748" s="33"/>
      <c r="AC748" s="24"/>
      <c r="AD748" s="24"/>
    </row>
    <row r="749">
      <c r="A749" s="32"/>
      <c r="B749" s="33"/>
      <c r="C749" s="34"/>
      <c r="K749" s="34"/>
      <c r="N749" s="34"/>
      <c r="AB749" s="33"/>
      <c r="AC749" s="24"/>
      <c r="AD749" s="24"/>
    </row>
    <row r="750">
      <c r="A750" s="32"/>
      <c r="B750" s="33"/>
      <c r="C750" s="34"/>
      <c r="K750" s="34"/>
      <c r="N750" s="34"/>
      <c r="AB750" s="33"/>
      <c r="AC750" s="24"/>
      <c r="AD750" s="24"/>
    </row>
    <row r="751">
      <c r="A751" s="32"/>
      <c r="B751" s="33"/>
      <c r="C751" s="34"/>
      <c r="K751" s="34"/>
      <c r="N751" s="34"/>
      <c r="AB751" s="33"/>
      <c r="AC751" s="24"/>
      <c r="AD751" s="24"/>
    </row>
    <row r="752">
      <c r="A752" s="32"/>
      <c r="B752" s="33"/>
      <c r="C752" s="34"/>
      <c r="K752" s="34"/>
      <c r="N752" s="34"/>
      <c r="AB752" s="33"/>
      <c r="AC752" s="24"/>
      <c r="AD752" s="24"/>
    </row>
    <row r="753">
      <c r="A753" s="32"/>
      <c r="B753" s="33"/>
      <c r="C753" s="34"/>
      <c r="K753" s="34"/>
      <c r="N753" s="34"/>
      <c r="AB753" s="33"/>
      <c r="AC753" s="24"/>
      <c r="AD753" s="24"/>
    </row>
    <row r="754">
      <c r="A754" s="32"/>
      <c r="B754" s="33"/>
      <c r="C754" s="34"/>
      <c r="K754" s="34"/>
      <c r="N754" s="34"/>
      <c r="AB754" s="33"/>
      <c r="AC754" s="24"/>
      <c r="AD754" s="24"/>
    </row>
    <row r="755">
      <c r="A755" s="32"/>
      <c r="B755" s="33"/>
      <c r="C755" s="34"/>
      <c r="K755" s="34"/>
      <c r="N755" s="34"/>
      <c r="AB755" s="33"/>
      <c r="AC755" s="24"/>
      <c r="AD755" s="24"/>
    </row>
    <row r="756">
      <c r="A756" s="32"/>
      <c r="B756" s="33"/>
      <c r="C756" s="34"/>
      <c r="K756" s="34"/>
      <c r="N756" s="34"/>
      <c r="AB756" s="33"/>
      <c r="AC756" s="24"/>
      <c r="AD756" s="24"/>
    </row>
    <row r="757">
      <c r="A757" s="32"/>
      <c r="B757" s="33"/>
      <c r="C757" s="34"/>
      <c r="K757" s="34"/>
      <c r="N757" s="34"/>
      <c r="AB757" s="33"/>
      <c r="AC757" s="24"/>
      <c r="AD757" s="24"/>
    </row>
    <row r="758">
      <c r="A758" s="32"/>
      <c r="B758" s="33"/>
      <c r="C758" s="34"/>
      <c r="K758" s="34"/>
      <c r="N758" s="34"/>
      <c r="AB758" s="33"/>
      <c r="AC758" s="24"/>
      <c r="AD758" s="24"/>
    </row>
    <row r="759">
      <c r="A759" s="32"/>
      <c r="B759" s="33"/>
      <c r="C759" s="34"/>
      <c r="K759" s="34"/>
      <c r="N759" s="34"/>
      <c r="AB759" s="33"/>
      <c r="AC759" s="24"/>
      <c r="AD759" s="24"/>
    </row>
    <row r="760">
      <c r="A760" s="32"/>
      <c r="B760" s="33"/>
      <c r="C760" s="34"/>
      <c r="K760" s="34"/>
      <c r="N760" s="34"/>
      <c r="AB760" s="33"/>
      <c r="AC760" s="24"/>
      <c r="AD760" s="24"/>
    </row>
    <row r="761">
      <c r="A761" s="32"/>
      <c r="B761" s="33"/>
      <c r="C761" s="34"/>
      <c r="K761" s="34"/>
      <c r="N761" s="34"/>
      <c r="AB761" s="33"/>
      <c r="AC761" s="24"/>
      <c r="AD761" s="24"/>
    </row>
    <row r="762">
      <c r="A762" s="32"/>
      <c r="B762" s="33"/>
      <c r="C762" s="34"/>
      <c r="K762" s="34"/>
      <c r="N762" s="34"/>
      <c r="AB762" s="33"/>
      <c r="AC762" s="24"/>
      <c r="AD762" s="24"/>
    </row>
    <row r="763">
      <c r="A763" s="32"/>
      <c r="B763" s="33"/>
      <c r="C763" s="34"/>
      <c r="K763" s="34"/>
      <c r="N763" s="34"/>
      <c r="AB763" s="33"/>
      <c r="AC763" s="24"/>
      <c r="AD763" s="24"/>
    </row>
    <row r="764">
      <c r="A764" s="32"/>
      <c r="B764" s="33"/>
      <c r="C764" s="34"/>
      <c r="K764" s="34"/>
      <c r="N764" s="34"/>
      <c r="AB764" s="33"/>
      <c r="AC764" s="24"/>
      <c r="AD764" s="24"/>
    </row>
    <row r="765">
      <c r="A765" s="32"/>
      <c r="B765" s="33"/>
      <c r="C765" s="34"/>
      <c r="K765" s="34"/>
      <c r="N765" s="34"/>
      <c r="AB765" s="33"/>
      <c r="AC765" s="24"/>
      <c r="AD765" s="24"/>
    </row>
    <row r="766">
      <c r="A766" s="32"/>
      <c r="B766" s="33"/>
      <c r="C766" s="34"/>
      <c r="K766" s="34"/>
      <c r="N766" s="34"/>
      <c r="AB766" s="33"/>
      <c r="AC766" s="24"/>
      <c r="AD766" s="24"/>
    </row>
    <row r="767">
      <c r="A767" s="32"/>
      <c r="B767" s="33"/>
      <c r="C767" s="34"/>
      <c r="K767" s="34"/>
      <c r="N767" s="34"/>
      <c r="AB767" s="33"/>
      <c r="AC767" s="24"/>
      <c r="AD767" s="24"/>
    </row>
    <row r="768">
      <c r="A768" s="32"/>
      <c r="B768" s="33"/>
      <c r="C768" s="34"/>
      <c r="K768" s="34"/>
      <c r="N768" s="34"/>
      <c r="AB768" s="33"/>
      <c r="AC768" s="24"/>
      <c r="AD768" s="24"/>
    </row>
    <row r="769">
      <c r="A769" s="32"/>
      <c r="B769" s="33"/>
      <c r="C769" s="34"/>
      <c r="K769" s="34"/>
      <c r="N769" s="34"/>
      <c r="AB769" s="33"/>
      <c r="AC769" s="24"/>
      <c r="AD769" s="24"/>
    </row>
    <row r="770">
      <c r="A770" s="32"/>
      <c r="B770" s="33"/>
      <c r="C770" s="34"/>
      <c r="K770" s="34"/>
      <c r="N770" s="34"/>
      <c r="AB770" s="33"/>
      <c r="AC770" s="24"/>
      <c r="AD770" s="24"/>
    </row>
    <row r="771">
      <c r="A771" s="32"/>
      <c r="B771" s="33"/>
      <c r="C771" s="34"/>
      <c r="K771" s="34"/>
      <c r="N771" s="34"/>
      <c r="AB771" s="33"/>
      <c r="AC771" s="24"/>
      <c r="AD771" s="24"/>
    </row>
    <row r="772">
      <c r="A772" s="32"/>
      <c r="B772" s="33"/>
      <c r="C772" s="34"/>
      <c r="K772" s="34"/>
      <c r="N772" s="34"/>
      <c r="AB772" s="33"/>
      <c r="AC772" s="24"/>
      <c r="AD772" s="24"/>
    </row>
    <row r="773">
      <c r="A773" s="32"/>
      <c r="B773" s="33"/>
      <c r="C773" s="34"/>
      <c r="K773" s="34"/>
      <c r="N773" s="34"/>
      <c r="AB773" s="33"/>
      <c r="AC773" s="24"/>
      <c r="AD773" s="24"/>
    </row>
    <row r="774">
      <c r="A774" s="32"/>
      <c r="B774" s="33"/>
      <c r="C774" s="34"/>
      <c r="K774" s="34"/>
      <c r="N774" s="34"/>
      <c r="AB774" s="33"/>
      <c r="AC774" s="24"/>
      <c r="AD774" s="24"/>
    </row>
    <row r="775">
      <c r="A775" s="32"/>
      <c r="B775" s="33"/>
      <c r="C775" s="34"/>
      <c r="K775" s="34"/>
      <c r="N775" s="34"/>
      <c r="AB775" s="33"/>
      <c r="AC775" s="24"/>
      <c r="AD775" s="24"/>
    </row>
    <row r="776">
      <c r="A776" s="32"/>
      <c r="B776" s="33"/>
      <c r="C776" s="34"/>
      <c r="K776" s="34"/>
      <c r="N776" s="34"/>
      <c r="AB776" s="33"/>
      <c r="AC776" s="24"/>
      <c r="AD776" s="24"/>
    </row>
    <row r="777">
      <c r="A777" s="32"/>
      <c r="B777" s="33"/>
      <c r="C777" s="34"/>
      <c r="K777" s="34"/>
      <c r="N777" s="34"/>
      <c r="AB777" s="33"/>
      <c r="AC777" s="24"/>
      <c r="AD777" s="24"/>
    </row>
    <row r="778">
      <c r="A778" s="32"/>
      <c r="B778" s="33"/>
      <c r="C778" s="34"/>
      <c r="K778" s="34"/>
      <c r="N778" s="34"/>
      <c r="AB778" s="33"/>
      <c r="AC778" s="24"/>
      <c r="AD778" s="24"/>
    </row>
    <row r="779">
      <c r="A779" s="32"/>
      <c r="B779" s="33"/>
      <c r="C779" s="34"/>
      <c r="K779" s="34"/>
      <c r="N779" s="34"/>
      <c r="AB779" s="33"/>
      <c r="AC779" s="24"/>
      <c r="AD779" s="24"/>
    </row>
    <row r="780">
      <c r="A780" s="32"/>
      <c r="B780" s="33"/>
      <c r="C780" s="34"/>
      <c r="K780" s="34"/>
      <c r="N780" s="34"/>
      <c r="AB780" s="33"/>
      <c r="AC780" s="24"/>
      <c r="AD780" s="24"/>
    </row>
    <row r="781">
      <c r="A781" s="32"/>
      <c r="B781" s="33"/>
      <c r="C781" s="34"/>
      <c r="K781" s="34"/>
      <c r="N781" s="34"/>
      <c r="AB781" s="33"/>
      <c r="AC781" s="24"/>
      <c r="AD781" s="24"/>
    </row>
    <row r="782">
      <c r="A782" s="32"/>
      <c r="B782" s="33"/>
      <c r="C782" s="34"/>
      <c r="K782" s="34"/>
      <c r="N782" s="34"/>
      <c r="AB782" s="33"/>
      <c r="AC782" s="24"/>
      <c r="AD782" s="24"/>
    </row>
    <row r="783">
      <c r="A783" s="32"/>
      <c r="B783" s="33"/>
      <c r="C783" s="34"/>
      <c r="K783" s="34"/>
      <c r="N783" s="34"/>
      <c r="AB783" s="33"/>
      <c r="AC783" s="24"/>
      <c r="AD783" s="24"/>
    </row>
    <row r="784">
      <c r="A784" s="32"/>
      <c r="B784" s="33"/>
      <c r="C784" s="34"/>
      <c r="K784" s="34"/>
      <c r="N784" s="34"/>
      <c r="AB784" s="33"/>
      <c r="AC784" s="24"/>
      <c r="AD784" s="24"/>
    </row>
    <row r="785">
      <c r="A785" s="32"/>
      <c r="B785" s="33"/>
      <c r="C785" s="34"/>
      <c r="K785" s="34"/>
      <c r="N785" s="34"/>
      <c r="AB785" s="33"/>
      <c r="AC785" s="24"/>
      <c r="AD785" s="24"/>
    </row>
    <row r="786">
      <c r="A786" s="32"/>
      <c r="B786" s="33"/>
      <c r="C786" s="34"/>
      <c r="K786" s="34"/>
      <c r="N786" s="34"/>
      <c r="AB786" s="33"/>
      <c r="AC786" s="24"/>
      <c r="AD786" s="24"/>
    </row>
    <row r="787">
      <c r="A787" s="32"/>
      <c r="B787" s="33"/>
      <c r="C787" s="34"/>
      <c r="K787" s="34"/>
      <c r="N787" s="34"/>
      <c r="AB787" s="33"/>
      <c r="AC787" s="24"/>
      <c r="AD787" s="24"/>
    </row>
    <row r="788">
      <c r="A788" s="32"/>
      <c r="B788" s="33"/>
      <c r="C788" s="34"/>
      <c r="K788" s="34"/>
      <c r="N788" s="34"/>
      <c r="AB788" s="33"/>
      <c r="AC788" s="24"/>
      <c r="AD788" s="24"/>
    </row>
    <row r="789">
      <c r="A789" s="32"/>
      <c r="B789" s="33"/>
      <c r="C789" s="34"/>
      <c r="K789" s="34"/>
      <c r="N789" s="34"/>
      <c r="AB789" s="33"/>
      <c r="AC789" s="24"/>
      <c r="AD789" s="24"/>
    </row>
    <row r="790">
      <c r="A790" s="32"/>
      <c r="B790" s="33"/>
      <c r="C790" s="34"/>
      <c r="K790" s="34"/>
      <c r="N790" s="34"/>
      <c r="AB790" s="33"/>
      <c r="AC790" s="24"/>
      <c r="AD790" s="24"/>
    </row>
    <row r="791">
      <c r="A791" s="32"/>
      <c r="B791" s="33"/>
      <c r="C791" s="34"/>
      <c r="K791" s="34"/>
      <c r="N791" s="34"/>
      <c r="AB791" s="33"/>
      <c r="AC791" s="24"/>
      <c r="AD791" s="24"/>
    </row>
    <row r="792">
      <c r="A792" s="32"/>
      <c r="B792" s="33"/>
      <c r="C792" s="34"/>
      <c r="K792" s="34"/>
      <c r="N792" s="34"/>
      <c r="AB792" s="33"/>
      <c r="AC792" s="24"/>
      <c r="AD792" s="24"/>
    </row>
    <row r="793">
      <c r="A793" s="32"/>
      <c r="B793" s="33"/>
      <c r="C793" s="34"/>
      <c r="K793" s="34"/>
      <c r="N793" s="34"/>
      <c r="AB793" s="33"/>
      <c r="AC793" s="24"/>
      <c r="AD793" s="24"/>
    </row>
    <row r="794">
      <c r="A794" s="32"/>
      <c r="B794" s="33"/>
      <c r="C794" s="34"/>
      <c r="K794" s="34"/>
      <c r="N794" s="34"/>
      <c r="AB794" s="33"/>
      <c r="AC794" s="24"/>
      <c r="AD794" s="24"/>
    </row>
    <row r="795">
      <c r="A795" s="32"/>
      <c r="B795" s="33"/>
      <c r="C795" s="34"/>
      <c r="K795" s="34"/>
      <c r="N795" s="34"/>
      <c r="AB795" s="33"/>
      <c r="AC795" s="24"/>
      <c r="AD795" s="24"/>
    </row>
    <row r="796">
      <c r="A796" s="32"/>
      <c r="B796" s="33"/>
      <c r="C796" s="34"/>
      <c r="K796" s="34"/>
      <c r="N796" s="34"/>
      <c r="AB796" s="33"/>
      <c r="AC796" s="24"/>
      <c r="AD796" s="24"/>
    </row>
    <row r="797">
      <c r="A797" s="32"/>
      <c r="B797" s="33"/>
      <c r="C797" s="34"/>
      <c r="K797" s="34"/>
      <c r="N797" s="34"/>
      <c r="AB797" s="33"/>
      <c r="AC797" s="24"/>
      <c r="AD797" s="24"/>
    </row>
    <row r="798">
      <c r="A798" s="32"/>
      <c r="B798" s="33"/>
      <c r="C798" s="34"/>
      <c r="K798" s="34"/>
      <c r="N798" s="34"/>
      <c r="AB798" s="33"/>
      <c r="AC798" s="24"/>
      <c r="AD798" s="24"/>
    </row>
    <row r="799">
      <c r="A799" s="32"/>
      <c r="B799" s="33"/>
      <c r="C799" s="34"/>
      <c r="K799" s="34"/>
      <c r="N799" s="34"/>
      <c r="AB799" s="33"/>
      <c r="AC799" s="24"/>
      <c r="AD799" s="24"/>
    </row>
    <row r="800">
      <c r="A800" s="32"/>
      <c r="B800" s="33"/>
      <c r="C800" s="34"/>
      <c r="K800" s="34"/>
      <c r="N800" s="34"/>
      <c r="AB800" s="33"/>
      <c r="AC800" s="24"/>
      <c r="AD800" s="24"/>
    </row>
    <row r="801">
      <c r="A801" s="32"/>
      <c r="B801" s="33"/>
      <c r="C801" s="34"/>
      <c r="K801" s="34"/>
      <c r="N801" s="34"/>
      <c r="AB801" s="33"/>
      <c r="AC801" s="24"/>
      <c r="AD801" s="24"/>
    </row>
    <row r="802">
      <c r="A802" s="32"/>
      <c r="B802" s="33"/>
      <c r="C802" s="34"/>
      <c r="K802" s="34"/>
      <c r="N802" s="34"/>
      <c r="AB802" s="33"/>
      <c r="AC802" s="24"/>
      <c r="AD802" s="24"/>
    </row>
    <row r="803">
      <c r="A803" s="32"/>
      <c r="B803" s="33"/>
      <c r="C803" s="34"/>
      <c r="K803" s="34"/>
      <c r="N803" s="34"/>
      <c r="AB803" s="33"/>
      <c r="AC803" s="24"/>
      <c r="AD803" s="24"/>
    </row>
    <row r="804">
      <c r="A804" s="32"/>
      <c r="B804" s="33"/>
      <c r="C804" s="34"/>
      <c r="K804" s="34"/>
      <c r="N804" s="34"/>
      <c r="AB804" s="33"/>
      <c r="AC804" s="24"/>
      <c r="AD804" s="24"/>
    </row>
    <row r="805">
      <c r="A805" s="32"/>
      <c r="B805" s="33"/>
      <c r="C805" s="34"/>
      <c r="K805" s="34"/>
      <c r="N805" s="34"/>
      <c r="AB805" s="33"/>
      <c r="AC805" s="24"/>
      <c r="AD805" s="24"/>
    </row>
    <row r="806">
      <c r="A806" s="32"/>
      <c r="B806" s="33"/>
      <c r="C806" s="34"/>
      <c r="K806" s="34"/>
      <c r="N806" s="34"/>
      <c r="AB806" s="33"/>
      <c r="AC806" s="24"/>
      <c r="AD806" s="24"/>
    </row>
    <row r="807">
      <c r="A807" s="32"/>
      <c r="B807" s="33"/>
      <c r="C807" s="34"/>
      <c r="K807" s="34"/>
      <c r="N807" s="34"/>
      <c r="AB807" s="33"/>
      <c r="AC807" s="24"/>
      <c r="AD807" s="24"/>
    </row>
    <row r="808">
      <c r="A808" s="32"/>
      <c r="B808" s="33"/>
      <c r="C808" s="34"/>
      <c r="K808" s="34"/>
      <c r="N808" s="34"/>
      <c r="AB808" s="33"/>
      <c r="AC808" s="24"/>
      <c r="AD808" s="24"/>
    </row>
    <row r="809">
      <c r="A809" s="32"/>
      <c r="B809" s="33"/>
      <c r="C809" s="34"/>
      <c r="K809" s="34"/>
      <c r="N809" s="34"/>
      <c r="AB809" s="33"/>
      <c r="AC809" s="24"/>
      <c r="AD809" s="24"/>
    </row>
    <row r="810">
      <c r="A810" s="32"/>
      <c r="B810" s="33"/>
      <c r="C810" s="34"/>
      <c r="K810" s="34"/>
      <c r="N810" s="34"/>
      <c r="AB810" s="33"/>
      <c r="AC810" s="24"/>
      <c r="AD810" s="24"/>
    </row>
    <row r="811">
      <c r="A811" s="32"/>
      <c r="B811" s="33"/>
      <c r="C811" s="34"/>
      <c r="K811" s="34"/>
      <c r="N811" s="34"/>
      <c r="AB811" s="33"/>
      <c r="AC811" s="24"/>
      <c r="AD811" s="24"/>
    </row>
    <row r="812">
      <c r="A812" s="32"/>
      <c r="B812" s="33"/>
      <c r="C812" s="34"/>
      <c r="K812" s="34"/>
      <c r="N812" s="34"/>
      <c r="AB812" s="33"/>
      <c r="AC812" s="24"/>
      <c r="AD812" s="24"/>
    </row>
    <row r="813">
      <c r="A813" s="32"/>
      <c r="B813" s="33"/>
      <c r="C813" s="34"/>
      <c r="K813" s="34"/>
      <c r="N813" s="34"/>
      <c r="AB813" s="33"/>
      <c r="AC813" s="24"/>
      <c r="AD813" s="24"/>
    </row>
    <row r="814">
      <c r="A814" s="32"/>
      <c r="B814" s="33"/>
      <c r="C814" s="34"/>
      <c r="K814" s="34"/>
      <c r="N814" s="34"/>
      <c r="AB814" s="33"/>
      <c r="AC814" s="24"/>
      <c r="AD814" s="24"/>
    </row>
    <row r="815">
      <c r="A815" s="32"/>
      <c r="B815" s="33"/>
      <c r="C815" s="34"/>
      <c r="K815" s="34"/>
      <c r="N815" s="34"/>
      <c r="AB815" s="33"/>
      <c r="AC815" s="24"/>
      <c r="AD815" s="24"/>
    </row>
    <row r="816">
      <c r="A816" s="32"/>
      <c r="B816" s="33"/>
      <c r="C816" s="34"/>
      <c r="K816" s="34"/>
      <c r="N816" s="34"/>
      <c r="AB816" s="33"/>
      <c r="AC816" s="24"/>
      <c r="AD816" s="24"/>
    </row>
    <row r="817">
      <c r="A817" s="32"/>
      <c r="B817" s="33"/>
      <c r="C817" s="34"/>
      <c r="K817" s="34"/>
      <c r="N817" s="34"/>
      <c r="AB817" s="33"/>
      <c r="AC817" s="24"/>
      <c r="AD817" s="24"/>
    </row>
    <row r="818">
      <c r="A818" s="32"/>
      <c r="B818" s="33"/>
      <c r="C818" s="34"/>
      <c r="K818" s="34"/>
      <c r="N818" s="34"/>
      <c r="AB818" s="33"/>
      <c r="AC818" s="24"/>
      <c r="AD818" s="24"/>
    </row>
    <row r="819">
      <c r="A819" s="32"/>
      <c r="B819" s="33"/>
      <c r="C819" s="34"/>
      <c r="K819" s="34"/>
      <c r="N819" s="34"/>
      <c r="AB819" s="33"/>
      <c r="AC819" s="24"/>
      <c r="AD819" s="24"/>
    </row>
    <row r="820">
      <c r="A820" s="32"/>
      <c r="B820" s="33"/>
      <c r="C820" s="34"/>
      <c r="K820" s="34"/>
      <c r="N820" s="34"/>
      <c r="AB820" s="33"/>
      <c r="AC820" s="24"/>
      <c r="AD820" s="24"/>
    </row>
    <row r="821">
      <c r="A821" s="32"/>
      <c r="B821" s="33"/>
      <c r="C821" s="34"/>
      <c r="K821" s="34"/>
      <c r="N821" s="34"/>
      <c r="AB821" s="33"/>
      <c r="AC821" s="24"/>
      <c r="AD821" s="24"/>
    </row>
    <row r="822">
      <c r="A822" s="32"/>
      <c r="B822" s="33"/>
      <c r="C822" s="34"/>
      <c r="K822" s="34"/>
      <c r="N822" s="34"/>
      <c r="AB822" s="33"/>
      <c r="AC822" s="24"/>
      <c r="AD822" s="24"/>
    </row>
    <row r="823">
      <c r="A823" s="32"/>
      <c r="B823" s="33"/>
      <c r="C823" s="34"/>
      <c r="K823" s="34"/>
      <c r="N823" s="34"/>
      <c r="AB823" s="33"/>
      <c r="AC823" s="24"/>
      <c r="AD823" s="24"/>
    </row>
    <row r="824">
      <c r="A824" s="32"/>
      <c r="B824" s="33"/>
      <c r="C824" s="34"/>
      <c r="K824" s="34"/>
      <c r="N824" s="34"/>
      <c r="AB824" s="33"/>
      <c r="AC824" s="24"/>
      <c r="AD824" s="24"/>
    </row>
    <row r="825">
      <c r="A825" s="32"/>
      <c r="B825" s="33"/>
      <c r="C825" s="34"/>
      <c r="K825" s="34"/>
      <c r="N825" s="34"/>
      <c r="AB825" s="33"/>
      <c r="AC825" s="24"/>
      <c r="AD825" s="24"/>
    </row>
    <row r="826">
      <c r="A826" s="32"/>
      <c r="B826" s="33"/>
      <c r="C826" s="34"/>
      <c r="K826" s="34"/>
      <c r="N826" s="34"/>
      <c r="AB826" s="33"/>
      <c r="AC826" s="24"/>
      <c r="AD826" s="24"/>
    </row>
    <row r="827">
      <c r="A827" s="32"/>
      <c r="B827" s="33"/>
      <c r="C827" s="34"/>
      <c r="K827" s="34"/>
      <c r="N827" s="34"/>
      <c r="AB827" s="33"/>
      <c r="AC827" s="24"/>
      <c r="AD827" s="24"/>
    </row>
    <row r="828">
      <c r="A828" s="32"/>
      <c r="B828" s="33"/>
      <c r="C828" s="34"/>
      <c r="K828" s="34"/>
      <c r="N828" s="34"/>
      <c r="AB828" s="33"/>
      <c r="AC828" s="24"/>
      <c r="AD828" s="24"/>
    </row>
    <row r="829">
      <c r="A829" s="32"/>
      <c r="B829" s="33"/>
      <c r="C829" s="34"/>
      <c r="K829" s="34"/>
      <c r="N829" s="34"/>
      <c r="AB829" s="33"/>
      <c r="AC829" s="24"/>
      <c r="AD829" s="24"/>
    </row>
    <row r="830">
      <c r="A830" s="32"/>
      <c r="B830" s="33"/>
      <c r="C830" s="34"/>
      <c r="K830" s="34"/>
      <c r="N830" s="34"/>
      <c r="AB830" s="33"/>
      <c r="AC830" s="24"/>
      <c r="AD830" s="24"/>
    </row>
    <row r="831">
      <c r="A831" s="32"/>
      <c r="B831" s="33"/>
      <c r="C831" s="34"/>
      <c r="K831" s="34"/>
      <c r="N831" s="34"/>
      <c r="AB831" s="33"/>
      <c r="AC831" s="24"/>
      <c r="AD831" s="24"/>
    </row>
    <row r="832">
      <c r="A832" s="32"/>
      <c r="B832" s="33"/>
      <c r="C832" s="34"/>
      <c r="K832" s="34"/>
      <c r="N832" s="34"/>
      <c r="AB832" s="33"/>
      <c r="AC832" s="24"/>
      <c r="AD832" s="24"/>
    </row>
    <row r="833">
      <c r="A833" s="32"/>
      <c r="B833" s="33"/>
      <c r="C833" s="34"/>
      <c r="K833" s="34"/>
      <c r="N833" s="34"/>
      <c r="AB833" s="33"/>
      <c r="AC833" s="24"/>
      <c r="AD833" s="24"/>
    </row>
    <row r="834">
      <c r="A834" s="32"/>
      <c r="B834" s="33"/>
      <c r="C834" s="34"/>
      <c r="K834" s="34"/>
      <c r="N834" s="34"/>
      <c r="AB834" s="33"/>
      <c r="AC834" s="24"/>
      <c r="AD834" s="24"/>
    </row>
    <row r="835">
      <c r="A835" s="32"/>
      <c r="B835" s="33"/>
      <c r="C835" s="34"/>
      <c r="K835" s="34"/>
      <c r="N835" s="34"/>
      <c r="AB835" s="33"/>
      <c r="AC835" s="24"/>
      <c r="AD835" s="24"/>
    </row>
    <row r="836">
      <c r="A836" s="32"/>
      <c r="B836" s="33"/>
      <c r="C836" s="34"/>
      <c r="K836" s="34"/>
      <c r="N836" s="34"/>
      <c r="AB836" s="33"/>
      <c r="AC836" s="24"/>
      <c r="AD836" s="24"/>
    </row>
    <row r="837">
      <c r="A837" s="32"/>
      <c r="B837" s="33"/>
      <c r="C837" s="34"/>
      <c r="K837" s="34"/>
      <c r="N837" s="34"/>
      <c r="AB837" s="33"/>
      <c r="AC837" s="24"/>
      <c r="AD837" s="24"/>
    </row>
    <row r="838">
      <c r="A838" s="32"/>
      <c r="B838" s="33"/>
      <c r="C838" s="34"/>
      <c r="K838" s="34"/>
      <c r="N838" s="34"/>
      <c r="AB838" s="33"/>
      <c r="AC838" s="24"/>
      <c r="AD838" s="24"/>
    </row>
    <row r="839">
      <c r="A839" s="32"/>
      <c r="B839" s="33"/>
      <c r="C839" s="34"/>
      <c r="K839" s="34"/>
      <c r="N839" s="34"/>
      <c r="AB839" s="33"/>
      <c r="AC839" s="24"/>
      <c r="AD839" s="24"/>
    </row>
    <row r="840">
      <c r="A840" s="32"/>
      <c r="B840" s="33"/>
      <c r="C840" s="34"/>
      <c r="K840" s="34"/>
      <c r="N840" s="34"/>
      <c r="AB840" s="33"/>
      <c r="AC840" s="24"/>
      <c r="AD840" s="24"/>
    </row>
    <row r="841">
      <c r="A841" s="32"/>
      <c r="B841" s="33"/>
      <c r="C841" s="34"/>
      <c r="K841" s="34"/>
      <c r="N841" s="34"/>
      <c r="AB841" s="33"/>
      <c r="AC841" s="24"/>
      <c r="AD841" s="24"/>
    </row>
    <row r="842">
      <c r="A842" s="32"/>
      <c r="B842" s="33"/>
      <c r="C842" s="34"/>
      <c r="K842" s="34"/>
      <c r="N842" s="34"/>
      <c r="AB842" s="33"/>
      <c r="AC842" s="24"/>
      <c r="AD842" s="24"/>
    </row>
    <row r="843">
      <c r="A843" s="32"/>
      <c r="B843" s="33"/>
      <c r="C843" s="34"/>
      <c r="K843" s="34"/>
      <c r="N843" s="34"/>
      <c r="AB843" s="33"/>
      <c r="AC843" s="24"/>
      <c r="AD843" s="24"/>
    </row>
    <row r="844">
      <c r="A844" s="32"/>
      <c r="B844" s="33"/>
      <c r="C844" s="34"/>
      <c r="K844" s="34"/>
      <c r="N844" s="34"/>
      <c r="AB844" s="33"/>
      <c r="AC844" s="24"/>
      <c r="AD844" s="24"/>
    </row>
    <row r="845">
      <c r="A845" s="32"/>
      <c r="B845" s="33"/>
      <c r="C845" s="34"/>
      <c r="K845" s="34"/>
      <c r="N845" s="34"/>
      <c r="AB845" s="33"/>
      <c r="AC845" s="24"/>
      <c r="AD845" s="24"/>
    </row>
    <row r="846">
      <c r="A846" s="32"/>
      <c r="B846" s="33"/>
      <c r="C846" s="34"/>
      <c r="K846" s="34"/>
      <c r="N846" s="34"/>
      <c r="AB846" s="33"/>
      <c r="AC846" s="24"/>
      <c r="AD846" s="24"/>
    </row>
    <row r="847">
      <c r="A847" s="32"/>
      <c r="B847" s="33"/>
      <c r="C847" s="34"/>
      <c r="K847" s="34"/>
      <c r="N847" s="34"/>
      <c r="AB847" s="33"/>
      <c r="AC847" s="24"/>
      <c r="AD847" s="24"/>
    </row>
    <row r="848">
      <c r="A848" s="32"/>
      <c r="B848" s="33"/>
      <c r="C848" s="34"/>
      <c r="K848" s="34"/>
      <c r="N848" s="34"/>
      <c r="AB848" s="33"/>
      <c r="AC848" s="24"/>
      <c r="AD848" s="24"/>
    </row>
    <row r="849">
      <c r="A849" s="32"/>
      <c r="B849" s="33"/>
      <c r="C849" s="34"/>
      <c r="K849" s="34"/>
      <c r="N849" s="34"/>
      <c r="AB849" s="33"/>
      <c r="AC849" s="24"/>
      <c r="AD849" s="24"/>
    </row>
    <row r="850">
      <c r="A850" s="32"/>
      <c r="B850" s="33"/>
      <c r="C850" s="34"/>
      <c r="K850" s="34"/>
      <c r="N850" s="34"/>
      <c r="AB850" s="33"/>
      <c r="AC850" s="24"/>
      <c r="AD850" s="24"/>
    </row>
    <row r="851">
      <c r="A851" s="32"/>
      <c r="B851" s="33"/>
      <c r="C851" s="34"/>
      <c r="K851" s="34"/>
      <c r="N851" s="34"/>
      <c r="AB851" s="33"/>
      <c r="AC851" s="24"/>
      <c r="AD851" s="24"/>
    </row>
    <row r="852">
      <c r="A852" s="32"/>
      <c r="B852" s="33"/>
      <c r="C852" s="34"/>
      <c r="K852" s="34"/>
      <c r="N852" s="34"/>
      <c r="AB852" s="33"/>
      <c r="AC852" s="24"/>
      <c r="AD852" s="24"/>
    </row>
    <row r="853">
      <c r="A853" s="32"/>
      <c r="B853" s="33"/>
      <c r="C853" s="34"/>
      <c r="K853" s="34"/>
      <c r="N853" s="34"/>
      <c r="AB853" s="33"/>
      <c r="AC853" s="24"/>
      <c r="AD853" s="24"/>
    </row>
    <row r="854">
      <c r="A854" s="32"/>
      <c r="B854" s="33"/>
      <c r="C854" s="34"/>
      <c r="K854" s="34"/>
      <c r="N854" s="34"/>
      <c r="AB854" s="33"/>
      <c r="AC854" s="24"/>
      <c r="AD854" s="24"/>
    </row>
    <row r="855">
      <c r="A855" s="32"/>
      <c r="B855" s="33"/>
      <c r="C855" s="34"/>
      <c r="K855" s="34"/>
      <c r="N855" s="34"/>
      <c r="AB855" s="33"/>
      <c r="AC855" s="24"/>
      <c r="AD855" s="24"/>
    </row>
    <row r="856">
      <c r="A856" s="32"/>
      <c r="B856" s="33"/>
      <c r="C856" s="34"/>
      <c r="K856" s="34"/>
      <c r="N856" s="34"/>
      <c r="AB856" s="33"/>
      <c r="AC856" s="24"/>
      <c r="AD856" s="24"/>
    </row>
    <row r="857">
      <c r="A857" s="32"/>
      <c r="B857" s="33"/>
      <c r="C857" s="34"/>
      <c r="K857" s="34"/>
      <c r="N857" s="34"/>
      <c r="AB857" s="33"/>
      <c r="AC857" s="24"/>
      <c r="AD857" s="24"/>
    </row>
    <row r="858">
      <c r="A858" s="32"/>
      <c r="B858" s="33"/>
      <c r="C858" s="34"/>
      <c r="K858" s="34"/>
      <c r="N858" s="34"/>
      <c r="AB858" s="33"/>
      <c r="AC858" s="24"/>
      <c r="AD858" s="24"/>
    </row>
    <row r="859">
      <c r="A859" s="32"/>
      <c r="B859" s="33"/>
      <c r="C859" s="34"/>
      <c r="K859" s="34"/>
      <c r="N859" s="34"/>
      <c r="AB859" s="33"/>
      <c r="AC859" s="24"/>
      <c r="AD859" s="24"/>
    </row>
    <row r="860">
      <c r="A860" s="32"/>
      <c r="B860" s="33"/>
      <c r="C860" s="34"/>
      <c r="K860" s="34"/>
      <c r="N860" s="34"/>
      <c r="AB860" s="33"/>
      <c r="AC860" s="24"/>
      <c r="AD860" s="24"/>
    </row>
    <row r="861">
      <c r="A861" s="32"/>
      <c r="B861" s="33"/>
      <c r="C861" s="34"/>
      <c r="K861" s="34"/>
      <c r="N861" s="34"/>
      <c r="AB861" s="33"/>
      <c r="AC861" s="24"/>
      <c r="AD861" s="24"/>
    </row>
    <row r="862">
      <c r="A862" s="32"/>
      <c r="B862" s="33"/>
      <c r="C862" s="34"/>
      <c r="K862" s="34"/>
      <c r="N862" s="34"/>
      <c r="AB862" s="33"/>
      <c r="AC862" s="24"/>
      <c r="AD862" s="24"/>
    </row>
    <row r="863">
      <c r="A863" s="32"/>
      <c r="B863" s="33"/>
      <c r="C863" s="34"/>
      <c r="K863" s="34"/>
      <c r="N863" s="34"/>
      <c r="AB863" s="33"/>
      <c r="AC863" s="24"/>
      <c r="AD863" s="24"/>
    </row>
    <row r="864">
      <c r="A864" s="32"/>
      <c r="B864" s="33"/>
      <c r="C864" s="34"/>
      <c r="K864" s="34"/>
      <c r="N864" s="34"/>
      <c r="AB864" s="33"/>
      <c r="AC864" s="24"/>
      <c r="AD864" s="24"/>
    </row>
    <row r="865">
      <c r="A865" s="32"/>
      <c r="B865" s="33"/>
      <c r="C865" s="34"/>
      <c r="K865" s="34"/>
      <c r="N865" s="34"/>
      <c r="AB865" s="33"/>
      <c r="AC865" s="24"/>
      <c r="AD865" s="24"/>
    </row>
    <row r="866">
      <c r="A866" s="32"/>
      <c r="B866" s="33"/>
      <c r="C866" s="34"/>
      <c r="K866" s="34"/>
      <c r="N866" s="34"/>
      <c r="AB866" s="33"/>
      <c r="AC866" s="24"/>
      <c r="AD866" s="24"/>
    </row>
    <row r="867">
      <c r="A867" s="32"/>
      <c r="B867" s="33"/>
      <c r="C867" s="34"/>
      <c r="K867" s="34"/>
      <c r="N867" s="34"/>
      <c r="AB867" s="33"/>
      <c r="AC867" s="24"/>
      <c r="AD867" s="24"/>
    </row>
    <row r="868">
      <c r="A868" s="32"/>
      <c r="B868" s="33"/>
      <c r="C868" s="34"/>
      <c r="K868" s="34"/>
      <c r="N868" s="34"/>
      <c r="AB868" s="33"/>
      <c r="AC868" s="24"/>
      <c r="AD868" s="24"/>
    </row>
    <row r="869">
      <c r="A869" s="32"/>
      <c r="B869" s="33"/>
      <c r="C869" s="34"/>
      <c r="K869" s="34"/>
      <c r="N869" s="34"/>
      <c r="AB869" s="33"/>
      <c r="AC869" s="24"/>
      <c r="AD869" s="24"/>
    </row>
    <row r="870">
      <c r="A870" s="32"/>
      <c r="B870" s="33"/>
      <c r="C870" s="34"/>
      <c r="K870" s="34"/>
      <c r="N870" s="34"/>
      <c r="AB870" s="33"/>
      <c r="AC870" s="24"/>
      <c r="AD870" s="24"/>
    </row>
    <row r="871">
      <c r="A871" s="32"/>
      <c r="B871" s="33"/>
      <c r="C871" s="34"/>
      <c r="K871" s="34"/>
      <c r="N871" s="34"/>
      <c r="AB871" s="33"/>
      <c r="AC871" s="24"/>
      <c r="AD871" s="24"/>
    </row>
    <row r="872">
      <c r="A872" s="32"/>
      <c r="B872" s="33"/>
      <c r="C872" s="34"/>
      <c r="K872" s="34"/>
      <c r="N872" s="34"/>
      <c r="AB872" s="33"/>
      <c r="AC872" s="24"/>
      <c r="AD872" s="24"/>
    </row>
    <row r="873">
      <c r="A873" s="32"/>
      <c r="B873" s="33"/>
      <c r="C873" s="34"/>
      <c r="K873" s="34"/>
      <c r="N873" s="34"/>
      <c r="AB873" s="33"/>
      <c r="AC873" s="24"/>
      <c r="AD873" s="24"/>
    </row>
    <row r="874">
      <c r="A874" s="32"/>
      <c r="B874" s="33"/>
      <c r="C874" s="34"/>
      <c r="K874" s="34"/>
      <c r="N874" s="34"/>
      <c r="AB874" s="33"/>
      <c r="AC874" s="24"/>
      <c r="AD874" s="24"/>
    </row>
    <row r="875">
      <c r="A875" s="32"/>
      <c r="B875" s="33"/>
      <c r="C875" s="34"/>
      <c r="K875" s="34"/>
      <c r="N875" s="34"/>
      <c r="AB875" s="33"/>
      <c r="AC875" s="24"/>
      <c r="AD875" s="24"/>
    </row>
    <row r="876">
      <c r="A876" s="32"/>
      <c r="B876" s="33"/>
      <c r="C876" s="34"/>
      <c r="K876" s="34"/>
      <c r="N876" s="34"/>
      <c r="AB876" s="33"/>
      <c r="AC876" s="24"/>
      <c r="AD876" s="24"/>
    </row>
    <row r="877">
      <c r="A877" s="32"/>
      <c r="B877" s="33"/>
      <c r="C877" s="34"/>
      <c r="K877" s="34"/>
      <c r="N877" s="34"/>
      <c r="AB877" s="33"/>
      <c r="AC877" s="24"/>
      <c r="AD877" s="24"/>
    </row>
    <row r="878">
      <c r="A878" s="32"/>
      <c r="B878" s="33"/>
      <c r="C878" s="34"/>
      <c r="K878" s="34"/>
      <c r="N878" s="34"/>
      <c r="AB878" s="33"/>
      <c r="AC878" s="24"/>
      <c r="AD878" s="24"/>
    </row>
    <row r="879">
      <c r="A879" s="32"/>
      <c r="B879" s="33"/>
      <c r="C879" s="34"/>
      <c r="K879" s="34"/>
      <c r="N879" s="34"/>
      <c r="AB879" s="33"/>
      <c r="AC879" s="24"/>
      <c r="AD879" s="24"/>
    </row>
    <row r="880">
      <c r="A880" s="32"/>
      <c r="B880" s="33"/>
      <c r="C880" s="34"/>
      <c r="K880" s="34"/>
      <c r="N880" s="34"/>
      <c r="AB880" s="33"/>
      <c r="AC880" s="24"/>
      <c r="AD880" s="24"/>
    </row>
    <row r="881">
      <c r="A881" s="32"/>
      <c r="B881" s="33"/>
      <c r="C881" s="34"/>
      <c r="K881" s="34"/>
      <c r="N881" s="34"/>
      <c r="AB881" s="33"/>
      <c r="AC881" s="24"/>
      <c r="AD881" s="24"/>
    </row>
    <row r="882">
      <c r="A882" s="32"/>
      <c r="B882" s="33"/>
      <c r="C882" s="34"/>
      <c r="K882" s="34"/>
      <c r="N882" s="34"/>
      <c r="AB882" s="33"/>
      <c r="AC882" s="24"/>
      <c r="AD882" s="24"/>
    </row>
    <row r="883">
      <c r="A883" s="32"/>
      <c r="B883" s="33"/>
      <c r="C883" s="34"/>
      <c r="K883" s="34"/>
      <c r="N883" s="34"/>
      <c r="AB883" s="33"/>
      <c r="AC883" s="24"/>
      <c r="AD883" s="24"/>
    </row>
    <row r="884">
      <c r="A884" s="32"/>
      <c r="B884" s="33"/>
      <c r="C884" s="34"/>
      <c r="K884" s="34"/>
      <c r="N884" s="34"/>
      <c r="AB884" s="33"/>
      <c r="AC884" s="24"/>
      <c r="AD884" s="24"/>
    </row>
    <row r="885">
      <c r="A885" s="32"/>
      <c r="B885" s="33"/>
      <c r="C885" s="34"/>
      <c r="K885" s="34"/>
      <c r="N885" s="34"/>
      <c r="AB885" s="33"/>
      <c r="AC885" s="24"/>
      <c r="AD885" s="24"/>
    </row>
    <row r="886">
      <c r="A886" s="32"/>
      <c r="B886" s="33"/>
      <c r="C886" s="34"/>
      <c r="K886" s="34"/>
      <c r="N886" s="34"/>
      <c r="AB886" s="33"/>
      <c r="AC886" s="24"/>
      <c r="AD886" s="24"/>
    </row>
    <row r="887">
      <c r="A887" s="32"/>
      <c r="B887" s="33"/>
      <c r="C887" s="34"/>
      <c r="K887" s="34"/>
      <c r="N887" s="34"/>
      <c r="AB887" s="33"/>
      <c r="AC887" s="24"/>
      <c r="AD887" s="24"/>
    </row>
    <row r="888">
      <c r="A888" s="32"/>
      <c r="B888" s="33"/>
      <c r="C888" s="34"/>
      <c r="K888" s="34"/>
      <c r="N888" s="34"/>
      <c r="AB888" s="33"/>
      <c r="AC888" s="24"/>
      <c r="AD888" s="24"/>
    </row>
    <row r="889">
      <c r="A889" s="32"/>
      <c r="B889" s="33"/>
      <c r="C889" s="34"/>
      <c r="K889" s="34"/>
      <c r="N889" s="34"/>
      <c r="AB889" s="33"/>
      <c r="AC889" s="24"/>
      <c r="AD889" s="24"/>
    </row>
    <row r="890">
      <c r="A890" s="32"/>
      <c r="B890" s="33"/>
      <c r="C890" s="34"/>
      <c r="K890" s="34"/>
      <c r="N890" s="34"/>
      <c r="AB890" s="33"/>
      <c r="AC890" s="24"/>
      <c r="AD890" s="24"/>
    </row>
    <row r="891">
      <c r="A891" s="32"/>
      <c r="B891" s="33"/>
      <c r="C891" s="34"/>
      <c r="K891" s="34"/>
      <c r="N891" s="34"/>
      <c r="AB891" s="33"/>
      <c r="AC891" s="24"/>
      <c r="AD891" s="24"/>
    </row>
    <row r="892">
      <c r="A892" s="32"/>
      <c r="B892" s="33"/>
      <c r="C892" s="34"/>
      <c r="K892" s="34"/>
      <c r="N892" s="34"/>
      <c r="AB892" s="33"/>
      <c r="AC892" s="24"/>
      <c r="AD892" s="24"/>
    </row>
    <row r="893">
      <c r="A893" s="32"/>
      <c r="B893" s="33"/>
      <c r="C893" s="34"/>
      <c r="K893" s="34"/>
      <c r="N893" s="34"/>
      <c r="AB893" s="33"/>
      <c r="AC893" s="24"/>
      <c r="AD893" s="24"/>
    </row>
    <row r="894">
      <c r="A894" s="32"/>
      <c r="B894" s="33"/>
      <c r="C894" s="34"/>
      <c r="K894" s="34"/>
      <c r="N894" s="34"/>
      <c r="AB894" s="33"/>
      <c r="AC894" s="24"/>
      <c r="AD894" s="24"/>
    </row>
    <row r="895">
      <c r="A895" s="32"/>
      <c r="B895" s="33"/>
      <c r="C895" s="34"/>
      <c r="K895" s="34"/>
      <c r="N895" s="34"/>
      <c r="AB895" s="33"/>
      <c r="AC895" s="24"/>
      <c r="AD895" s="24"/>
    </row>
    <row r="896">
      <c r="A896" s="32"/>
      <c r="B896" s="33"/>
      <c r="C896" s="34"/>
      <c r="K896" s="34"/>
      <c r="N896" s="34"/>
      <c r="AB896" s="33"/>
      <c r="AC896" s="24"/>
      <c r="AD896" s="24"/>
    </row>
    <row r="897">
      <c r="A897" s="32"/>
      <c r="B897" s="33"/>
      <c r="C897" s="34"/>
      <c r="K897" s="34"/>
      <c r="N897" s="34"/>
      <c r="AB897" s="33"/>
      <c r="AC897" s="24"/>
      <c r="AD897" s="24"/>
    </row>
    <row r="898">
      <c r="A898" s="32"/>
      <c r="B898" s="33"/>
      <c r="C898" s="34"/>
      <c r="K898" s="34"/>
      <c r="N898" s="34"/>
      <c r="AB898" s="33"/>
      <c r="AC898" s="24"/>
      <c r="AD898" s="24"/>
    </row>
    <row r="899">
      <c r="A899" s="32"/>
      <c r="B899" s="33"/>
      <c r="C899" s="34"/>
      <c r="K899" s="34"/>
      <c r="N899" s="34"/>
      <c r="AB899" s="33"/>
      <c r="AC899" s="24"/>
      <c r="AD899" s="24"/>
    </row>
    <row r="900">
      <c r="A900" s="32"/>
      <c r="B900" s="33"/>
      <c r="C900" s="34"/>
      <c r="K900" s="34"/>
      <c r="N900" s="34"/>
      <c r="AB900" s="33"/>
      <c r="AC900" s="24"/>
      <c r="AD900" s="24"/>
    </row>
    <row r="901">
      <c r="A901" s="32"/>
      <c r="B901" s="33"/>
      <c r="C901" s="34"/>
      <c r="K901" s="34"/>
      <c r="N901" s="34"/>
      <c r="AB901" s="33"/>
      <c r="AC901" s="24"/>
      <c r="AD901" s="24"/>
    </row>
    <row r="902">
      <c r="A902" s="32"/>
      <c r="B902" s="33"/>
      <c r="C902" s="34"/>
      <c r="K902" s="34"/>
      <c r="N902" s="34"/>
      <c r="AB902" s="33"/>
      <c r="AC902" s="24"/>
      <c r="AD902" s="24"/>
    </row>
    <row r="903">
      <c r="A903" s="32"/>
      <c r="B903" s="33"/>
      <c r="C903" s="34"/>
      <c r="K903" s="34"/>
      <c r="N903" s="34"/>
      <c r="AB903" s="33"/>
      <c r="AC903" s="24"/>
      <c r="AD903" s="24"/>
    </row>
    <row r="904">
      <c r="A904" s="32"/>
      <c r="B904" s="33"/>
      <c r="C904" s="34"/>
      <c r="K904" s="34"/>
      <c r="N904" s="34"/>
      <c r="AB904" s="33"/>
      <c r="AC904" s="24"/>
      <c r="AD904" s="24"/>
    </row>
    <row r="905">
      <c r="A905" s="32"/>
      <c r="B905" s="33"/>
      <c r="C905" s="34"/>
      <c r="K905" s="34"/>
      <c r="N905" s="34"/>
      <c r="AB905" s="33"/>
      <c r="AC905" s="24"/>
      <c r="AD905" s="24"/>
    </row>
    <row r="906">
      <c r="A906" s="32"/>
      <c r="B906" s="33"/>
      <c r="C906" s="34"/>
      <c r="K906" s="34"/>
      <c r="N906" s="34"/>
      <c r="AB906" s="33"/>
      <c r="AC906" s="24"/>
      <c r="AD906" s="24"/>
    </row>
    <row r="907">
      <c r="A907" s="32"/>
      <c r="B907" s="33"/>
      <c r="C907" s="34"/>
      <c r="K907" s="34"/>
      <c r="N907" s="34"/>
      <c r="AB907" s="33"/>
      <c r="AC907" s="24"/>
      <c r="AD907" s="24"/>
    </row>
    <row r="908">
      <c r="A908" s="32"/>
      <c r="B908" s="33"/>
      <c r="C908" s="34"/>
      <c r="K908" s="34"/>
      <c r="N908" s="34"/>
      <c r="AB908" s="33"/>
      <c r="AC908" s="24"/>
      <c r="AD908" s="24"/>
    </row>
    <row r="909">
      <c r="A909" s="32"/>
      <c r="B909" s="33"/>
      <c r="C909" s="34"/>
      <c r="K909" s="34"/>
      <c r="N909" s="34"/>
      <c r="AB909" s="33"/>
      <c r="AC909" s="24"/>
      <c r="AD909" s="24"/>
    </row>
    <row r="910">
      <c r="A910" s="32"/>
      <c r="B910" s="33"/>
      <c r="C910" s="34"/>
      <c r="K910" s="34"/>
      <c r="N910" s="34"/>
      <c r="AB910" s="33"/>
      <c r="AC910" s="24"/>
      <c r="AD910" s="24"/>
    </row>
    <row r="911">
      <c r="A911" s="32"/>
      <c r="B911" s="33"/>
      <c r="C911" s="34"/>
      <c r="K911" s="34"/>
      <c r="N911" s="34"/>
      <c r="AB911" s="33"/>
      <c r="AC911" s="24"/>
      <c r="AD911" s="24"/>
    </row>
    <row r="912">
      <c r="A912" s="32"/>
      <c r="B912" s="33"/>
      <c r="C912" s="34"/>
      <c r="K912" s="34"/>
      <c r="N912" s="34"/>
      <c r="AB912" s="33"/>
      <c r="AC912" s="24"/>
      <c r="AD912" s="24"/>
    </row>
    <row r="913">
      <c r="A913" s="32"/>
      <c r="B913" s="33"/>
      <c r="C913" s="34"/>
      <c r="K913" s="34"/>
      <c r="N913" s="34"/>
      <c r="AB913" s="33"/>
      <c r="AC913" s="24"/>
      <c r="AD913" s="24"/>
    </row>
    <row r="914">
      <c r="A914" s="32"/>
      <c r="B914" s="33"/>
      <c r="C914" s="34"/>
      <c r="K914" s="34"/>
      <c r="N914" s="34"/>
      <c r="AB914" s="33"/>
      <c r="AC914" s="24"/>
      <c r="AD914" s="24"/>
    </row>
    <row r="915">
      <c r="A915" s="32"/>
      <c r="B915" s="33"/>
      <c r="C915" s="34"/>
      <c r="K915" s="34"/>
      <c r="N915" s="34"/>
      <c r="AB915" s="33"/>
      <c r="AC915" s="24"/>
      <c r="AD915" s="24"/>
    </row>
    <row r="916">
      <c r="A916" s="32"/>
      <c r="B916" s="33"/>
      <c r="C916" s="34"/>
      <c r="K916" s="34"/>
      <c r="N916" s="34"/>
      <c r="AB916" s="33"/>
      <c r="AC916" s="24"/>
      <c r="AD916" s="24"/>
    </row>
    <row r="917">
      <c r="A917" s="32"/>
      <c r="B917" s="33"/>
      <c r="C917" s="34"/>
      <c r="K917" s="34"/>
      <c r="N917" s="34"/>
      <c r="AB917" s="33"/>
      <c r="AC917" s="24"/>
      <c r="AD917" s="24"/>
    </row>
    <row r="918">
      <c r="A918" s="32"/>
      <c r="B918" s="33"/>
      <c r="C918" s="34"/>
      <c r="K918" s="34"/>
      <c r="N918" s="34"/>
      <c r="AB918" s="33"/>
      <c r="AC918" s="24"/>
      <c r="AD918" s="24"/>
    </row>
    <row r="919">
      <c r="A919" s="32"/>
      <c r="B919" s="33"/>
      <c r="C919" s="34"/>
      <c r="K919" s="34"/>
      <c r="N919" s="34"/>
      <c r="AB919" s="33"/>
      <c r="AC919" s="24"/>
      <c r="AD919" s="24"/>
    </row>
    <row r="920">
      <c r="A920" s="32"/>
      <c r="B920" s="33"/>
      <c r="C920" s="34"/>
      <c r="K920" s="34"/>
      <c r="N920" s="34"/>
      <c r="AB920" s="33"/>
      <c r="AC920" s="24"/>
      <c r="AD920" s="24"/>
    </row>
    <row r="921">
      <c r="A921" s="32"/>
      <c r="B921" s="33"/>
      <c r="C921" s="34"/>
      <c r="K921" s="34"/>
      <c r="N921" s="34"/>
      <c r="AB921" s="33"/>
      <c r="AC921" s="24"/>
      <c r="AD921" s="24"/>
    </row>
    <row r="922">
      <c r="A922" s="32"/>
      <c r="B922" s="33"/>
      <c r="C922" s="34"/>
      <c r="K922" s="34"/>
      <c r="N922" s="34"/>
      <c r="AB922" s="33"/>
      <c r="AC922" s="24"/>
      <c r="AD922" s="24"/>
    </row>
    <row r="923">
      <c r="A923" s="32"/>
      <c r="B923" s="33"/>
      <c r="C923" s="34"/>
      <c r="K923" s="34"/>
      <c r="N923" s="34"/>
      <c r="AB923" s="33"/>
      <c r="AC923" s="24"/>
      <c r="AD923" s="24"/>
    </row>
    <row r="924">
      <c r="A924" s="32"/>
      <c r="B924" s="33"/>
      <c r="C924" s="34"/>
      <c r="K924" s="34"/>
      <c r="N924" s="34"/>
      <c r="AB924" s="33"/>
      <c r="AC924" s="24"/>
      <c r="AD924" s="24"/>
    </row>
    <row r="925">
      <c r="A925" s="32"/>
      <c r="B925" s="33"/>
      <c r="C925" s="34"/>
      <c r="K925" s="34"/>
      <c r="N925" s="34"/>
      <c r="AB925" s="33"/>
      <c r="AC925" s="24"/>
      <c r="AD925" s="24"/>
    </row>
    <row r="926">
      <c r="A926" s="32"/>
      <c r="B926" s="33"/>
      <c r="C926" s="34"/>
      <c r="K926" s="34"/>
      <c r="N926" s="34"/>
      <c r="AB926" s="33"/>
      <c r="AC926" s="24"/>
      <c r="AD926" s="24"/>
    </row>
    <row r="927">
      <c r="A927" s="32"/>
      <c r="B927" s="33"/>
      <c r="C927" s="34"/>
      <c r="K927" s="34"/>
      <c r="N927" s="34"/>
      <c r="AB927" s="33"/>
      <c r="AC927" s="24"/>
      <c r="AD927" s="24"/>
    </row>
    <row r="928">
      <c r="A928" s="32"/>
      <c r="B928" s="33"/>
      <c r="C928" s="34"/>
      <c r="K928" s="34"/>
      <c r="N928" s="34"/>
      <c r="AB928" s="33"/>
      <c r="AC928" s="24"/>
      <c r="AD928" s="24"/>
    </row>
  </sheetData>
  <mergeCells count="18">
    <mergeCell ref="A2:A49"/>
    <mergeCell ref="A51:A75"/>
    <mergeCell ref="A76:A90"/>
    <mergeCell ref="B76:C77"/>
    <mergeCell ref="A92:A114"/>
    <mergeCell ref="A115:A134"/>
    <mergeCell ref="B115:C116"/>
    <mergeCell ref="A426:A453"/>
    <mergeCell ref="A455:A484"/>
    <mergeCell ref="A486:A509"/>
    <mergeCell ref="A511:A568"/>
    <mergeCell ref="A136:A162"/>
    <mergeCell ref="A164:A207"/>
    <mergeCell ref="A209:A230"/>
    <mergeCell ref="A232:A278"/>
    <mergeCell ref="A280:A337"/>
    <mergeCell ref="A339:A381"/>
    <mergeCell ref="A383:A424"/>
  </mergeCells>
  <dataValidations>
    <dataValidation type="list" allowBlank="1" showErrorMessage="1" sqref="O2:P49 S2:S49 U2:U49 W2:Z49 X51:Z51 O51:P75 S51:S75 U51:U75 W52:Z75 O78:P90 S78:S90 U78:U90 W78:Z90 O92:P114 S92:S114 U92:U114 X92:Z114 O117:P134 S117:S134 U117:U134 X117:Z134 O136:P162 S136:S162 U136:U162 X136:Z162 O164:P207 S164:S207 U164:U207 X164:Z207 O209:P230 S209:S230 U209:U230 X209:Z230 O232:P278 S232:S278 U232:U278 X232:Z278 O280:P337 S280:S337 U280:U337 X280:Z337 O339:P381 S339:S381 U339:U381 X339:Z381 O383:P424 S383:S424 U383:U424 X383:Z424 O426:P453 S426:S453 U426:U453 X426:Z453 O455:P482 S455:S482 U455:U482 X455:Z482 O486:P509 S486:S509 U486:U509 X486:Z509 O511:P568 S511:S568 U511:U568 X511:Z568">
      <formula1>"Yes,NO"</formula1>
    </dataValidation>
    <dataValidation type="list" allowBlank="1" showErrorMessage="1" sqref="W92:W114 W117:W134 W136:W162 W164:W207 W383:W424 W426:W453 W455:W482 W486:W509 W511:W568">
      <formula1>"Bahut,Kuch Had Tak,Nahi"</formula1>
    </dataValidation>
    <dataValidation type="list" allowBlank="1" showErrorMessage="1" sqref="E2:E49 E51:E75 E78:E90 E92:E114 E117:E134 E136:E162 E164:E207 E209:E230 E232:E278 E280:E337 E339:E381 E383:E424 E426:E453 E455:E482 E486:E509 E511:E568">
      <formula1>"Male,Female"</formula1>
    </dataValidation>
    <dataValidation type="list" allowBlank="1" showErrorMessage="1" sqref="W51">
      <formula1>"Option 1 ,Option 2"</formula1>
    </dataValidation>
    <dataValidation type="list" allowBlank="1" showErrorMessage="1" sqref="N2:N49 N51:N75 N78:N90 N92:N114 N117:N134 N136:N162 N164:N207 N209:N230 N232:N278 N280:N337 N339:N381 N383:N424 N426:N453 N455:N482 N486:N509 N511:N568">
      <formula1>"Connected,Call Back Later,Busy,Switch off,Not Received,Wrong No."</formula1>
    </dataValidation>
    <dataValidation type="list" allowBlank="1" showErrorMessage="1" sqref="AA2:AA49 AA51:AA75 AA78:AA90 AA92:AA114 AA117:AA134 AA136:AA162 AA164:AA207 AA209:AA230 AA232:AA278 AA280:AA337 AA339:AA381 AA383:AA424 AA426:AA453 AA455:AA482 AA486:AA509 AA511:AA568">
      <formula1>"Verified,Not Verified"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 t="s">
        <v>1620</v>
      </c>
      <c r="D1" s="3"/>
      <c r="E1" s="3"/>
      <c r="F1" s="69"/>
    </row>
    <row r="2">
      <c r="D2" s="3"/>
      <c r="E2" s="3"/>
      <c r="F2" s="69"/>
    </row>
    <row r="3">
      <c r="D3" s="3"/>
      <c r="E3" s="3"/>
      <c r="F3" s="69"/>
    </row>
    <row r="4">
      <c r="D4" s="3"/>
      <c r="E4" s="3"/>
      <c r="F4" s="69"/>
    </row>
    <row r="5">
      <c r="D5" s="3"/>
      <c r="E5" s="3"/>
      <c r="F5" s="69"/>
    </row>
    <row r="6">
      <c r="D6" s="70"/>
      <c r="E6" s="71"/>
      <c r="F6" s="71"/>
    </row>
    <row r="7">
      <c r="D7" s="70"/>
      <c r="E7" s="71"/>
      <c r="F7" s="71"/>
    </row>
    <row r="8">
      <c r="A8" s="72" t="s">
        <v>5</v>
      </c>
      <c r="B8" s="72" t="s">
        <v>6</v>
      </c>
      <c r="C8" s="72" t="s">
        <v>7</v>
      </c>
      <c r="D8" s="73" t="s">
        <v>1621</v>
      </c>
      <c r="E8" s="74" t="s">
        <v>2</v>
      </c>
      <c r="F8" s="74" t="s">
        <v>3</v>
      </c>
      <c r="G8" s="75" t="s">
        <v>1622</v>
      </c>
      <c r="H8" s="76" t="s">
        <v>2</v>
      </c>
      <c r="I8" s="76" t="s">
        <v>3</v>
      </c>
    </row>
    <row r="9">
      <c r="A9" s="35">
        <v>1.0</v>
      </c>
      <c r="B9" s="77" t="s">
        <v>1064</v>
      </c>
      <c r="C9" s="78">
        <v>9.507715363E9</v>
      </c>
      <c r="D9" s="79" t="s">
        <v>9</v>
      </c>
      <c r="E9" s="80" t="s">
        <v>1623</v>
      </c>
      <c r="F9" s="81"/>
      <c r="G9" s="79" t="s">
        <v>9</v>
      </c>
      <c r="H9" s="80" t="s">
        <v>1624</v>
      </c>
      <c r="I9" s="82" t="s">
        <v>1625</v>
      </c>
    </row>
    <row r="10">
      <c r="A10" s="83">
        <v>2.0</v>
      </c>
      <c r="B10" s="77" t="s">
        <v>24</v>
      </c>
      <c r="C10" s="78">
        <v>7.320939575E9</v>
      </c>
      <c r="D10" s="79" t="s">
        <v>9</v>
      </c>
      <c r="E10" s="80" t="s">
        <v>1624</v>
      </c>
      <c r="F10" s="56" t="s">
        <v>1626</v>
      </c>
      <c r="G10" s="79" t="s">
        <v>9</v>
      </c>
      <c r="H10" s="80" t="s">
        <v>1624</v>
      </c>
      <c r="I10" s="82" t="s">
        <v>1627</v>
      </c>
    </row>
    <row r="11">
      <c r="A11" s="35">
        <v>3.0</v>
      </c>
      <c r="B11" s="77" t="s">
        <v>1628</v>
      </c>
      <c r="C11" s="78">
        <v>9.031845336E9</v>
      </c>
      <c r="D11" s="79" t="s">
        <v>9</v>
      </c>
      <c r="E11" s="80" t="s">
        <v>1623</v>
      </c>
      <c r="F11" s="81"/>
      <c r="G11" s="79" t="s">
        <v>9</v>
      </c>
      <c r="H11" s="80" t="s">
        <v>1623</v>
      </c>
      <c r="I11" s="82" t="s">
        <v>1629</v>
      </c>
    </row>
    <row r="12">
      <c r="A12" s="83">
        <v>4.0</v>
      </c>
      <c r="B12" s="77" t="s">
        <v>1630</v>
      </c>
      <c r="C12" s="78">
        <v>9.097447464E9</v>
      </c>
      <c r="D12" s="79" t="s">
        <v>9</v>
      </c>
      <c r="E12" s="80" t="s">
        <v>1623</v>
      </c>
      <c r="F12" s="81"/>
      <c r="G12" s="79" t="s">
        <v>9</v>
      </c>
      <c r="H12" s="80" t="s">
        <v>1623</v>
      </c>
      <c r="I12" s="82" t="s">
        <v>1631</v>
      </c>
    </row>
    <row r="13">
      <c r="A13" s="35">
        <v>5.0</v>
      </c>
      <c r="B13" s="77" t="s">
        <v>1632</v>
      </c>
      <c r="C13" s="84"/>
      <c r="D13" s="85"/>
      <c r="E13" s="86"/>
      <c r="F13" s="81"/>
      <c r="G13" s="79"/>
      <c r="H13" s="80"/>
      <c r="I13" s="81"/>
    </row>
    <row r="14">
      <c r="A14" s="83">
        <v>6.0</v>
      </c>
      <c r="B14" s="77" t="s">
        <v>1633</v>
      </c>
      <c r="C14" s="78">
        <v>9.525777797E9</v>
      </c>
      <c r="D14" s="79" t="s">
        <v>9</v>
      </c>
      <c r="E14" s="80" t="s">
        <v>1623</v>
      </c>
      <c r="F14" s="81"/>
      <c r="G14" s="79" t="s">
        <v>9</v>
      </c>
      <c r="H14" s="80" t="s">
        <v>1623</v>
      </c>
      <c r="I14" s="82" t="s">
        <v>1631</v>
      </c>
    </row>
    <row r="15">
      <c r="A15" s="35">
        <v>7.0</v>
      </c>
      <c r="B15" s="77" t="s">
        <v>1634</v>
      </c>
      <c r="C15" s="78">
        <v>7.87022164E9</v>
      </c>
      <c r="D15" s="79" t="s">
        <v>9</v>
      </c>
      <c r="E15" s="80" t="s">
        <v>1623</v>
      </c>
      <c r="F15" s="81"/>
      <c r="G15" s="79" t="s">
        <v>9</v>
      </c>
      <c r="H15" s="80" t="s">
        <v>1623</v>
      </c>
      <c r="I15" s="82" t="s">
        <v>1635</v>
      </c>
    </row>
    <row r="16">
      <c r="A16" s="83">
        <v>8.0</v>
      </c>
      <c r="B16" s="77" t="s">
        <v>144</v>
      </c>
      <c r="C16" s="78">
        <v>9.065787538E9</v>
      </c>
      <c r="D16" s="79" t="s">
        <v>9</v>
      </c>
      <c r="E16" s="80" t="s">
        <v>1623</v>
      </c>
      <c r="F16" s="81"/>
      <c r="G16" s="79" t="s">
        <v>23</v>
      </c>
      <c r="H16" s="80"/>
      <c r="I16" s="81"/>
    </row>
    <row r="17">
      <c r="A17" s="35">
        <v>9.0</v>
      </c>
      <c r="B17" s="77" t="s">
        <v>1636</v>
      </c>
      <c r="C17" s="78">
        <v>9.572397596E9</v>
      </c>
      <c r="D17" s="79" t="s">
        <v>9</v>
      </c>
      <c r="E17" s="80" t="s">
        <v>1623</v>
      </c>
      <c r="F17" s="81"/>
      <c r="G17" s="79" t="s">
        <v>23</v>
      </c>
      <c r="H17" s="80"/>
      <c r="I17" s="81"/>
    </row>
    <row r="18">
      <c r="A18" s="83">
        <v>10.0</v>
      </c>
      <c r="B18" s="77" t="s">
        <v>1637</v>
      </c>
      <c r="C18" s="78">
        <v>9.0063552E9</v>
      </c>
      <c r="D18" s="79" t="s">
        <v>9</v>
      </c>
      <c r="E18" s="80" t="s">
        <v>1623</v>
      </c>
      <c r="F18" s="81"/>
      <c r="G18" s="79" t="s">
        <v>23</v>
      </c>
      <c r="H18" s="80"/>
      <c r="I18" s="81"/>
    </row>
    <row r="19">
      <c r="A19" s="35">
        <v>11.0</v>
      </c>
      <c r="B19" s="77" t="s">
        <v>1411</v>
      </c>
      <c r="C19" s="78">
        <v>9.934038031E9</v>
      </c>
      <c r="D19" s="79" t="s">
        <v>9</v>
      </c>
      <c r="E19" s="80" t="s">
        <v>1623</v>
      </c>
      <c r="F19" s="81"/>
      <c r="G19" s="79" t="s">
        <v>27</v>
      </c>
      <c r="H19" s="80"/>
      <c r="I19" s="81"/>
    </row>
    <row r="20">
      <c r="A20" s="83">
        <v>12.0</v>
      </c>
      <c r="B20" s="77" t="s">
        <v>1638</v>
      </c>
      <c r="C20" s="78">
        <v>8.084364396E9</v>
      </c>
      <c r="D20" s="79" t="s">
        <v>9</v>
      </c>
      <c r="E20" s="80" t="s">
        <v>1623</v>
      </c>
      <c r="F20" s="81"/>
      <c r="G20" s="79" t="s">
        <v>9</v>
      </c>
      <c r="H20" s="80" t="s">
        <v>1624</v>
      </c>
      <c r="I20" s="82" t="s">
        <v>1639</v>
      </c>
    </row>
    <row r="21">
      <c r="A21" s="35">
        <v>13.0</v>
      </c>
      <c r="B21" s="77" t="s">
        <v>1640</v>
      </c>
      <c r="C21" s="78">
        <v>8.521959005E9</v>
      </c>
      <c r="D21" s="79" t="s">
        <v>9</v>
      </c>
      <c r="E21" s="80" t="s">
        <v>1623</v>
      </c>
      <c r="F21" s="81"/>
      <c r="G21" s="79" t="s">
        <v>23</v>
      </c>
      <c r="H21" s="80"/>
      <c r="I21" s="81"/>
    </row>
    <row r="22">
      <c r="A22" s="83">
        <v>14.0</v>
      </c>
      <c r="B22" s="77" t="s">
        <v>1641</v>
      </c>
      <c r="C22" s="78" t="s">
        <v>1642</v>
      </c>
      <c r="D22" s="79" t="s">
        <v>9</v>
      </c>
      <c r="E22" s="80" t="s">
        <v>1623</v>
      </c>
      <c r="F22" s="81"/>
      <c r="G22" s="79" t="s">
        <v>9</v>
      </c>
      <c r="H22" s="80" t="s">
        <v>1623</v>
      </c>
      <c r="I22" s="81"/>
    </row>
    <row r="23">
      <c r="A23" s="35">
        <v>15.0</v>
      </c>
      <c r="B23" s="77" t="s">
        <v>1643</v>
      </c>
      <c r="C23" s="78" t="s">
        <v>1644</v>
      </c>
      <c r="D23" s="79" t="s">
        <v>30</v>
      </c>
      <c r="E23" s="86"/>
      <c r="F23" s="81"/>
      <c r="G23" s="79" t="s">
        <v>9</v>
      </c>
      <c r="H23" s="80"/>
      <c r="I23" s="82" t="s">
        <v>707</v>
      </c>
    </row>
    <row r="24">
      <c r="A24" s="83">
        <v>16.0</v>
      </c>
      <c r="B24" s="77" t="s">
        <v>1645</v>
      </c>
      <c r="C24" s="78">
        <v>6.203281834E9</v>
      </c>
      <c r="D24" s="79" t="s">
        <v>9</v>
      </c>
      <c r="E24" s="80" t="s">
        <v>1623</v>
      </c>
      <c r="F24" s="81"/>
      <c r="G24" s="79" t="s">
        <v>23</v>
      </c>
      <c r="H24" s="80"/>
      <c r="I24" s="81"/>
    </row>
    <row r="25">
      <c r="A25" s="35">
        <v>17.0</v>
      </c>
      <c r="B25" s="77" t="s">
        <v>1646</v>
      </c>
      <c r="C25" s="78">
        <v>8.292547763E9</v>
      </c>
      <c r="D25" s="79" t="s">
        <v>9</v>
      </c>
      <c r="E25" s="80" t="s">
        <v>1623</v>
      </c>
      <c r="F25" s="81"/>
      <c r="G25" s="79" t="s">
        <v>9</v>
      </c>
      <c r="H25" s="80" t="s">
        <v>1623</v>
      </c>
      <c r="I25" s="82" t="s">
        <v>1647</v>
      </c>
    </row>
    <row r="26">
      <c r="A26" s="83">
        <v>18.0</v>
      </c>
      <c r="B26" s="77" t="s">
        <v>1648</v>
      </c>
      <c r="C26" s="78">
        <v>9.031366194E9</v>
      </c>
      <c r="D26" s="79" t="s">
        <v>9</v>
      </c>
      <c r="E26" s="80" t="s">
        <v>1623</v>
      </c>
      <c r="F26" s="81"/>
      <c r="G26" s="79" t="s">
        <v>23</v>
      </c>
      <c r="H26" s="80"/>
      <c r="I26" s="81"/>
    </row>
    <row r="27">
      <c r="A27" s="35">
        <v>19.0</v>
      </c>
      <c r="B27" s="77" t="s">
        <v>1649</v>
      </c>
      <c r="C27" s="78">
        <v>7.970406319E9</v>
      </c>
      <c r="D27" s="79" t="s">
        <v>9</v>
      </c>
      <c r="E27" s="80" t="s">
        <v>1623</v>
      </c>
      <c r="F27" s="81"/>
      <c r="G27" s="79" t="s">
        <v>9</v>
      </c>
      <c r="H27" s="80" t="s">
        <v>1623</v>
      </c>
      <c r="I27" s="82" t="s">
        <v>1647</v>
      </c>
    </row>
    <row r="28">
      <c r="A28" s="83">
        <v>20.0</v>
      </c>
      <c r="B28" s="77" t="s">
        <v>1650</v>
      </c>
      <c r="C28" s="78">
        <v>9.097369597E9</v>
      </c>
      <c r="D28" s="79" t="s">
        <v>9</v>
      </c>
      <c r="E28" s="80" t="s">
        <v>1623</v>
      </c>
      <c r="F28" s="81"/>
      <c r="G28" s="79" t="s">
        <v>9</v>
      </c>
      <c r="H28" s="80" t="s">
        <v>1623</v>
      </c>
      <c r="I28" s="81"/>
    </row>
    <row r="29">
      <c r="A29" s="35">
        <v>21.0</v>
      </c>
      <c r="B29" s="77" t="s">
        <v>1651</v>
      </c>
      <c r="C29" s="84"/>
      <c r="D29" s="85"/>
      <c r="E29" s="86"/>
      <c r="F29" s="81"/>
      <c r="G29" s="79"/>
      <c r="H29" s="80"/>
      <c r="I29" s="81"/>
    </row>
    <row r="30">
      <c r="A30" s="83">
        <v>22.0</v>
      </c>
      <c r="B30" s="77" t="s">
        <v>1652</v>
      </c>
      <c r="C30" s="78">
        <v>7.549954288E9</v>
      </c>
      <c r="D30" s="79" t="s">
        <v>9</v>
      </c>
      <c r="E30" s="80" t="s">
        <v>1623</v>
      </c>
      <c r="F30" s="81"/>
      <c r="G30" s="79" t="s">
        <v>9</v>
      </c>
      <c r="H30" s="80" t="s">
        <v>1624</v>
      </c>
      <c r="I30" s="82" t="s">
        <v>1653</v>
      </c>
    </row>
    <row r="31">
      <c r="A31" s="35">
        <v>23.0</v>
      </c>
      <c r="B31" s="77" t="s">
        <v>1654</v>
      </c>
      <c r="C31" s="78">
        <v>9.504044988E9</v>
      </c>
      <c r="D31" s="79" t="s">
        <v>9</v>
      </c>
      <c r="E31" s="80" t="s">
        <v>1623</v>
      </c>
      <c r="F31" s="81"/>
      <c r="G31" s="79" t="s">
        <v>9</v>
      </c>
      <c r="H31" s="80" t="s">
        <v>1624</v>
      </c>
      <c r="I31" s="82" t="s">
        <v>1655</v>
      </c>
    </row>
    <row r="32">
      <c r="A32" s="83">
        <v>24.0</v>
      </c>
      <c r="B32" s="77" t="s">
        <v>1656</v>
      </c>
      <c r="C32" s="78">
        <v>7.488799643E9</v>
      </c>
      <c r="D32" s="79" t="s">
        <v>9</v>
      </c>
      <c r="E32" s="80" t="s">
        <v>1623</v>
      </c>
      <c r="F32" s="81"/>
      <c r="G32" s="79" t="s">
        <v>9</v>
      </c>
      <c r="H32" s="80" t="s">
        <v>1623</v>
      </c>
      <c r="I32" s="81"/>
    </row>
    <row r="33">
      <c r="A33" s="35">
        <v>25.0</v>
      </c>
      <c r="B33" s="77" t="s">
        <v>43</v>
      </c>
      <c r="C33" s="78">
        <v>6.204476435E9</v>
      </c>
      <c r="D33" s="79" t="s">
        <v>9</v>
      </c>
      <c r="E33" s="80" t="s">
        <v>1623</v>
      </c>
      <c r="F33" s="81"/>
      <c r="G33" s="79" t="s">
        <v>23</v>
      </c>
      <c r="H33" s="80"/>
      <c r="I33" s="81"/>
    </row>
    <row r="34">
      <c r="A34" s="83">
        <v>26.0</v>
      </c>
      <c r="B34" s="77" t="s">
        <v>1657</v>
      </c>
      <c r="C34" s="78">
        <v>8.80495363E9</v>
      </c>
      <c r="D34" s="79" t="s">
        <v>9</v>
      </c>
      <c r="E34" s="80" t="s">
        <v>1623</v>
      </c>
      <c r="F34" s="81"/>
      <c r="G34" s="79" t="s">
        <v>9</v>
      </c>
      <c r="H34" s="80" t="s">
        <v>1623</v>
      </c>
      <c r="I34" s="81"/>
    </row>
    <row r="35">
      <c r="A35" s="35">
        <v>27.0</v>
      </c>
      <c r="B35" s="77" t="s">
        <v>1658</v>
      </c>
      <c r="C35" s="78">
        <v>8.603064834E9</v>
      </c>
      <c r="D35" s="79" t="s">
        <v>9</v>
      </c>
      <c r="E35" s="80" t="s">
        <v>1623</v>
      </c>
      <c r="F35" s="81"/>
      <c r="G35" s="79" t="s">
        <v>9</v>
      </c>
      <c r="H35" s="80" t="s">
        <v>1623</v>
      </c>
      <c r="I35" s="81"/>
    </row>
    <row r="36">
      <c r="A36" s="83">
        <v>28.0</v>
      </c>
      <c r="B36" s="77" t="s">
        <v>1659</v>
      </c>
      <c r="C36" s="78">
        <v>8.969915789E9</v>
      </c>
      <c r="D36" s="79" t="s">
        <v>9</v>
      </c>
      <c r="E36" s="80" t="s">
        <v>1623</v>
      </c>
      <c r="F36" s="81"/>
      <c r="G36" s="79" t="s">
        <v>9</v>
      </c>
      <c r="H36" s="80" t="s">
        <v>1623</v>
      </c>
      <c r="I36" s="81"/>
    </row>
    <row r="37">
      <c r="A37" s="35">
        <v>29.0</v>
      </c>
      <c r="B37" s="77" t="s">
        <v>1660</v>
      </c>
      <c r="C37" s="78">
        <v>8.210611872E9</v>
      </c>
      <c r="D37" s="79" t="s">
        <v>9</v>
      </c>
      <c r="E37" s="80" t="s">
        <v>1623</v>
      </c>
      <c r="F37" s="81"/>
      <c r="G37" s="79" t="s">
        <v>27</v>
      </c>
      <c r="H37" s="80"/>
      <c r="I37" s="81"/>
    </row>
    <row r="38">
      <c r="A38" s="83">
        <v>30.0</v>
      </c>
      <c r="B38" s="77" t="s">
        <v>1661</v>
      </c>
      <c r="C38" s="78">
        <v>9.85256727E9</v>
      </c>
      <c r="D38" s="79" t="s">
        <v>23</v>
      </c>
      <c r="E38" s="86"/>
      <c r="F38" s="81"/>
      <c r="G38" s="79" t="s">
        <v>23</v>
      </c>
      <c r="H38" s="80"/>
      <c r="I38" s="81"/>
    </row>
    <row r="39">
      <c r="A39" s="35">
        <v>31.0</v>
      </c>
      <c r="B39" s="77" t="s">
        <v>1662</v>
      </c>
      <c r="C39" s="78">
        <v>7.061618704E9</v>
      </c>
      <c r="D39" s="79" t="s">
        <v>9</v>
      </c>
      <c r="E39" s="80" t="s">
        <v>1623</v>
      </c>
      <c r="F39" s="81"/>
      <c r="G39" s="79" t="s">
        <v>23</v>
      </c>
      <c r="H39" s="80"/>
      <c r="I39" s="81"/>
    </row>
    <row r="40">
      <c r="A40" s="83">
        <v>32.0</v>
      </c>
      <c r="B40" s="77" t="s">
        <v>1663</v>
      </c>
      <c r="C40" s="78">
        <v>9.472226808E9</v>
      </c>
      <c r="D40" s="79" t="s">
        <v>9</v>
      </c>
      <c r="E40" s="80" t="s">
        <v>1623</v>
      </c>
      <c r="F40" s="81"/>
      <c r="G40" s="79" t="s">
        <v>9</v>
      </c>
      <c r="H40" s="80" t="s">
        <v>1624</v>
      </c>
      <c r="I40" s="82" t="s">
        <v>1639</v>
      </c>
    </row>
    <row r="41">
      <c r="A41" s="35">
        <v>33.0</v>
      </c>
      <c r="B41" s="77" t="s">
        <v>421</v>
      </c>
      <c r="C41" s="78">
        <v>8.340599978E9</v>
      </c>
      <c r="D41" s="79" t="s">
        <v>9</v>
      </c>
      <c r="E41" s="80" t="s">
        <v>1623</v>
      </c>
      <c r="F41" s="81"/>
      <c r="G41" s="79" t="s">
        <v>9</v>
      </c>
      <c r="H41" s="80" t="s">
        <v>1623</v>
      </c>
      <c r="I41" s="81"/>
    </row>
    <row r="42">
      <c r="A42" s="83">
        <v>34.0</v>
      </c>
      <c r="B42" s="77" t="s">
        <v>1664</v>
      </c>
      <c r="C42" s="78">
        <v>6.205369824E9</v>
      </c>
      <c r="D42" s="79" t="s">
        <v>9</v>
      </c>
      <c r="E42" s="80" t="s">
        <v>1623</v>
      </c>
      <c r="F42" s="81"/>
      <c r="G42" s="79" t="s">
        <v>9</v>
      </c>
      <c r="H42" s="80" t="s">
        <v>1624</v>
      </c>
      <c r="I42" s="81"/>
    </row>
    <row r="43">
      <c r="A43" s="35">
        <v>35.0</v>
      </c>
      <c r="B43" s="77" t="s">
        <v>1665</v>
      </c>
      <c r="C43" s="78">
        <v>8.252208657E9</v>
      </c>
      <c r="D43" s="79" t="s">
        <v>9</v>
      </c>
      <c r="E43" s="80" t="s">
        <v>1623</v>
      </c>
      <c r="F43" s="81"/>
      <c r="G43" s="79" t="s">
        <v>13</v>
      </c>
      <c r="H43" s="80"/>
      <c r="I43" s="81"/>
    </row>
    <row r="44">
      <c r="A44" s="83">
        <v>36.0</v>
      </c>
      <c r="B44" s="77" t="s">
        <v>1666</v>
      </c>
      <c r="C44" s="78">
        <v>8.210916152E9</v>
      </c>
      <c r="D44" s="79" t="s">
        <v>9</v>
      </c>
      <c r="E44" s="80" t="s">
        <v>1623</v>
      </c>
      <c r="F44" s="81"/>
      <c r="G44" s="79" t="s">
        <v>13</v>
      </c>
      <c r="H44" s="80"/>
      <c r="I44" s="81"/>
    </row>
    <row r="45">
      <c r="A45" s="35">
        <v>37.0</v>
      </c>
      <c r="B45" s="77" t="s">
        <v>662</v>
      </c>
      <c r="C45" s="78">
        <v>6.20711644E9</v>
      </c>
      <c r="D45" s="79" t="s">
        <v>9</v>
      </c>
      <c r="E45" s="80" t="s">
        <v>1623</v>
      </c>
      <c r="F45" s="81"/>
      <c r="G45" s="79" t="s">
        <v>23</v>
      </c>
      <c r="H45" s="80"/>
      <c r="I45" s="81"/>
    </row>
    <row r="46">
      <c r="A46" s="83">
        <v>38.0</v>
      </c>
      <c r="B46" s="77" t="s">
        <v>1667</v>
      </c>
      <c r="C46" s="78">
        <v>8.5818942E9</v>
      </c>
      <c r="D46" s="79" t="s">
        <v>9</v>
      </c>
      <c r="E46" s="80" t="s">
        <v>1623</v>
      </c>
      <c r="F46" s="81"/>
      <c r="G46" s="79" t="s">
        <v>23</v>
      </c>
      <c r="H46" s="80"/>
      <c r="I46" s="81"/>
    </row>
    <row r="47">
      <c r="A47" s="35">
        <v>39.0</v>
      </c>
      <c r="B47" s="77" t="s">
        <v>58</v>
      </c>
      <c r="C47" s="78">
        <v>8.252112419E9</v>
      </c>
      <c r="D47" s="79" t="s">
        <v>9</v>
      </c>
      <c r="E47" s="80" t="s">
        <v>1623</v>
      </c>
      <c r="F47" s="81"/>
      <c r="G47" s="79" t="s">
        <v>9</v>
      </c>
      <c r="H47" s="80" t="s">
        <v>1624</v>
      </c>
      <c r="I47" s="81"/>
    </row>
    <row r="48">
      <c r="A48" s="83">
        <v>40.0</v>
      </c>
      <c r="B48" s="77" t="s">
        <v>1668</v>
      </c>
      <c r="C48" s="78">
        <v>7.903452403E9</v>
      </c>
      <c r="D48" s="79" t="s">
        <v>9</v>
      </c>
      <c r="E48" s="80" t="s">
        <v>1623</v>
      </c>
      <c r="F48" s="82" t="s">
        <v>1669</v>
      </c>
      <c r="G48" s="79" t="s">
        <v>27</v>
      </c>
      <c r="H48" s="80"/>
      <c r="I48" s="81"/>
    </row>
    <row r="49">
      <c r="A49" s="35">
        <v>41.0</v>
      </c>
      <c r="B49" s="77" t="s">
        <v>1670</v>
      </c>
      <c r="C49" s="78">
        <v>9.631024249E9</v>
      </c>
      <c r="D49" s="79" t="s">
        <v>27</v>
      </c>
      <c r="E49" s="86"/>
      <c r="F49" s="82" t="s">
        <v>1671</v>
      </c>
      <c r="G49" s="79" t="s">
        <v>27</v>
      </c>
      <c r="H49" s="80"/>
      <c r="I49" s="81"/>
    </row>
    <row r="50">
      <c r="A50" s="83">
        <v>42.0</v>
      </c>
      <c r="B50" s="77" t="s">
        <v>144</v>
      </c>
      <c r="C50" s="78">
        <v>7.061882848E9</v>
      </c>
      <c r="D50" s="79" t="s">
        <v>23</v>
      </c>
      <c r="E50" s="86"/>
      <c r="F50" s="81"/>
      <c r="G50" s="79" t="s">
        <v>9</v>
      </c>
      <c r="H50" s="80" t="s">
        <v>1624</v>
      </c>
      <c r="I50" s="81"/>
    </row>
    <row r="51">
      <c r="A51" s="35">
        <v>43.0</v>
      </c>
      <c r="B51" s="77" t="s">
        <v>1672</v>
      </c>
      <c r="C51" s="78">
        <v>9.12220449E9</v>
      </c>
      <c r="D51" s="79" t="s">
        <v>23</v>
      </c>
      <c r="E51" s="86"/>
      <c r="F51" s="81"/>
      <c r="G51" s="79" t="s">
        <v>9</v>
      </c>
      <c r="H51" s="80" t="s">
        <v>1624</v>
      </c>
      <c r="I51" s="82" t="s">
        <v>1673</v>
      </c>
    </row>
    <row r="52">
      <c r="A52" s="83">
        <v>44.0</v>
      </c>
      <c r="B52" s="77" t="s">
        <v>1674</v>
      </c>
      <c r="C52" s="78">
        <v>9.801448859E9</v>
      </c>
      <c r="D52" s="79" t="s">
        <v>9</v>
      </c>
      <c r="E52" s="80" t="s">
        <v>1623</v>
      </c>
      <c r="F52" s="81"/>
      <c r="G52" s="79" t="s">
        <v>9</v>
      </c>
      <c r="H52" s="80" t="s">
        <v>1624</v>
      </c>
      <c r="I52" s="82" t="s">
        <v>1673</v>
      </c>
    </row>
    <row r="53">
      <c r="A53" s="35">
        <v>45.0</v>
      </c>
      <c r="B53" s="77" t="s">
        <v>1675</v>
      </c>
      <c r="C53" s="78">
        <v>9.431081394E9</v>
      </c>
      <c r="D53" s="79" t="s">
        <v>9</v>
      </c>
      <c r="E53" s="80" t="s">
        <v>1623</v>
      </c>
      <c r="F53" s="81"/>
      <c r="G53" s="79" t="s">
        <v>27</v>
      </c>
      <c r="H53" s="80"/>
      <c r="I53" s="81"/>
    </row>
    <row r="54">
      <c r="A54" s="83">
        <v>46.0</v>
      </c>
      <c r="B54" s="77" t="s">
        <v>1676</v>
      </c>
      <c r="C54" s="78">
        <v>8.002956356E9</v>
      </c>
      <c r="D54" s="79" t="s">
        <v>9</v>
      </c>
      <c r="E54" s="80" t="s">
        <v>1623</v>
      </c>
      <c r="F54" s="81"/>
      <c r="G54" s="79" t="s">
        <v>9</v>
      </c>
      <c r="H54" s="80" t="s">
        <v>1624</v>
      </c>
      <c r="I54" s="82" t="s">
        <v>1677</v>
      </c>
    </row>
    <row r="55">
      <c r="A55" s="35">
        <v>47.0</v>
      </c>
      <c r="B55" s="77" t="s">
        <v>1678</v>
      </c>
      <c r="C55" s="78">
        <v>7.27716985E9</v>
      </c>
      <c r="D55" s="79" t="s">
        <v>9</v>
      </c>
      <c r="E55" s="80" t="s">
        <v>1623</v>
      </c>
      <c r="F55" s="81"/>
      <c r="G55" s="79" t="s">
        <v>9</v>
      </c>
      <c r="H55" s="80" t="s">
        <v>1624</v>
      </c>
      <c r="I55" s="82" t="s">
        <v>1673</v>
      </c>
    </row>
    <row r="56">
      <c r="A56" s="83">
        <v>48.0</v>
      </c>
      <c r="B56" s="77" t="s">
        <v>1679</v>
      </c>
      <c r="C56" s="78" t="s">
        <v>1680</v>
      </c>
      <c r="D56" s="79" t="s">
        <v>9</v>
      </c>
      <c r="E56" s="80" t="s">
        <v>1623</v>
      </c>
      <c r="F56" s="81"/>
      <c r="G56" s="79" t="s">
        <v>23</v>
      </c>
      <c r="H56" s="80"/>
      <c r="I56" s="81"/>
    </row>
    <row r="57">
      <c r="A57" s="35">
        <v>49.0</v>
      </c>
      <c r="B57" s="77" t="s">
        <v>1681</v>
      </c>
      <c r="C57" s="78">
        <v>9.504045039E9</v>
      </c>
      <c r="D57" s="79" t="s">
        <v>9</v>
      </c>
      <c r="E57" s="80" t="s">
        <v>1623</v>
      </c>
      <c r="F57" s="81"/>
      <c r="G57" s="79" t="s">
        <v>9</v>
      </c>
      <c r="H57" s="80" t="s">
        <v>1624</v>
      </c>
      <c r="I57" s="82" t="s">
        <v>1677</v>
      </c>
    </row>
    <row r="58">
      <c r="A58" s="83">
        <v>50.0</v>
      </c>
      <c r="B58" s="77" t="s">
        <v>1682</v>
      </c>
      <c r="C58" s="78">
        <v>9.835476062E9</v>
      </c>
      <c r="D58" s="79" t="s">
        <v>9</v>
      </c>
      <c r="E58" s="80" t="s">
        <v>1623</v>
      </c>
      <c r="F58" s="81"/>
      <c r="G58" s="79" t="s">
        <v>9</v>
      </c>
      <c r="H58" s="80" t="s">
        <v>1624</v>
      </c>
      <c r="I58" s="81"/>
    </row>
    <row r="59">
      <c r="A59" s="35">
        <v>51.0</v>
      </c>
      <c r="B59" s="77" t="s">
        <v>1683</v>
      </c>
      <c r="C59" s="78">
        <v>9.877964534E9</v>
      </c>
      <c r="D59" s="79" t="s">
        <v>9</v>
      </c>
      <c r="E59" s="80" t="s">
        <v>1623</v>
      </c>
      <c r="F59" s="81"/>
      <c r="G59" s="79" t="s">
        <v>9</v>
      </c>
      <c r="H59" s="80" t="s">
        <v>1624</v>
      </c>
      <c r="I59" s="82" t="s">
        <v>1684</v>
      </c>
    </row>
    <row r="60">
      <c r="A60" s="83">
        <v>52.0</v>
      </c>
      <c r="B60" s="77" t="s">
        <v>1685</v>
      </c>
      <c r="C60" s="78">
        <v>6.203819093E9</v>
      </c>
      <c r="D60" s="79" t="s">
        <v>27</v>
      </c>
      <c r="E60" s="86"/>
      <c r="F60" s="82" t="s">
        <v>1686</v>
      </c>
      <c r="G60" s="79" t="s">
        <v>9</v>
      </c>
      <c r="H60" s="80" t="s">
        <v>1623</v>
      </c>
      <c r="I60" s="81"/>
    </row>
    <row r="61">
      <c r="A61" s="35">
        <v>53.0</v>
      </c>
      <c r="B61" s="77" t="s">
        <v>1687</v>
      </c>
      <c r="C61" s="78">
        <v>7.479771151E9</v>
      </c>
      <c r="D61" s="79" t="s">
        <v>9</v>
      </c>
      <c r="E61" s="80" t="s">
        <v>1623</v>
      </c>
      <c r="F61" s="81"/>
      <c r="G61" s="79" t="s">
        <v>23</v>
      </c>
      <c r="H61" s="80"/>
      <c r="I61" s="81"/>
    </row>
    <row r="62">
      <c r="A62" s="83">
        <v>54.0</v>
      </c>
      <c r="B62" s="77" t="s">
        <v>1688</v>
      </c>
      <c r="C62" s="78">
        <v>9.304074624E9</v>
      </c>
      <c r="D62" s="79" t="s">
        <v>9</v>
      </c>
      <c r="E62" s="80" t="s">
        <v>1623</v>
      </c>
      <c r="F62" s="81"/>
      <c r="G62" s="79" t="s">
        <v>27</v>
      </c>
      <c r="H62" s="80"/>
      <c r="I62" s="81"/>
    </row>
    <row r="63">
      <c r="A63" s="35">
        <v>55.0</v>
      </c>
      <c r="B63" s="77" t="s">
        <v>1689</v>
      </c>
      <c r="C63" s="78">
        <v>7.277643554E9</v>
      </c>
      <c r="D63" s="79" t="s">
        <v>9</v>
      </c>
      <c r="E63" s="80" t="s">
        <v>1623</v>
      </c>
      <c r="F63" s="81"/>
      <c r="G63" s="79" t="s">
        <v>9</v>
      </c>
      <c r="H63" s="80" t="s">
        <v>1624</v>
      </c>
      <c r="I63" s="81"/>
    </row>
    <row r="64">
      <c r="A64" s="83">
        <v>56.0</v>
      </c>
      <c r="B64" s="77" t="s">
        <v>1690</v>
      </c>
      <c r="C64" s="78">
        <v>9.931895963E9</v>
      </c>
      <c r="D64" s="79" t="s">
        <v>9</v>
      </c>
      <c r="E64" s="80" t="s">
        <v>1623</v>
      </c>
      <c r="F64" s="81"/>
      <c r="G64" s="79" t="s">
        <v>9</v>
      </c>
      <c r="H64" s="80" t="s">
        <v>1623</v>
      </c>
      <c r="I64" s="81"/>
    </row>
    <row r="65">
      <c r="A65" s="35">
        <v>57.0</v>
      </c>
      <c r="B65" s="77" t="s">
        <v>1691</v>
      </c>
      <c r="C65" s="78">
        <v>9.973539669E9</v>
      </c>
      <c r="D65" s="79" t="s">
        <v>9</v>
      </c>
      <c r="E65" s="80" t="s">
        <v>1623</v>
      </c>
      <c r="F65" s="81"/>
      <c r="G65" s="79" t="s">
        <v>27</v>
      </c>
      <c r="H65" s="80"/>
      <c r="I65" s="81"/>
    </row>
    <row r="66">
      <c r="A66" s="83">
        <v>58.0</v>
      </c>
      <c r="B66" s="77" t="s">
        <v>1692</v>
      </c>
      <c r="C66" s="78">
        <v>8.102218267E9</v>
      </c>
      <c r="D66" s="79" t="s">
        <v>23</v>
      </c>
      <c r="E66" s="86"/>
      <c r="F66" s="81"/>
      <c r="G66" s="79" t="s">
        <v>9</v>
      </c>
      <c r="H66" s="80" t="s">
        <v>1624</v>
      </c>
      <c r="I66" s="82" t="s">
        <v>1693</v>
      </c>
    </row>
    <row r="67">
      <c r="A67" s="35">
        <v>59.0</v>
      </c>
      <c r="B67" s="77" t="s">
        <v>1694</v>
      </c>
      <c r="C67" s="78">
        <v>6.205236661E9</v>
      </c>
      <c r="D67" s="79" t="s">
        <v>9</v>
      </c>
      <c r="E67" s="80" t="s">
        <v>1623</v>
      </c>
      <c r="F67" s="81"/>
      <c r="G67" s="79" t="s">
        <v>23</v>
      </c>
      <c r="H67" s="80"/>
      <c r="I67" s="81"/>
    </row>
    <row r="68">
      <c r="A68" s="83">
        <v>60.0</v>
      </c>
      <c r="B68" s="77" t="s">
        <v>1695</v>
      </c>
      <c r="C68" s="78">
        <v>9.709761432E9</v>
      </c>
      <c r="D68" s="79" t="s">
        <v>9</v>
      </c>
      <c r="E68" s="80" t="s">
        <v>1623</v>
      </c>
      <c r="F68" s="81"/>
      <c r="G68" s="79" t="s">
        <v>9</v>
      </c>
      <c r="H68" s="80" t="s">
        <v>1624</v>
      </c>
      <c r="I68" s="82" t="s">
        <v>1696</v>
      </c>
    </row>
    <row r="69">
      <c r="A69" s="35">
        <v>61.0</v>
      </c>
      <c r="B69" s="77" t="s">
        <v>1697</v>
      </c>
      <c r="C69" s="78">
        <v>9.431257212E9</v>
      </c>
      <c r="D69" s="79" t="s">
        <v>9</v>
      </c>
      <c r="E69" s="80" t="s">
        <v>1623</v>
      </c>
      <c r="F69" s="81"/>
      <c r="G69" s="79" t="s">
        <v>9</v>
      </c>
      <c r="H69" s="80" t="s">
        <v>1623</v>
      </c>
      <c r="I69" s="81"/>
    </row>
    <row r="70">
      <c r="A70" s="83">
        <v>62.0</v>
      </c>
      <c r="B70" s="77" t="s">
        <v>1698</v>
      </c>
      <c r="C70" s="78">
        <v>9.00673832E9</v>
      </c>
      <c r="D70" s="79" t="s">
        <v>9</v>
      </c>
      <c r="E70" s="80" t="s">
        <v>1623</v>
      </c>
      <c r="F70" s="81"/>
      <c r="G70" s="79" t="s">
        <v>9</v>
      </c>
      <c r="H70" s="80" t="s">
        <v>1623</v>
      </c>
      <c r="I70" s="81"/>
    </row>
    <row r="71">
      <c r="A71" s="35">
        <v>63.0</v>
      </c>
      <c r="B71" s="77" t="s">
        <v>1699</v>
      </c>
      <c r="C71" s="78">
        <v>8.292293427E9</v>
      </c>
      <c r="D71" s="79" t="s">
        <v>23</v>
      </c>
      <c r="E71" s="86"/>
      <c r="F71" s="81"/>
      <c r="G71" s="79" t="s">
        <v>27</v>
      </c>
      <c r="H71" s="80"/>
      <c r="I71" s="81"/>
    </row>
    <row r="72">
      <c r="A72" s="83">
        <v>64.0</v>
      </c>
      <c r="B72" s="77" t="s">
        <v>1700</v>
      </c>
      <c r="C72" s="78">
        <v>7.739103247E9</v>
      </c>
      <c r="D72" s="79" t="s">
        <v>9</v>
      </c>
      <c r="E72" s="80" t="s">
        <v>1623</v>
      </c>
      <c r="F72" s="81"/>
      <c r="G72" s="79" t="s">
        <v>27</v>
      </c>
      <c r="H72" s="80"/>
      <c r="I72" s="81"/>
    </row>
    <row r="73">
      <c r="A73" s="35">
        <v>65.0</v>
      </c>
      <c r="B73" s="77" t="s">
        <v>1701</v>
      </c>
      <c r="C73" s="78">
        <v>9.939355543E9</v>
      </c>
      <c r="D73" s="79" t="s">
        <v>27</v>
      </c>
      <c r="E73" s="86"/>
      <c r="F73" s="82" t="s">
        <v>403</v>
      </c>
      <c r="G73" s="79" t="s">
        <v>27</v>
      </c>
      <c r="H73" s="80"/>
      <c r="I73" s="81"/>
    </row>
    <row r="74">
      <c r="A74" s="83">
        <v>66.0</v>
      </c>
      <c r="B74" s="77" t="s">
        <v>1702</v>
      </c>
      <c r="C74" s="78">
        <v>9.123136364E9</v>
      </c>
      <c r="D74" s="79" t="s">
        <v>9</v>
      </c>
      <c r="E74" s="80" t="s">
        <v>1623</v>
      </c>
      <c r="F74" s="81"/>
      <c r="G74" s="79" t="s">
        <v>9</v>
      </c>
      <c r="H74" s="80" t="s">
        <v>1623</v>
      </c>
      <c r="I74" s="81"/>
    </row>
    <row r="75">
      <c r="A75" s="35">
        <v>67.0</v>
      </c>
      <c r="B75" s="77" t="s">
        <v>1703</v>
      </c>
      <c r="C75" s="78">
        <v>6.204018202E9</v>
      </c>
      <c r="D75" s="79" t="s">
        <v>27</v>
      </c>
      <c r="E75" s="86"/>
      <c r="F75" s="81"/>
      <c r="G75" s="79" t="s">
        <v>23</v>
      </c>
      <c r="H75" s="80"/>
      <c r="I75" s="81"/>
    </row>
    <row r="76">
      <c r="F76" s="87"/>
    </row>
    <row r="77">
      <c r="F77" s="87"/>
    </row>
    <row r="78">
      <c r="F78" s="87"/>
    </row>
    <row r="79">
      <c r="F79" s="87"/>
    </row>
    <row r="80">
      <c r="F80" s="87"/>
    </row>
    <row r="81">
      <c r="F81" s="87"/>
    </row>
    <row r="82">
      <c r="F82" s="87"/>
    </row>
    <row r="83">
      <c r="F83" s="87"/>
    </row>
    <row r="84">
      <c r="F84" s="87"/>
    </row>
    <row r="85">
      <c r="F85" s="87"/>
    </row>
    <row r="86">
      <c r="F86" s="87"/>
    </row>
    <row r="87">
      <c r="F87" s="87"/>
    </row>
    <row r="88">
      <c r="F88" s="87"/>
    </row>
    <row r="89">
      <c r="F89" s="87"/>
    </row>
    <row r="90">
      <c r="F90" s="87"/>
    </row>
    <row r="91">
      <c r="F91" s="87"/>
    </row>
    <row r="92">
      <c r="F92" s="87"/>
    </row>
    <row r="93">
      <c r="F93" s="87"/>
    </row>
    <row r="94">
      <c r="F94" s="87"/>
    </row>
    <row r="95">
      <c r="F95" s="87"/>
    </row>
    <row r="96">
      <c r="F96" s="87"/>
    </row>
    <row r="97">
      <c r="F97" s="87"/>
    </row>
    <row r="98">
      <c r="F98" s="87"/>
    </row>
    <row r="99">
      <c r="F99" s="87"/>
    </row>
    <row r="100">
      <c r="F100" s="87"/>
    </row>
    <row r="101">
      <c r="F101" s="87"/>
    </row>
    <row r="102">
      <c r="F102" s="87"/>
    </row>
    <row r="103">
      <c r="F103" s="87"/>
    </row>
    <row r="104">
      <c r="F104" s="87"/>
    </row>
    <row r="105">
      <c r="F105" s="87"/>
    </row>
    <row r="106">
      <c r="F106" s="87"/>
    </row>
    <row r="107">
      <c r="F107" s="87"/>
    </row>
    <row r="108">
      <c r="F108" s="87"/>
    </row>
    <row r="109">
      <c r="F109" s="87"/>
    </row>
    <row r="110">
      <c r="F110" s="87"/>
    </row>
    <row r="111">
      <c r="F111" s="87"/>
    </row>
    <row r="112">
      <c r="F112" s="87"/>
    </row>
    <row r="113">
      <c r="F113" s="87"/>
    </row>
    <row r="114">
      <c r="F114" s="87"/>
    </row>
    <row r="115">
      <c r="F115" s="87"/>
    </row>
    <row r="116">
      <c r="F116" s="87"/>
    </row>
    <row r="117">
      <c r="F117" s="87"/>
    </row>
    <row r="118">
      <c r="F118" s="87"/>
    </row>
    <row r="119">
      <c r="F119" s="87"/>
    </row>
    <row r="120">
      <c r="F120" s="87"/>
    </row>
    <row r="121">
      <c r="F121" s="87"/>
    </row>
    <row r="122">
      <c r="F122" s="87"/>
    </row>
    <row r="123">
      <c r="F123" s="87"/>
    </row>
    <row r="124">
      <c r="F124" s="87"/>
    </row>
    <row r="125">
      <c r="F125" s="87"/>
    </row>
    <row r="126">
      <c r="F126" s="87"/>
    </row>
    <row r="127">
      <c r="F127" s="87"/>
    </row>
    <row r="128">
      <c r="F128" s="87"/>
    </row>
    <row r="129">
      <c r="F129" s="87"/>
    </row>
    <row r="130">
      <c r="F130" s="87"/>
    </row>
    <row r="131">
      <c r="F131" s="87"/>
    </row>
    <row r="132">
      <c r="F132" s="87"/>
    </row>
    <row r="133">
      <c r="F133" s="87"/>
    </row>
    <row r="134">
      <c r="F134" s="87"/>
    </row>
    <row r="135">
      <c r="F135" s="87"/>
    </row>
    <row r="136">
      <c r="F136" s="87"/>
    </row>
    <row r="137">
      <c r="F137" s="87"/>
    </row>
    <row r="138">
      <c r="F138" s="87"/>
    </row>
    <row r="139">
      <c r="F139" s="87"/>
    </row>
    <row r="140">
      <c r="F140" s="87"/>
    </row>
    <row r="141">
      <c r="F141" s="87"/>
    </row>
    <row r="142">
      <c r="F142" s="87"/>
    </row>
    <row r="143">
      <c r="F143" s="87"/>
    </row>
    <row r="144">
      <c r="F144" s="87"/>
    </row>
    <row r="145">
      <c r="F145" s="87"/>
    </row>
    <row r="146">
      <c r="F146" s="87"/>
    </row>
    <row r="147">
      <c r="F147" s="87"/>
    </row>
    <row r="148">
      <c r="F148" s="87"/>
    </row>
    <row r="149">
      <c r="F149" s="87"/>
    </row>
    <row r="150">
      <c r="F150" s="87"/>
    </row>
    <row r="151">
      <c r="F151" s="87"/>
    </row>
    <row r="152">
      <c r="F152" s="87"/>
    </row>
    <row r="153">
      <c r="F153" s="87"/>
    </row>
    <row r="154">
      <c r="F154" s="87"/>
    </row>
    <row r="155">
      <c r="F155" s="87"/>
    </row>
    <row r="156">
      <c r="F156" s="87"/>
    </row>
    <row r="157">
      <c r="F157" s="87"/>
    </row>
    <row r="158">
      <c r="F158" s="87"/>
    </row>
    <row r="159">
      <c r="F159" s="87"/>
    </row>
    <row r="160">
      <c r="F160" s="87"/>
    </row>
    <row r="161">
      <c r="F161" s="87"/>
    </row>
    <row r="162">
      <c r="F162" s="87"/>
    </row>
    <row r="163">
      <c r="F163" s="87"/>
    </row>
    <row r="164">
      <c r="F164" s="87"/>
    </row>
    <row r="165">
      <c r="F165" s="87"/>
    </row>
    <row r="166">
      <c r="F166" s="87"/>
    </row>
    <row r="167">
      <c r="F167" s="87"/>
    </row>
    <row r="168">
      <c r="F168" s="87"/>
    </row>
    <row r="169">
      <c r="F169" s="87"/>
    </row>
    <row r="170">
      <c r="F170" s="87"/>
    </row>
    <row r="171">
      <c r="F171" s="87"/>
    </row>
    <row r="172">
      <c r="F172" s="87"/>
    </row>
    <row r="173">
      <c r="F173" s="87"/>
    </row>
    <row r="174">
      <c r="F174" s="87"/>
    </row>
    <row r="175">
      <c r="F175" s="87"/>
    </row>
    <row r="176">
      <c r="F176" s="87"/>
    </row>
    <row r="177">
      <c r="F177" s="87"/>
    </row>
    <row r="178">
      <c r="F178" s="87"/>
    </row>
    <row r="179">
      <c r="F179" s="87"/>
    </row>
    <row r="180">
      <c r="F180" s="87"/>
    </row>
    <row r="181">
      <c r="F181" s="87"/>
    </row>
    <row r="182">
      <c r="F182" s="87"/>
    </row>
    <row r="183">
      <c r="F183" s="87"/>
    </row>
    <row r="184">
      <c r="F184" s="87"/>
    </row>
    <row r="185">
      <c r="F185" s="87"/>
    </row>
    <row r="186">
      <c r="F186" s="87"/>
    </row>
    <row r="187">
      <c r="F187" s="87"/>
    </row>
    <row r="188">
      <c r="F188" s="87"/>
    </row>
    <row r="189">
      <c r="F189" s="87"/>
    </row>
    <row r="190">
      <c r="F190" s="87"/>
    </row>
    <row r="191">
      <c r="F191" s="87"/>
    </row>
    <row r="192">
      <c r="F192" s="87"/>
    </row>
    <row r="193">
      <c r="F193" s="87"/>
    </row>
    <row r="194">
      <c r="F194" s="87"/>
    </row>
    <row r="195">
      <c r="F195" s="87"/>
    </row>
    <row r="196">
      <c r="F196" s="87"/>
    </row>
    <row r="197">
      <c r="F197" s="87"/>
    </row>
    <row r="198">
      <c r="F198" s="87"/>
    </row>
    <row r="199">
      <c r="F199" s="87"/>
    </row>
    <row r="200">
      <c r="F200" s="87"/>
    </row>
    <row r="201">
      <c r="F201" s="87"/>
    </row>
    <row r="202">
      <c r="F202" s="87"/>
    </row>
    <row r="203">
      <c r="F203" s="87"/>
    </row>
    <row r="204">
      <c r="F204" s="87"/>
    </row>
    <row r="205">
      <c r="F205" s="87"/>
    </row>
    <row r="206">
      <c r="F206" s="87"/>
    </row>
    <row r="207">
      <c r="F207" s="87"/>
    </row>
    <row r="208">
      <c r="F208" s="87"/>
    </row>
    <row r="209">
      <c r="F209" s="87"/>
    </row>
    <row r="210">
      <c r="F210" s="87"/>
    </row>
    <row r="211">
      <c r="F211" s="87"/>
    </row>
    <row r="212">
      <c r="F212" s="87"/>
    </row>
    <row r="213">
      <c r="F213" s="87"/>
    </row>
    <row r="214">
      <c r="F214" s="87"/>
    </row>
    <row r="215">
      <c r="F215" s="87"/>
    </row>
    <row r="216">
      <c r="F216" s="87"/>
    </row>
    <row r="217">
      <c r="F217" s="87"/>
    </row>
    <row r="218">
      <c r="F218" s="87"/>
    </row>
    <row r="219">
      <c r="F219" s="87"/>
    </row>
    <row r="220">
      <c r="F220" s="87"/>
    </row>
    <row r="221">
      <c r="F221" s="87"/>
    </row>
    <row r="222">
      <c r="F222" s="87"/>
    </row>
    <row r="223">
      <c r="F223" s="87"/>
    </row>
    <row r="224">
      <c r="F224" s="87"/>
    </row>
    <row r="225">
      <c r="F225" s="87"/>
    </row>
    <row r="226">
      <c r="F226" s="87"/>
    </row>
    <row r="227">
      <c r="F227" s="87"/>
    </row>
    <row r="228">
      <c r="F228" s="87"/>
    </row>
    <row r="229">
      <c r="F229" s="87"/>
    </row>
    <row r="230">
      <c r="F230" s="87"/>
    </row>
    <row r="231">
      <c r="F231" s="87"/>
    </row>
    <row r="232">
      <c r="F232" s="87"/>
    </row>
    <row r="233">
      <c r="F233" s="87"/>
    </row>
    <row r="234">
      <c r="F234" s="87"/>
    </row>
    <row r="235">
      <c r="F235" s="87"/>
    </row>
    <row r="236">
      <c r="F236" s="87"/>
    </row>
    <row r="237">
      <c r="F237" s="87"/>
    </row>
    <row r="238">
      <c r="F238" s="87"/>
    </row>
    <row r="239">
      <c r="F239" s="87"/>
    </row>
    <row r="240">
      <c r="F240" s="87"/>
    </row>
    <row r="241">
      <c r="F241" s="87"/>
    </row>
    <row r="242">
      <c r="F242" s="87"/>
    </row>
    <row r="243">
      <c r="F243" s="87"/>
    </row>
    <row r="244">
      <c r="F244" s="87"/>
    </row>
    <row r="245">
      <c r="F245" s="87"/>
    </row>
    <row r="246">
      <c r="F246" s="87"/>
    </row>
    <row r="247">
      <c r="F247" s="87"/>
    </row>
    <row r="248">
      <c r="F248" s="87"/>
    </row>
    <row r="249">
      <c r="F249" s="87"/>
    </row>
    <row r="250">
      <c r="F250" s="87"/>
    </row>
    <row r="251">
      <c r="F251" s="87"/>
    </row>
    <row r="252">
      <c r="F252" s="87"/>
    </row>
    <row r="253">
      <c r="F253" s="87"/>
    </row>
    <row r="254">
      <c r="F254" s="87"/>
    </row>
    <row r="255">
      <c r="F255" s="87"/>
    </row>
    <row r="256">
      <c r="F256" s="87"/>
    </row>
    <row r="257">
      <c r="F257" s="87"/>
    </row>
    <row r="258">
      <c r="F258" s="87"/>
    </row>
    <row r="259">
      <c r="F259" s="87"/>
    </row>
    <row r="260">
      <c r="F260" s="87"/>
    </row>
    <row r="261">
      <c r="F261" s="87"/>
    </row>
    <row r="262">
      <c r="F262" s="87"/>
    </row>
    <row r="263">
      <c r="F263" s="87"/>
    </row>
    <row r="264">
      <c r="F264" s="87"/>
    </row>
    <row r="265">
      <c r="F265" s="87"/>
    </row>
    <row r="266">
      <c r="F266" s="87"/>
    </row>
    <row r="267">
      <c r="F267" s="87"/>
    </row>
    <row r="268">
      <c r="F268" s="87"/>
    </row>
    <row r="269">
      <c r="F269" s="87"/>
    </row>
    <row r="270">
      <c r="F270" s="87"/>
    </row>
    <row r="271">
      <c r="F271" s="87"/>
    </row>
    <row r="272">
      <c r="F272" s="87"/>
    </row>
    <row r="273">
      <c r="F273" s="87"/>
    </row>
    <row r="274">
      <c r="F274" s="87"/>
    </row>
    <row r="275">
      <c r="F275" s="87"/>
    </row>
    <row r="276">
      <c r="F276" s="87"/>
    </row>
    <row r="277">
      <c r="F277" s="87"/>
    </row>
    <row r="278">
      <c r="F278" s="87"/>
    </row>
    <row r="279">
      <c r="F279" s="87"/>
    </row>
    <row r="280">
      <c r="F280" s="87"/>
    </row>
    <row r="281">
      <c r="F281" s="87"/>
    </row>
    <row r="282">
      <c r="F282" s="87"/>
    </row>
    <row r="283">
      <c r="F283" s="87"/>
    </row>
    <row r="284">
      <c r="F284" s="87"/>
    </row>
    <row r="285">
      <c r="F285" s="87"/>
    </row>
    <row r="286">
      <c r="F286" s="87"/>
    </row>
    <row r="287">
      <c r="F287" s="87"/>
    </row>
    <row r="288">
      <c r="F288" s="87"/>
    </row>
    <row r="289">
      <c r="F289" s="87"/>
    </row>
    <row r="290">
      <c r="F290" s="87"/>
    </row>
    <row r="291">
      <c r="F291" s="87"/>
    </row>
    <row r="292">
      <c r="F292" s="87"/>
    </row>
    <row r="293">
      <c r="F293" s="87"/>
    </row>
    <row r="294">
      <c r="F294" s="87"/>
    </row>
    <row r="295">
      <c r="F295" s="87"/>
    </row>
    <row r="296">
      <c r="F296" s="87"/>
    </row>
    <row r="297">
      <c r="F297" s="87"/>
    </row>
    <row r="298">
      <c r="F298" s="87"/>
    </row>
    <row r="299">
      <c r="F299" s="87"/>
    </row>
    <row r="300">
      <c r="F300" s="87"/>
    </row>
    <row r="301">
      <c r="F301" s="87"/>
    </row>
    <row r="302">
      <c r="F302" s="87"/>
    </row>
    <row r="303">
      <c r="F303" s="87"/>
    </row>
    <row r="304">
      <c r="F304" s="87"/>
    </row>
    <row r="305">
      <c r="F305" s="87"/>
    </row>
    <row r="306">
      <c r="F306" s="87"/>
    </row>
    <row r="307">
      <c r="F307" s="87"/>
    </row>
    <row r="308">
      <c r="F308" s="87"/>
    </row>
    <row r="309">
      <c r="F309" s="87"/>
    </row>
    <row r="310">
      <c r="F310" s="87"/>
    </row>
    <row r="311">
      <c r="F311" s="87"/>
    </row>
    <row r="312">
      <c r="F312" s="87"/>
    </row>
    <row r="313">
      <c r="F313" s="87"/>
    </row>
    <row r="314">
      <c r="F314" s="87"/>
    </row>
    <row r="315">
      <c r="F315" s="87"/>
    </row>
    <row r="316">
      <c r="F316" s="87"/>
    </row>
    <row r="317">
      <c r="F317" s="87"/>
    </row>
    <row r="318">
      <c r="F318" s="87"/>
    </row>
    <row r="319">
      <c r="F319" s="87"/>
    </row>
    <row r="320">
      <c r="F320" s="87"/>
    </row>
    <row r="321">
      <c r="F321" s="87"/>
    </row>
    <row r="322">
      <c r="F322" s="87"/>
    </row>
    <row r="323">
      <c r="F323" s="87"/>
    </row>
    <row r="324">
      <c r="F324" s="87"/>
    </row>
    <row r="325">
      <c r="F325" s="87"/>
    </row>
    <row r="326">
      <c r="F326" s="87"/>
    </row>
    <row r="327">
      <c r="F327" s="87"/>
    </row>
    <row r="328">
      <c r="F328" s="87"/>
    </row>
    <row r="329">
      <c r="F329" s="87"/>
    </row>
    <row r="330">
      <c r="F330" s="87"/>
    </row>
    <row r="331">
      <c r="F331" s="87"/>
    </row>
    <row r="332">
      <c r="F332" s="87"/>
    </row>
    <row r="333">
      <c r="F333" s="87"/>
    </row>
    <row r="334">
      <c r="F334" s="87"/>
    </row>
    <row r="335">
      <c r="F335" s="87"/>
    </row>
    <row r="336">
      <c r="F336" s="87"/>
    </row>
    <row r="337">
      <c r="F337" s="87"/>
    </row>
    <row r="338">
      <c r="F338" s="87"/>
    </row>
    <row r="339">
      <c r="F339" s="87"/>
    </row>
    <row r="340">
      <c r="F340" s="87"/>
    </row>
    <row r="341">
      <c r="F341" s="87"/>
    </row>
    <row r="342">
      <c r="F342" s="87"/>
    </row>
    <row r="343">
      <c r="F343" s="87"/>
    </row>
    <row r="344">
      <c r="F344" s="87"/>
    </row>
    <row r="345">
      <c r="F345" s="87"/>
    </row>
    <row r="346">
      <c r="F346" s="87"/>
    </row>
    <row r="347">
      <c r="F347" s="87"/>
    </row>
    <row r="348">
      <c r="F348" s="87"/>
    </row>
    <row r="349">
      <c r="F349" s="87"/>
    </row>
    <row r="350">
      <c r="F350" s="87"/>
    </row>
    <row r="351">
      <c r="F351" s="87"/>
    </row>
    <row r="352">
      <c r="F352" s="87"/>
    </row>
    <row r="353">
      <c r="F353" s="87"/>
    </row>
    <row r="354">
      <c r="F354" s="87"/>
    </row>
    <row r="355">
      <c r="F355" s="87"/>
    </row>
    <row r="356">
      <c r="F356" s="87"/>
    </row>
    <row r="357">
      <c r="F357" s="87"/>
    </row>
    <row r="358">
      <c r="F358" s="87"/>
    </row>
    <row r="359">
      <c r="F359" s="87"/>
    </row>
    <row r="360">
      <c r="F360" s="87"/>
    </row>
    <row r="361">
      <c r="F361" s="87"/>
    </row>
    <row r="362">
      <c r="F362" s="87"/>
    </row>
    <row r="363">
      <c r="F363" s="87"/>
    </row>
    <row r="364">
      <c r="F364" s="87"/>
    </row>
    <row r="365">
      <c r="F365" s="87"/>
    </row>
    <row r="366">
      <c r="F366" s="87"/>
    </row>
    <row r="367">
      <c r="F367" s="87"/>
    </row>
    <row r="368">
      <c r="F368" s="87"/>
    </row>
    <row r="369">
      <c r="F369" s="87"/>
    </row>
    <row r="370">
      <c r="F370" s="87"/>
    </row>
    <row r="371">
      <c r="F371" s="87"/>
    </row>
    <row r="372">
      <c r="F372" s="87"/>
    </row>
    <row r="373">
      <c r="F373" s="87"/>
    </row>
    <row r="374">
      <c r="F374" s="87"/>
    </row>
    <row r="375">
      <c r="F375" s="87"/>
    </row>
    <row r="376">
      <c r="F376" s="87"/>
    </row>
    <row r="377">
      <c r="F377" s="87"/>
    </row>
    <row r="378">
      <c r="F378" s="87"/>
    </row>
    <row r="379">
      <c r="F379" s="87"/>
    </row>
    <row r="380">
      <c r="F380" s="87"/>
    </row>
    <row r="381">
      <c r="F381" s="87"/>
    </row>
    <row r="382">
      <c r="F382" s="87"/>
    </row>
    <row r="383">
      <c r="F383" s="87"/>
    </row>
    <row r="384">
      <c r="F384" s="87"/>
    </row>
    <row r="385">
      <c r="F385" s="87"/>
    </row>
    <row r="386">
      <c r="F386" s="87"/>
    </row>
    <row r="387">
      <c r="F387" s="87"/>
    </row>
    <row r="388">
      <c r="F388" s="87"/>
    </row>
    <row r="389">
      <c r="F389" s="87"/>
    </row>
    <row r="390">
      <c r="F390" s="87"/>
    </row>
    <row r="391">
      <c r="F391" s="87"/>
    </row>
    <row r="392">
      <c r="F392" s="87"/>
    </row>
    <row r="393">
      <c r="F393" s="87"/>
    </row>
    <row r="394">
      <c r="F394" s="87"/>
    </row>
    <row r="395">
      <c r="F395" s="87"/>
    </row>
    <row r="396">
      <c r="F396" s="87"/>
    </row>
    <row r="397">
      <c r="F397" s="87"/>
    </row>
    <row r="398">
      <c r="F398" s="87"/>
    </row>
    <row r="399">
      <c r="F399" s="87"/>
    </row>
    <row r="400">
      <c r="F400" s="87"/>
    </row>
    <row r="401">
      <c r="F401" s="87"/>
    </row>
    <row r="402">
      <c r="F402" s="87"/>
    </row>
    <row r="403">
      <c r="F403" s="87"/>
    </row>
    <row r="404">
      <c r="F404" s="87"/>
    </row>
    <row r="405">
      <c r="F405" s="87"/>
    </row>
    <row r="406">
      <c r="F406" s="87"/>
    </row>
    <row r="407">
      <c r="F407" s="87"/>
    </row>
    <row r="408">
      <c r="F408" s="87"/>
    </row>
    <row r="409">
      <c r="F409" s="87"/>
    </row>
    <row r="410">
      <c r="F410" s="87"/>
    </row>
    <row r="411">
      <c r="F411" s="87"/>
    </row>
    <row r="412">
      <c r="F412" s="87"/>
    </row>
    <row r="413">
      <c r="F413" s="87"/>
    </row>
    <row r="414">
      <c r="F414" s="87"/>
    </row>
    <row r="415">
      <c r="F415" s="87"/>
    </row>
    <row r="416">
      <c r="F416" s="87"/>
    </row>
    <row r="417">
      <c r="F417" s="87"/>
    </row>
    <row r="418">
      <c r="F418" s="87"/>
    </row>
    <row r="419">
      <c r="F419" s="87"/>
    </row>
    <row r="420">
      <c r="F420" s="87"/>
    </row>
    <row r="421">
      <c r="F421" s="87"/>
    </row>
    <row r="422">
      <c r="F422" s="87"/>
    </row>
    <row r="423">
      <c r="F423" s="87"/>
    </row>
    <row r="424">
      <c r="F424" s="87"/>
    </row>
    <row r="425">
      <c r="F425" s="87"/>
    </row>
    <row r="426">
      <c r="F426" s="87"/>
    </row>
    <row r="427">
      <c r="F427" s="87"/>
    </row>
    <row r="428">
      <c r="F428" s="87"/>
    </row>
    <row r="429">
      <c r="F429" s="87"/>
    </row>
    <row r="430">
      <c r="F430" s="87"/>
    </row>
    <row r="431">
      <c r="F431" s="87"/>
    </row>
    <row r="432">
      <c r="F432" s="87"/>
    </row>
    <row r="433">
      <c r="F433" s="87"/>
    </row>
    <row r="434">
      <c r="F434" s="87"/>
    </row>
    <row r="435">
      <c r="F435" s="87"/>
    </row>
    <row r="436">
      <c r="F436" s="87"/>
    </row>
    <row r="437">
      <c r="F437" s="87"/>
    </row>
    <row r="438">
      <c r="F438" s="87"/>
    </row>
    <row r="439">
      <c r="F439" s="87"/>
    </row>
    <row r="440">
      <c r="F440" s="87"/>
    </row>
    <row r="441">
      <c r="F441" s="87"/>
    </row>
    <row r="442">
      <c r="F442" s="87"/>
    </row>
    <row r="443">
      <c r="F443" s="87"/>
    </row>
    <row r="444">
      <c r="F444" s="87"/>
    </row>
    <row r="445">
      <c r="F445" s="87"/>
    </row>
    <row r="446">
      <c r="F446" s="87"/>
    </row>
    <row r="447">
      <c r="F447" s="87"/>
    </row>
    <row r="448">
      <c r="F448" s="87"/>
    </row>
    <row r="449">
      <c r="F449" s="87"/>
    </row>
    <row r="450">
      <c r="F450" s="87"/>
    </row>
    <row r="451">
      <c r="F451" s="87"/>
    </row>
    <row r="452">
      <c r="F452" s="87"/>
    </row>
    <row r="453">
      <c r="F453" s="87"/>
    </row>
    <row r="454">
      <c r="F454" s="87"/>
    </row>
    <row r="455">
      <c r="F455" s="87"/>
    </row>
    <row r="456">
      <c r="F456" s="87"/>
    </row>
    <row r="457">
      <c r="F457" s="87"/>
    </row>
    <row r="458">
      <c r="F458" s="87"/>
    </row>
    <row r="459">
      <c r="F459" s="87"/>
    </row>
    <row r="460">
      <c r="F460" s="87"/>
    </row>
    <row r="461">
      <c r="F461" s="87"/>
    </row>
    <row r="462">
      <c r="F462" s="87"/>
    </row>
    <row r="463">
      <c r="F463" s="87"/>
    </row>
    <row r="464">
      <c r="F464" s="87"/>
    </row>
    <row r="465">
      <c r="F465" s="87"/>
    </row>
    <row r="466">
      <c r="F466" s="87"/>
    </row>
    <row r="467">
      <c r="F467" s="87"/>
    </row>
    <row r="468">
      <c r="F468" s="87"/>
    </row>
    <row r="469">
      <c r="F469" s="87"/>
    </row>
    <row r="470">
      <c r="F470" s="87"/>
    </row>
    <row r="471">
      <c r="F471" s="87"/>
    </row>
    <row r="472">
      <c r="F472" s="87"/>
    </row>
    <row r="473">
      <c r="F473" s="87"/>
    </row>
    <row r="474">
      <c r="F474" s="87"/>
    </row>
    <row r="475">
      <c r="F475" s="87"/>
    </row>
    <row r="476">
      <c r="F476" s="87"/>
    </row>
    <row r="477">
      <c r="F477" s="87"/>
    </row>
    <row r="478">
      <c r="F478" s="87"/>
    </row>
    <row r="479">
      <c r="F479" s="87"/>
    </row>
    <row r="480">
      <c r="F480" s="87"/>
    </row>
    <row r="481">
      <c r="F481" s="87"/>
    </row>
    <row r="482">
      <c r="F482" s="87"/>
    </row>
    <row r="483">
      <c r="F483" s="87"/>
    </row>
    <row r="484">
      <c r="F484" s="87"/>
    </row>
    <row r="485">
      <c r="F485" s="87"/>
    </row>
    <row r="486">
      <c r="F486" s="87"/>
    </row>
    <row r="487">
      <c r="F487" s="87"/>
    </row>
    <row r="488">
      <c r="F488" s="87"/>
    </row>
    <row r="489">
      <c r="F489" s="87"/>
    </row>
    <row r="490">
      <c r="F490" s="87"/>
    </row>
    <row r="491">
      <c r="F491" s="87"/>
    </row>
    <row r="492">
      <c r="F492" s="87"/>
    </row>
    <row r="493">
      <c r="F493" s="87"/>
    </row>
    <row r="494">
      <c r="F494" s="87"/>
    </row>
    <row r="495">
      <c r="F495" s="87"/>
    </row>
    <row r="496">
      <c r="F496" s="87"/>
    </row>
    <row r="497">
      <c r="F497" s="87"/>
    </row>
    <row r="498">
      <c r="F498" s="87"/>
    </row>
    <row r="499">
      <c r="F499" s="87"/>
    </row>
    <row r="500">
      <c r="F500" s="87"/>
    </row>
    <row r="501">
      <c r="F501" s="87"/>
    </row>
    <row r="502">
      <c r="F502" s="87"/>
    </row>
    <row r="503">
      <c r="F503" s="87"/>
    </row>
    <row r="504">
      <c r="F504" s="87"/>
    </row>
    <row r="505">
      <c r="F505" s="87"/>
    </row>
    <row r="506">
      <c r="F506" s="87"/>
    </row>
    <row r="507">
      <c r="F507" s="87"/>
    </row>
    <row r="508">
      <c r="F508" s="87"/>
    </row>
    <row r="509">
      <c r="F509" s="87"/>
    </row>
    <row r="510">
      <c r="F510" s="87"/>
    </row>
    <row r="511">
      <c r="F511" s="87"/>
    </row>
    <row r="512">
      <c r="F512" s="87"/>
    </row>
    <row r="513">
      <c r="F513" s="87"/>
    </row>
    <row r="514">
      <c r="F514" s="87"/>
    </row>
    <row r="515">
      <c r="F515" s="87"/>
    </row>
    <row r="516">
      <c r="F516" s="87"/>
    </row>
    <row r="517">
      <c r="F517" s="87"/>
    </row>
    <row r="518">
      <c r="F518" s="87"/>
    </row>
    <row r="519">
      <c r="F519" s="87"/>
    </row>
    <row r="520">
      <c r="F520" s="87"/>
    </row>
    <row r="521">
      <c r="F521" s="87"/>
    </row>
    <row r="522">
      <c r="F522" s="87"/>
    </row>
    <row r="523">
      <c r="F523" s="87"/>
    </row>
    <row r="524">
      <c r="F524" s="87"/>
    </row>
    <row r="525">
      <c r="F525" s="87"/>
    </row>
    <row r="526">
      <c r="F526" s="87"/>
    </row>
    <row r="527">
      <c r="F527" s="87"/>
    </row>
    <row r="528">
      <c r="F528" s="87"/>
    </row>
    <row r="529">
      <c r="F529" s="87"/>
    </row>
    <row r="530">
      <c r="F530" s="87"/>
    </row>
    <row r="531">
      <c r="F531" s="87"/>
    </row>
    <row r="532">
      <c r="F532" s="87"/>
    </row>
    <row r="533">
      <c r="F533" s="87"/>
    </row>
    <row r="534">
      <c r="F534" s="87"/>
    </row>
    <row r="535">
      <c r="F535" s="87"/>
    </row>
    <row r="536">
      <c r="F536" s="87"/>
    </row>
    <row r="537">
      <c r="F537" s="87"/>
    </row>
    <row r="538">
      <c r="F538" s="87"/>
    </row>
    <row r="539">
      <c r="F539" s="87"/>
    </row>
    <row r="540">
      <c r="F540" s="87"/>
    </row>
    <row r="541">
      <c r="F541" s="87"/>
    </row>
    <row r="542">
      <c r="F542" s="87"/>
    </row>
    <row r="543">
      <c r="F543" s="87"/>
    </row>
    <row r="544">
      <c r="F544" s="87"/>
    </row>
    <row r="545">
      <c r="F545" s="87"/>
    </row>
    <row r="546">
      <c r="F546" s="87"/>
    </row>
    <row r="547">
      <c r="F547" s="87"/>
    </row>
    <row r="548">
      <c r="F548" s="87"/>
    </row>
    <row r="549">
      <c r="F549" s="87"/>
    </row>
    <row r="550">
      <c r="F550" s="87"/>
    </row>
    <row r="551">
      <c r="F551" s="87"/>
    </row>
    <row r="552">
      <c r="F552" s="87"/>
    </row>
    <row r="553">
      <c r="F553" s="87"/>
    </row>
    <row r="554">
      <c r="F554" s="87"/>
    </row>
    <row r="555">
      <c r="F555" s="87"/>
    </row>
    <row r="556">
      <c r="F556" s="87"/>
    </row>
    <row r="557">
      <c r="F557" s="87"/>
    </row>
    <row r="558">
      <c r="F558" s="87"/>
    </row>
    <row r="559">
      <c r="F559" s="87"/>
    </row>
    <row r="560">
      <c r="F560" s="87"/>
    </row>
    <row r="561">
      <c r="F561" s="87"/>
    </row>
    <row r="562">
      <c r="F562" s="87"/>
    </row>
    <row r="563">
      <c r="F563" s="87"/>
    </row>
    <row r="564">
      <c r="F564" s="87"/>
    </row>
    <row r="565">
      <c r="F565" s="87"/>
    </row>
    <row r="566">
      <c r="F566" s="87"/>
    </row>
    <row r="567">
      <c r="F567" s="87"/>
    </row>
    <row r="568">
      <c r="F568" s="87"/>
    </row>
    <row r="569">
      <c r="F569" s="87"/>
    </row>
    <row r="570">
      <c r="F570" s="87"/>
    </row>
    <row r="571">
      <c r="F571" s="87"/>
    </row>
    <row r="572">
      <c r="F572" s="87"/>
    </row>
    <row r="573">
      <c r="F573" s="87"/>
    </row>
    <row r="574">
      <c r="F574" s="87"/>
    </row>
    <row r="575">
      <c r="F575" s="87"/>
    </row>
    <row r="576">
      <c r="F576" s="87"/>
    </row>
    <row r="577">
      <c r="F577" s="87"/>
    </row>
    <row r="578">
      <c r="F578" s="87"/>
    </row>
    <row r="579">
      <c r="F579" s="87"/>
    </row>
    <row r="580">
      <c r="F580" s="87"/>
    </row>
    <row r="581">
      <c r="F581" s="87"/>
    </row>
    <row r="582">
      <c r="F582" s="87"/>
    </row>
    <row r="583">
      <c r="F583" s="87"/>
    </row>
    <row r="584">
      <c r="F584" s="87"/>
    </row>
    <row r="585">
      <c r="F585" s="87"/>
    </row>
    <row r="586">
      <c r="F586" s="87"/>
    </row>
    <row r="587">
      <c r="F587" s="87"/>
    </row>
    <row r="588">
      <c r="F588" s="87"/>
    </row>
    <row r="589">
      <c r="F589" s="87"/>
    </row>
    <row r="590">
      <c r="F590" s="87"/>
    </row>
    <row r="591">
      <c r="F591" s="87"/>
    </row>
    <row r="592">
      <c r="F592" s="87"/>
    </row>
    <row r="593">
      <c r="F593" s="87"/>
    </row>
    <row r="594">
      <c r="F594" s="87"/>
    </row>
    <row r="595">
      <c r="F595" s="87"/>
    </row>
    <row r="596">
      <c r="F596" s="87"/>
    </row>
    <row r="597">
      <c r="F597" s="87"/>
    </row>
    <row r="598">
      <c r="F598" s="87"/>
    </row>
    <row r="599">
      <c r="F599" s="87"/>
    </row>
    <row r="600">
      <c r="F600" s="87"/>
    </row>
    <row r="601">
      <c r="F601" s="87"/>
    </row>
    <row r="602">
      <c r="F602" s="87"/>
    </row>
    <row r="603">
      <c r="F603" s="87"/>
    </row>
    <row r="604">
      <c r="F604" s="87"/>
    </row>
    <row r="605">
      <c r="F605" s="87"/>
    </row>
    <row r="606">
      <c r="F606" s="87"/>
    </row>
    <row r="607">
      <c r="F607" s="87"/>
    </row>
    <row r="608">
      <c r="F608" s="87"/>
    </row>
    <row r="609">
      <c r="F609" s="87"/>
    </row>
    <row r="610">
      <c r="F610" s="87"/>
    </row>
    <row r="611">
      <c r="F611" s="87"/>
    </row>
    <row r="612">
      <c r="F612" s="87"/>
    </row>
    <row r="613">
      <c r="F613" s="87"/>
    </row>
    <row r="614">
      <c r="F614" s="87"/>
    </row>
    <row r="615">
      <c r="F615" s="87"/>
    </row>
    <row r="616">
      <c r="F616" s="87"/>
    </row>
    <row r="617">
      <c r="F617" s="87"/>
    </row>
    <row r="618">
      <c r="F618" s="87"/>
    </row>
    <row r="619">
      <c r="F619" s="87"/>
    </row>
    <row r="620">
      <c r="F620" s="87"/>
    </row>
    <row r="621">
      <c r="F621" s="87"/>
    </row>
    <row r="622">
      <c r="F622" s="87"/>
    </row>
    <row r="623">
      <c r="F623" s="87"/>
    </row>
    <row r="624">
      <c r="F624" s="87"/>
    </row>
    <row r="625">
      <c r="F625" s="87"/>
    </row>
    <row r="626">
      <c r="F626" s="87"/>
    </row>
    <row r="627">
      <c r="F627" s="87"/>
    </row>
    <row r="628">
      <c r="F628" s="87"/>
    </row>
    <row r="629">
      <c r="F629" s="87"/>
    </row>
    <row r="630">
      <c r="F630" s="87"/>
    </row>
    <row r="631">
      <c r="F631" s="87"/>
    </row>
    <row r="632">
      <c r="F632" s="87"/>
    </row>
    <row r="633">
      <c r="F633" s="87"/>
    </row>
    <row r="634">
      <c r="F634" s="87"/>
    </row>
    <row r="635">
      <c r="F635" s="87"/>
    </row>
    <row r="636">
      <c r="F636" s="87"/>
    </row>
    <row r="637">
      <c r="F637" s="87"/>
    </row>
    <row r="638">
      <c r="F638" s="87"/>
    </row>
    <row r="639">
      <c r="F639" s="87"/>
    </row>
    <row r="640">
      <c r="F640" s="87"/>
    </row>
    <row r="641">
      <c r="F641" s="87"/>
    </row>
    <row r="642">
      <c r="F642" s="87"/>
    </row>
    <row r="643">
      <c r="F643" s="87"/>
    </row>
    <row r="644">
      <c r="F644" s="87"/>
    </row>
    <row r="645">
      <c r="F645" s="87"/>
    </row>
    <row r="646">
      <c r="F646" s="87"/>
    </row>
    <row r="647">
      <c r="F647" s="87"/>
    </row>
    <row r="648">
      <c r="F648" s="87"/>
    </row>
    <row r="649">
      <c r="F649" s="87"/>
    </row>
    <row r="650">
      <c r="F650" s="87"/>
    </row>
    <row r="651">
      <c r="F651" s="87"/>
    </row>
    <row r="652">
      <c r="F652" s="87"/>
    </row>
    <row r="653">
      <c r="F653" s="87"/>
    </row>
    <row r="654">
      <c r="F654" s="87"/>
    </row>
    <row r="655">
      <c r="F655" s="87"/>
    </row>
    <row r="656">
      <c r="F656" s="87"/>
    </row>
    <row r="657">
      <c r="F657" s="87"/>
    </row>
    <row r="658">
      <c r="F658" s="87"/>
    </row>
    <row r="659">
      <c r="F659" s="87"/>
    </row>
    <row r="660">
      <c r="F660" s="87"/>
    </row>
    <row r="661">
      <c r="F661" s="87"/>
    </row>
    <row r="662">
      <c r="F662" s="87"/>
    </row>
    <row r="663">
      <c r="F663" s="87"/>
    </row>
    <row r="664">
      <c r="F664" s="87"/>
    </row>
    <row r="665">
      <c r="F665" s="87"/>
    </row>
    <row r="666">
      <c r="F666" s="87"/>
    </row>
    <row r="667">
      <c r="F667" s="87"/>
    </row>
    <row r="668">
      <c r="F668" s="87"/>
    </row>
    <row r="669">
      <c r="F669" s="87"/>
    </row>
    <row r="670">
      <c r="F670" s="87"/>
    </row>
    <row r="671">
      <c r="F671" s="87"/>
    </row>
    <row r="672">
      <c r="F672" s="87"/>
    </row>
    <row r="673">
      <c r="F673" s="87"/>
    </row>
    <row r="674">
      <c r="F674" s="87"/>
    </row>
    <row r="675">
      <c r="F675" s="87"/>
    </row>
    <row r="676">
      <c r="F676" s="87"/>
    </row>
    <row r="677">
      <c r="F677" s="87"/>
    </row>
    <row r="678">
      <c r="F678" s="87"/>
    </row>
    <row r="679">
      <c r="F679" s="87"/>
    </row>
    <row r="680">
      <c r="F680" s="87"/>
    </row>
    <row r="681">
      <c r="F681" s="87"/>
    </row>
    <row r="682">
      <c r="F682" s="87"/>
    </row>
    <row r="683">
      <c r="F683" s="87"/>
    </row>
    <row r="684">
      <c r="F684" s="87"/>
    </row>
    <row r="685">
      <c r="F685" s="87"/>
    </row>
    <row r="686">
      <c r="F686" s="87"/>
    </row>
    <row r="687">
      <c r="F687" s="87"/>
    </row>
    <row r="688">
      <c r="F688" s="87"/>
    </row>
    <row r="689">
      <c r="F689" s="87"/>
    </row>
    <row r="690">
      <c r="F690" s="87"/>
    </row>
    <row r="691">
      <c r="F691" s="87"/>
    </row>
    <row r="692">
      <c r="F692" s="87"/>
    </row>
    <row r="693">
      <c r="F693" s="87"/>
    </row>
    <row r="694">
      <c r="F694" s="87"/>
    </row>
    <row r="695">
      <c r="F695" s="87"/>
    </row>
    <row r="696">
      <c r="F696" s="87"/>
    </row>
    <row r="697">
      <c r="F697" s="87"/>
    </row>
    <row r="698">
      <c r="F698" s="87"/>
    </row>
    <row r="699">
      <c r="F699" s="87"/>
    </row>
    <row r="700">
      <c r="F700" s="87"/>
    </row>
    <row r="701">
      <c r="F701" s="87"/>
    </row>
    <row r="702">
      <c r="F702" s="87"/>
    </row>
    <row r="703">
      <c r="F703" s="87"/>
    </row>
    <row r="704">
      <c r="F704" s="87"/>
    </row>
    <row r="705">
      <c r="F705" s="87"/>
    </row>
    <row r="706">
      <c r="F706" s="87"/>
    </row>
    <row r="707">
      <c r="F707" s="87"/>
    </row>
    <row r="708">
      <c r="F708" s="87"/>
    </row>
    <row r="709">
      <c r="F709" s="87"/>
    </row>
    <row r="710">
      <c r="F710" s="87"/>
    </row>
    <row r="711">
      <c r="F711" s="87"/>
    </row>
    <row r="712">
      <c r="F712" s="87"/>
    </row>
    <row r="713">
      <c r="F713" s="87"/>
    </row>
    <row r="714">
      <c r="F714" s="87"/>
    </row>
    <row r="715">
      <c r="F715" s="87"/>
    </row>
    <row r="716">
      <c r="F716" s="87"/>
    </row>
    <row r="717">
      <c r="F717" s="87"/>
    </row>
    <row r="718">
      <c r="F718" s="87"/>
    </row>
    <row r="719">
      <c r="F719" s="87"/>
    </row>
    <row r="720">
      <c r="F720" s="87"/>
    </row>
    <row r="721">
      <c r="F721" s="87"/>
    </row>
    <row r="722">
      <c r="F722" s="87"/>
    </row>
    <row r="723">
      <c r="F723" s="87"/>
    </row>
    <row r="724">
      <c r="F724" s="87"/>
    </row>
    <row r="725">
      <c r="F725" s="87"/>
    </row>
    <row r="726">
      <c r="F726" s="87"/>
    </row>
    <row r="727">
      <c r="F727" s="87"/>
    </row>
    <row r="728">
      <c r="F728" s="87"/>
    </row>
    <row r="729">
      <c r="F729" s="87"/>
    </row>
    <row r="730">
      <c r="F730" s="87"/>
    </row>
    <row r="731">
      <c r="F731" s="87"/>
    </row>
    <row r="732">
      <c r="F732" s="87"/>
    </row>
    <row r="733">
      <c r="F733" s="87"/>
    </row>
    <row r="734">
      <c r="F734" s="87"/>
    </row>
    <row r="735">
      <c r="F735" s="87"/>
    </row>
    <row r="736">
      <c r="F736" s="87"/>
    </row>
    <row r="737">
      <c r="F737" s="87"/>
    </row>
    <row r="738">
      <c r="F738" s="87"/>
    </row>
    <row r="739">
      <c r="F739" s="87"/>
    </row>
    <row r="740">
      <c r="F740" s="87"/>
    </row>
    <row r="741">
      <c r="F741" s="87"/>
    </row>
    <row r="742">
      <c r="F742" s="87"/>
    </row>
    <row r="743">
      <c r="F743" s="87"/>
    </row>
    <row r="744">
      <c r="F744" s="87"/>
    </row>
    <row r="745">
      <c r="F745" s="87"/>
    </row>
    <row r="746">
      <c r="F746" s="87"/>
    </row>
    <row r="747">
      <c r="F747" s="87"/>
    </row>
    <row r="748">
      <c r="F748" s="87"/>
    </row>
    <row r="749">
      <c r="F749" s="87"/>
    </row>
    <row r="750">
      <c r="F750" s="87"/>
    </row>
    <row r="751">
      <c r="F751" s="87"/>
    </row>
    <row r="752">
      <c r="F752" s="87"/>
    </row>
    <row r="753">
      <c r="F753" s="87"/>
    </row>
    <row r="754">
      <c r="F754" s="87"/>
    </row>
    <row r="755">
      <c r="F755" s="87"/>
    </row>
    <row r="756">
      <c r="F756" s="87"/>
    </row>
    <row r="757">
      <c r="F757" s="87"/>
    </row>
    <row r="758">
      <c r="F758" s="87"/>
    </row>
    <row r="759">
      <c r="F759" s="87"/>
    </row>
    <row r="760">
      <c r="F760" s="87"/>
    </row>
    <row r="761">
      <c r="F761" s="87"/>
    </row>
    <row r="762">
      <c r="F762" s="87"/>
    </row>
    <row r="763">
      <c r="F763" s="87"/>
    </row>
    <row r="764">
      <c r="F764" s="87"/>
    </row>
    <row r="765">
      <c r="F765" s="87"/>
    </row>
    <row r="766">
      <c r="F766" s="87"/>
    </row>
    <row r="767">
      <c r="F767" s="87"/>
    </row>
    <row r="768">
      <c r="F768" s="87"/>
    </row>
    <row r="769">
      <c r="F769" s="87"/>
    </row>
    <row r="770">
      <c r="F770" s="87"/>
    </row>
    <row r="771">
      <c r="F771" s="87"/>
    </row>
    <row r="772">
      <c r="F772" s="87"/>
    </row>
    <row r="773">
      <c r="F773" s="87"/>
    </row>
    <row r="774">
      <c r="F774" s="87"/>
    </row>
    <row r="775">
      <c r="F775" s="87"/>
    </row>
    <row r="776">
      <c r="F776" s="87"/>
    </row>
    <row r="777">
      <c r="F777" s="87"/>
    </row>
    <row r="778">
      <c r="F778" s="87"/>
    </row>
    <row r="779">
      <c r="F779" s="87"/>
    </row>
    <row r="780">
      <c r="F780" s="87"/>
    </row>
    <row r="781">
      <c r="F781" s="87"/>
    </row>
    <row r="782">
      <c r="F782" s="87"/>
    </row>
    <row r="783">
      <c r="F783" s="87"/>
    </row>
    <row r="784">
      <c r="F784" s="87"/>
    </row>
    <row r="785">
      <c r="F785" s="87"/>
    </row>
    <row r="786">
      <c r="F786" s="87"/>
    </row>
    <row r="787">
      <c r="F787" s="87"/>
    </row>
    <row r="788">
      <c r="F788" s="87"/>
    </row>
    <row r="789">
      <c r="F789" s="87"/>
    </row>
    <row r="790">
      <c r="F790" s="87"/>
    </row>
    <row r="791">
      <c r="F791" s="87"/>
    </row>
    <row r="792">
      <c r="F792" s="87"/>
    </row>
    <row r="793">
      <c r="F793" s="87"/>
    </row>
    <row r="794">
      <c r="F794" s="87"/>
    </row>
    <row r="795">
      <c r="F795" s="87"/>
    </row>
    <row r="796">
      <c r="F796" s="87"/>
    </row>
    <row r="797">
      <c r="F797" s="87"/>
    </row>
    <row r="798">
      <c r="F798" s="87"/>
    </row>
    <row r="799">
      <c r="F799" s="87"/>
    </row>
    <row r="800">
      <c r="F800" s="87"/>
    </row>
    <row r="801">
      <c r="F801" s="87"/>
    </row>
    <row r="802">
      <c r="F802" s="87"/>
    </row>
    <row r="803">
      <c r="F803" s="87"/>
    </row>
    <row r="804">
      <c r="F804" s="87"/>
    </row>
    <row r="805">
      <c r="F805" s="87"/>
    </row>
    <row r="806">
      <c r="F806" s="87"/>
    </row>
    <row r="807">
      <c r="F807" s="87"/>
    </row>
    <row r="808">
      <c r="F808" s="87"/>
    </row>
    <row r="809">
      <c r="F809" s="87"/>
    </row>
    <row r="810">
      <c r="F810" s="87"/>
    </row>
    <row r="811">
      <c r="F811" s="87"/>
    </row>
    <row r="812">
      <c r="F812" s="87"/>
    </row>
    <row r="813">
      <c r="F813" s="87"/>
    </row>
    <row r="814">
      <c r="F814" s="87"/>
    </row>
    <row r="815">
      <c r="F815" s="87"/>
    </row>
    <row r="816">
      <c r="F816" s="87"/>
    </row>
    <row r="817">
      <c r="F817" s="87"/>
    </row>
    <row r="818">
      <c r="F818" s="87"/>
    </row>
    <row r="819">
      <c r="F819" s="87"/>
    </row>
    <row r="820">
      <c r="F820" s="87"/>
    </row>
    <row r="821">
      <c r="F821" s="87"/>
    </row>
    <row r="822">
      <c r="F822" s="87"/>
    </row>
    <row r="823">
      <c r="F823" s="87"/>
    </row>
    <row r="824">
      <c r="F824" s="87"/>
    </row>
    <row r="825">
      <c r="F825" s="87"/>
    </row>
    <row r="826">
      <c r="F826" s="87"/>
    </row>
    <row r="827">
      <c r="F827" s="87"/>
    </row>
    <row r="828">
      <c r="F828" s="87"/>
    </row>
    <row r="829">
      <c r="F829" s="87"/>
    </row>
    <row r="830">
      <c r="F830" s="87"/>
    </row>
    <row r="831">
      <c r="F831" s="87"/>
    </row>
    <row r="832">
      <c r="F832" s="87"/>
    </row>
    <row r="833">
      <c r="F833" s="87"/>
    </row>
    <row r="834">
      <c r="F834" s="87"/>
    </row>
    <row r="835">
      <c r="F835" s="87"/>
    </row>
    <row r="836">
      <c r="F836" s="87"/>
    </row>
    <row r="837">
      <c r="F837" s="87"/>
    </row>
    <row r="838">
      <c r="F838" s="87"/>
    </row>
    <row r="839">
      <c r="F839" s="87"/>
    </row>
    <row r="840">
      <c r="F840" s="87"/>
    </row>
    <row r="841">
      <c r="F841" s="87"/>
    </row>
    <row r="842">
      <c r="F842" s="87"/>
    </row>
    <row r="843">
      <c r="F843" s="87"/>
    </row>
    <row r="844">
      <c r="F844" s="87"/>
    </row>
    <row r="845">
      <c r="F845" s="87"/>
    </row>
    <row r="846">
      <c r="F846" s="87"/>
    </row>
    <row r="847">
      <c r="F847" s="87"/>
    </row>
    <row r="848">
      <c r="F848" s="87"/>
    </row>
    <row r="849">
      <c r="F849" s="87"/>
    </row>
    <row r="850">
      <c r="F850" s="87"/>
    </row>
    <row r="851">
      <c r="F851" s="87"/>
    </row>
    <row r="852">
      <c r="F852" s="87"/>
    </row>
    <row r="853">
      <c r="F853" s="87"/>
    </row>
    <row r="854">
      <c r="F854" s="87"/>
    </row>
    <row r="855">
      <c r="F855" s="87"/>
    </row>
    <row r="856">
      <c r="F856" s="87"/>
    </row>
    <row r="857">
      <c r="F857" s="87"/>
    </row>
    <row r="858">
      <c r="F858" s="87"/>
    </row>
    <row r="859">
      <c r="F859" s="87"/>
    </row>
    <row r="860">
      <c r="F860" s="87"/>
    </row>
    <row r="861">
      <c r="F861" s="87"/>
    </row>
    <row r="862">
      <c r="F862" s="87"/>
    </row>
    <row r="863">
      <c r="F863" s="87"/>
    </row>
    <row r="864">
      <c r="F864" s="87"/>
    </row>
    <row r="865">
      <c r="F865" s="87"/>
    </row>
    <row r="866">
      <c r="F866" s="87"/>
    </row>
    <row r="867">
      <c r="F867" s="87"/>
    </row>
    <row r="868">
      <c r="F868" s="87"/>
    </row>
    <row r="869">
      <c r="F869" s="87"/>
    </row>
    <row r="870">
      <c r="F870" s="87"/>
    </row>
    <row r="871">
      <c r="F871" s="87"/>
    </row>
    <row r="872">
      <c r="F872" s="87"/>
    </row>
    <row r="873">
      <c r="F873" s="87"/>
    </row>
    <row r="874">
      <c r="F874" s="87"/>
    </row>
    <row r="875">
      <c r="F875" s="87"/>
    </row>
    <row r="876">
      <c r="F876" s="87"/>
    </row>
    <row r="877">
      <c r="F877" s="87"/>
    </row>
    <row r="878">
      <c r="F878" s="87"/>
    </row>
    <row r="879">
      <c r="F879" s="87"/>
    </row>
    <row r="880">
      <c r="F880" s="87"/>
    </row>
    <row r="881">
      <c r="F881" s="87"/>
    </row>
    <row r="882">
      <c r="F882" s="87"/>
    </row>
    <row r="883">
      <c r="F883" s="87"/>
    </row>
    <row r="884">
      <c r="F884" s="87"/>
    </row>
    <row r="885">
      <c r="F885" s="87"/>
    </row>
    <row r="886">
      <c r="F886" s="87"/>
    </row>
    <row r="887">
      <c r="F887" s="87"/>
    </row>
    <row r="888">
      <c r="F888" s="87"/>
    </row>
    <row r="889">
      <c r="F889" s="87"/>
    </row>
    <row r="890">
      <c r="F890" s="87"/>
    </row>
    <row r="891">
      <c r="F891" s="87"/>
    </row>
    <row r="892">
      <c r="F892" s="87"/>
    </row>
    <row r="893">
      <c r="F893" s="87"/>
    </row>
    <row r="894">
      <c r="F894" s="87"/>
    </row>
    <row r="895">
      <c r="F895" s="87"/>
    </row>
    <row r="896">
      <c r="F896" s="87"/>
    </row>
    <row r="897">
      <c r="F897" s="87"/>
    </row>
    <row r="898">
      <c r="F898" s="87"/>
    </row>
    <row r="899">
      <c r="F899" s="87"/>
    </row>
    <row r="900">
      <c r="F900" s="87"/>
    </row>
    <row r="901">
      <c r="F901" s="87"/>
    </row>
    <row r="902">
      <c r="F902" s="87"/>
    </row>
    <row r="903">
      <c r="F903" s="87"/>
    </row>
    <row r="904">
      <c r="F904" s="87"/>
    </row>
    <row r="905">
      <c r="F905" s="87"/>
    </row>
    <row r="906">
      <c r="F906" s="87"/>
    </row>
    <row r="907">
      <c r="F907" s="87"/>
    </row>
    <row r="908">
      <c r="F908" s="87"/>
    </row>
    <row r="909">
      <c r="F909" s="87"/>
    </row>
    <row r="910">
      <c r="F910" s="87"/>
    </row>
    <row r="911">
      <c r="F911" s="87"/>
    </row>
    <row r="912">
      <c r="F912" s="87"/>
    </row>
    <row r="913">
      <c r="F913" s="87"/>
    </row>
    <row r="914">
      <c r="F914" s="87"/>
    </row>
    <row r="915">
      <c r="F915" s="87"/>
    </row>
    <row r="916">
      <c r="F916" s="87"/>
    </row>
    <row r="917">
      <c r="F917" s="87"/>
    </row>
    <row r="918">
      <c r="F918" s="87"/>
    </row>
    <row r="919">
      <c r="F919" s="87"/>
    </row>
    <row r="920">
      <c r="F920" s="87"/>
    </row>
    <row r="921">
      <c r="F921" s="87"/>
    </row>
    <row r="922">
      <c r="F922" s="87"/>
    </row>
    <row r="923">
      <c r="F923" s="87"/>
    </row>
    <row r="924">
      <c r="F924" s="87"/>
    </row>
    <row r="925">
      <c r="F925" s="87"/>
    </row>
    <row r="926">
      <c r="F926" s="87"/>
    </row>
    <row r="927">
      <c r="F927" s="87"/>
    </row>
    <row r="928">
      <c r="F928" s="87"/>
    </row>
    <row r="929">
      <c r="F929" s="87"/>
    </row>
    <row r="930">
      <c r="F930" s="87"/>
    </row>
    <row r="931">
      <c r="F931" s="87"/>
    </row>
    <row r="932">
      <c r="F932" s="87"/>
    </row>
    <row r="933">
      <c r="F933" s="87"/>
    </row>
    <row r="934">
      <c r="F934" s="87"/>
    </row>
    <row r="935">
      <c r="F935" s="87"/>
    </row>
    <row r="936">
      <c r="F936" s="87"/>
    </row>
    <row r="937">
      <c r="F937" s="87"/>
    </row>
    <row r="938">
      <c r="F938" s="87"/>
    </row>
    <row r="939">
      <c r="F939" s="87"/>
    </row>
    <row r="940">
      <c r="F940" s="87"/>
    </row>
    <row r="941">
      <c r="F941" s="87"/>
    </row>
    <row r="942">
      <c r="F942" s="87"/>
    </row>
    <row r="943">
      <c r="F943" s="87"/>
    </row>
    <row r="944">
      <c r="F944" s="87"/>
    </row>
    <row r="945">
      <c r="F945" s="87"/>
    </row>
    <row r="946">
      <c r="F946" s="87"/>
    </row>
    <row r="947">
      <c r="F947" s="87"/>
    </row>
    <row r="948">
      <c r="F948" s="87"/>
    </row>
    <row r="949">
      <c r="F949" s="87"/>
    </row>
    <row r="950">
      <c r="F950" s="87"/>
    </row>
    <row r="951">
      <c r="F951" s="87"/>
    </row>
    <row r="952">
      <c r="F952" s="87"/>
    </row>
    <row r="953">
      <c r="F953" s="87"/>
    </row>
    <row r="954">
      <c r="F954" s="87"/>
    </row>
    <row r="955">
      <c r="F955" s="87"/>
    </row>
    <row r="956">
      <c r="F956" s="87"/>
    </row>
    <row r="957">
      <c r="F957" s="87"/>
    </row>
    <row r="958">
      <c r="F958" s="87"/>
    </row>
    <row r="959">
      <c r="F959" s="87"/>
    </row>
    <row r="960">
      <c r="F960" s="87"/>
    </row>
    <row r="961">
      <c r="F961" s="87"/>
    </row>
    <row r="962">
      <c r="F962" s="87"/>
    </row>
    <row r="963">
      <c r="F963" s="87"/>
    </row>
    <row r="964">
      <c r="F964" s="87"/>
    </row>
    <row r="965">
      <c r="F965" s="87"/>
    </row>
    <row r="966">
      <c r="F966" s="87"/>
    </row>
    <row r="967">
      <c r="F967" s="87"/>
    </row>
    <row r="968">
      <c r="F968" s="87"/>
    </row>
    <row r="969">
      <c r="F969" s="87"/>
    </row>
    <row r="970">
      <c r="F970" s="87"/>
    </row>
    <row r="971">
      <c r="F971" s="87"/>
    </row>
    <row r="972">
      <c r="F972" s="87"/>
    </row>
    <row r="973">
      <c r="F973" s="87"/>
    </row>
    <row r="974">
      <c r="F974" s="87"/>
    </row>
    <row r="975">
      <c r="F975" s="87"/>
    </row>
    <row r="976">
      <c r="F976" s="87"/>
    </row>
    <row r="977">
      <c r="F977" s="87"/>
    </row>
    <row r="978">
      <c r="F978" s="87"/>
    </row>
    <row r="979">
      <c r="F979" s="87"/>
    </row>
    <row r="980">
      <c r="F980" s="87"/>
    </row>
    <row r="981">
      <c r="F981" s="87"/>
    </row>
    <row r="982">
      <c r="F982" s="87"/>
    </row>
    <row r="983">
      <c r="F983" s="87"/>
    </row>
    <row r="984">
      <c r="F984" s="87"/>
    </row>
    <row r="985">
      <c r="F985" s="87"/>
    </row>
    <row r="986">
      <c r="F986" s="87"/>
    </row>
    <row r="987">
      <c r="F987" s="87"/>
    </row>
    <row r="988">
      <c r="F988" s="87"/>
    </row>
    <row r="989">
      <c r="F989" s="87"/>
    </row>
    <row r="990">
      <c r="F990" s="87"/>
    </row>
    <row r="991">
      <c r="F991" s="87"/>
    </row>
    <row r="992">
      <c r="F992" s="87"/>
    </row>
    <row r="993">
      <c r="F993" s="87"/>
    </row>
    <row r="994">
      <c r="F994" s="87"/>
    </row>
    <row r="995">
      <c r="F995" s="87"/>
    </row>
    <row r="996">
      <c r="F996" s="87"/>
    </row>
    <row r="997">
      <c r="F997" s="87"/>
    </row>
    <row r="998">
      <c r="F998" s="87"/>
    </row>
    <row r="999">
      <c r="F999" s="87"/>
    </row>
    <row r="1000">
      <c r="F1000" s="87"/>
    </row>
    <row r="1001">
      <c r="F1001" s="87"/>
    </row>
    <row r="1002">
      <c r="F1002" s="87"/>
    </row>
  </sheetData>
  <mergeCells count="1">
    <mergeCell ref="A1:C7"/>
  </mergeCells>
  <dataValidations>
    <dataValidation type="list" allowBlank="1" showErrorMessage="1" sqref="D9:D75 G9:G75">
      <formula1>"Connected,Call Back Later,Busy,Switch off,Not Received,Wrong No."</formula1>
    </dataValidation>
    <dataValidation type="list" allowBlank="1" showErrorMessage="1" sqref="E9:E75 H9:H75">
      <formula1>"CONFIRMED,NOT CONFIRMED"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4" width="15.13"/>
    <col customWidth="1" min="5" max="5" width="15.38"/>
    <col customWidth="1" min="6" max="6" width="15.0"/>
    <col customWidth="1" min="16" max="16" width="14.0"/>
    <col customWidth="1" min="17" max="17" width="15.25"/>
    <col customWidth="1" min="20" max="20" width="16.5"/>
    <col customWidth="1" min="22" max="22" width="14.5"/>
    <col customWidth="1" min="24" max="24" width="15.0"/>
    <col customWidth="1" min="25" max="25" width="15.5"/>
    <col customWidth="1" min="26" max="26" width="18.38"/>
    <col customWidth="1" min="27" max="27" width="16.13"/>
  </cols>
  <sheetData>
    <row r="1" ht="24.0" customHeight="1">
      <c r="A1" s="88" t="s">
        <v>1704</v>
      </c>
      <c r="D1" s="88"/>
      <c r="E1" s="3"/>
      <c r="F1" s="3"/>
    </row>
    <row r="2" ht="26.25" customHeight="1">
      <c r="D2" s="88"/>
      <c r="E2" s="3"/>
      <c r="F2" s="3"/>
    </row>
    <row r="3" ht="29.25" customHeight="1">
      <c r="D3" s="88"/>
      <c r="E3" s="3"/>
      <c r="F3" s="3"/>
    </row>
    <row r="4" ht="42.0" customHeight="1">
      <c r="D4" s="88"/>
      <c r="E4" s="3"/>
      <c r="F4" s="3"/>
    </row>
    <row r="5">
      <c r="D5" s="88"/>
      <c r="E5" s="3"/>
      <c r="F5" s="3"/>
    </row>
    <row r="6">
      <c r="A6" s="72" t="s">
        <v>5</v>
      </c>
      <c r="B6" s="72" t="s">
        <v>6</v>
      </c>
      <c r="C6" s="72" t="s">
        <v>7</v>
      </c>
      <c r="D6" s="72"/>
      <c r="E6" s="73" t="s">
        <v>1705</v>
      </c>
      <c r="F6" s="74" t="s">
        <v>2</v>
      </c>
    </row>
    <row r="7">
      <c r="A7" s="89"/>
      <c r="B7" s="17" t="s">
        <v>1706</v>
      </c>
      <c r="C7" s="17">
        <v>7.05072031E9</v>
      </c>
      <c r="D7" s="17"/>
      <c r="E7" s="79" t="s">
        <v>54</v>
      </c>
      <c r="F7" s="80"/>
    </row>
    <row r="8">
      <c r="A8" s="17">
        <v>2.0</v>
      </c>
      <c r="B8" s="17" t="s">
        <v>1707</v>
      </c>
      <c r="C8" s="17">
        <v>7.050499388E9</v>
      </c>
      <c r="D8" s="17"/>
      <c r="E8" s="79" t="s">
        <v>30</v>
      </c>
      <c r="F8" s="80"/>
    </row>
    <row r="9">
      <c r="A9" s="17">
        <v>3.0</v>
      </c>
      <c r="B9" s="17" t="s">
        <v>1708</v>
      </c>
      <c r="C9" s="17">
        <v>6.200854663E9</v>
      </c>
      <c r="D9" s="17"/>
      <c r="E9" s="79" t="s">
        <v>54</v>
      </c>
      <c r="F9" s="80"/>
    </row>
    <row r="10">
      <c r="A10" s="17">
        <v>4.0</v>
      </c>
      <c r="B10" s="17" t="s">
        <v>1709</v>
      </c>
      <c r="C10" s="17">
        <v>8.298179247E9</v>
      </c>
      <c r="D10" s="17"/>
      <c r="E10" s="79" t="s">
        <v>9</v>
      </c>
      <c r="F10" s="80"/>
    </row>
    <row r="11">
      <c r="A11" s="17">
        <v>5.0</v>
      </c>
      <c r="B11" s="17" t="s">
        <v>151</v>
      </c>
      <c r="C11" s="17">
        <v>8.340248951E9</v>
      </c>
      <c r="D11" s="17"/>
      <c r="E11" s="79" t="s">
        <v>9</v>
      </c>
      <c r="F11" s="80" t="s">
        <v>1623</v>
      </c>
    </row>
    <row r="12">
      <c r="A12" s="17">
        <v>6.0</v>
      </c>
      <c r="B12" s="17" t="s">
        <v>1710</v>
      </c>
      <c r="C12" s="17">
        <v>7.260869523E9</v>
      </c>
      <c r="D12" s="17"/>
      <c r="E12" s="79" t="s">
        <v>27</v>
      </c>
      <c r="F12" s="80"/>
    </row>
    <row r="13">
      <c r="A13" s="17">
        <v>7.0</v>
      </c>
      <c r="B13" s="17" t="s">
        <v>1711</v>
      </c>
      <c r="C13" s="17">
        <v>7.488340121E9</v>
      </c>
      <c r="D13" s="17"/>
      <c r="E13" s="79" t="s">
        <v>27</v>
      </c>
      <c r="F13" s="80"/>
    </row>
    <row r="14">
      <c r="A14" s="17">
        <v>8.0</v>
      </c>
      <c r="B14" s="17" t="s">
        <v>1712</v>
      </c>
      <c r="C14" s="17">
        <v>9.661084733E9</v>
      </c>
      <c r="D14" s="17"/>
      <c r="E14" s="79" t="s">
        <v>9</v>
      </c>
      <c r="F14" s="80" t="s">
        <v>1623</v>
      </c>
    </row>
    <row r="15">
      <c r="A15" s="17">
        <v>9.0</v>
      </c>
      <c r="B15" s="17" t="s">
        <v>151</v>
      </c>
      <c r="C15" s="17">
        <v>6.201897459E9</v>
      </c>
      <c r="D15" s="17"/>
      <c r="E15" s="79" t="s">
        <v>27</v>
      </c>
      <c r="F15" s="80"/>
    </row>
    <row r="16">
      <c r="A16" s="17">
        <v>10.0</v>
      </c>
      <c r="B16" s="17" t="s">
        <v>1713</v>
      </c>
      <c r="C16" s="17">
        <v>9.63127539E9</v>
      </c>
      <c r="D16" s="17"/>
      <c r="E16" s="79" t="s">
        <v>9</v>
      </c>
      <c r="F16" s="80" t="s">
        <v>1624</v>
      </c>
    </row>
    <row r="17">
      <c r="A17" s="17">
        <v>11.0</v>
      </c>
      <c r="B17" s="17" t="s">
        <v>1714</v>
      </c>
      <c r="C17" s="17">
        <v>9.973734918E9</v>
      </c>
      <c r="D17" s="17"/>
      <c r="E17" s="79" t="s">
        <v>9</v>
      </c>
      <c r="F17" s="80" t="s">
        <v>1623</v>
      </c>
    </row>
    <row r="18">
      <c r="A18" s="17">
        <v>12.0</v>
      </c>
      <c r="B18" s="17" t="s">
        <v>1715</v>
      </c>
      <c r="C18" s="17">
        <v>8.084651416E9</v>
      </c>
      <c r="D18" s="17"/>
      <c r="E18" s="79" t="s">
        <v>9</v>
      </c>
      <c r="F18" s="80"/>
    </row>
    <row r="19">
      <c r="A19" s="17">
        <v>13.0</v>
      </c>
      <c r="B19" s="17" t="s">
        <v>1716</v>
      </c>
      <c r="C19" s="17">
        <v>7.764079174E9</v>
      </c>
      <c r="D19" s="17"/>
      <c r="E19" s="79" t="s">
        <v>9</v>
      </c>
      <c r="F19" s="80"/>
    </row>
    <row r="20">
      <c r="A20" s="17">
        <v>14.0</v>
      </c>
      <c r="B20" s="17" t="s">
        <v>1717</v>
      </c>
      <c r="C20" s="17">
        <v>9.871828656E9</v>
      </c>
      <c r="D20" s="17"/>
      <c r="E20" s="79" t="s">
        <v>9</v>
      </c>
      <c r="F20" s="80" t="s">
        <v>1623</v>
      </c>
    </row>
    <row r="21">
      <c r="A21" s="17">
        <v>15.0</v>
      </c>
      <c r="B21" s="17" t="s">
        <v>1718</v>
      </c>
      <c r="C21" s="17">
        <v>7.070832712E9</v>
      </c>
      <c r="D21" s="17"/>
      <c r="E21" s="79" t="s">
        <v>9</v>
      </c>
      <c r="F21" s="80"/>
    </row>
    <row r="24" ht="84.75" customHeight="1">
      <c r="A24" s="10" t="s">
        <v>339</v>
      </c>
      <c r="B24" s="11" t="s">
        <v>340</v>
      </c>
      <c r="C24" s="12" t="s">
        <v>341</v>
      </c>
      <c r="D24" s="12"/>
      <c r="E24" s="11" t="s">
        <v>342</v>
      </c>
      <c r="F24" s="11" t="s">
        <v>343</v>
      </c>
      <c r="G24" s="11" t="s">
        <v>344</v>
      </c>
      <c r="H24" s="11" t="s">
        <v>345</v>
      </c>
      <c r="I24" s="11" t="s">
        <v>346</v>
      </c>
      <c r="J24" s="11" t="s">
        <v>347</v>
      </c>
      <c r="K24" s="12" t="s">
        <v>348</v>
      </c>
      <c r="L24" s="12" t="s">
        <v>349</v>
      </c>
      <c r="M24" s="11" t="s">
        <v>350</v>
      </c>
      <c r="N24" s="11" t="s">
        <v>351</v>
      </c>
      <c r="O24" s="11" t="s">
        <v>1</v>
      </c>
      <c r="P24" s="11" t="s">
        <v>352</v>
      </c>
      <c r="Q24" s="11" t="s">
        <v>353</v>
      </c>
      <c r="R24" s="11" t="s">
        <v>354</v>
      </c>
      <c r="S24" s="11" t="s">
        <v>355</v>
      </c>
      <c r="T24" s="11" t="s">
        <v>356</v>
      </c>
      <c r="U24" s="11" t="s">
        <v>357</v>
      </c>
      <c r="V24" s="11" t="s">
        <v>358</v>
      </c>
      <c r="W24" s="11" t="s">
        <v>359</v>
      </c>
      <c r="X24" s="11" t="s">
        <v>360</v>
      </c>
      <c r="Y24" s="11" t="s">
        <v>361</v>
      </c>
      <c r="Z24" s="11" t="s">
        <v>362</v>
      </c>
      <c r="AA24" s="11" t="s">
        <v>363</v>
      </c>
      <c r="AB24" s="13" t="s">
        <v>364</v>
      </c>
      <c r="AC24" s="14" t="s">
        <v>3</v>
      </c>
    </row>
    <row r="25">
      <c r="A25" s="16"/>
      <c r="B25" s="17" t="s">
        <v>1706</v>
      </c>
      <c r="C25" s="17">
        <v>7.05072031E9</v>
      </c>
      <c r="D25" s="17"/>
      <c r="E25" s="18">
        <v>22.0</v>
      </c>
      <c r="F25" s="21" t="s">
        <v>367</v>
      </c>
      <c r="G25" s="18"/>
      <c r="H25" s="18"/>
      <c r="I25" s="18"/>
      <c r="J25" s="18"/>
      <c r="K25" s="18" t="s">
        <v>1719</v>
      </c>
      <c r="L25" s="18" t="s">
        <v>1720</v>
      </c>
      <c r="M25" s="18"/>
      <c r="N25" s="18"/>
      <c r="O25" s="21" t="s">
        <v>54</v>
      </c>
      <c r="P25" s="21"/>
      <c r="Q25" s="21"/>
      <c r="R25" s="18"/>
      <c r="S25" s="18"/>
      <c r="T25" s="21"/>
      <c r="U25" s="18"/>
      <c r="V25" s="21"/>
      <c r="W25" s="18"/>
      <c r="X25" s="18"/>
      <c r="Y25" s="21"/>
      <c r="Z25" s="21"/>
      <c r="AA25" s="21"/>
      <c r="AB25" s="18"/>
      <c r="AC25" s="28"/>
    </row>
    <row r="26">
      <c r="A26" s="25"/>
      <c r="B26" s="17" t="s">
        <v>1707</v>
      </c>
      <c r="C26" s="17">
        <v>7.050499388E9</v>
      </c>
      <c r="D26" s="17"/>
      <c r="E26" s="18"/>
      <c r="F26" s="21"/>
      <c r="G26" s="18"/>
      <c r="H26" s="18"/>
      <c r="I26" s="18"/>
      <c r="J26" s="18"/>
      <c r="K26" s="18" t="s">
        <v>1719</v>
      </c>
      <c r="L26" s="18" t="s">
        <v>1720</v>
      </c>
      <c r="M26" s="18"/>
      <c r="N26" s="18"/>
      <c r="O26" s="21" t="s">
        <v>30</v>
      </c>
      <c r="P26" s="21"/>
      <c r="Q26" s="21"/>
      <c r="R26" s="90"/>
      <c r="S26" s="90"/>
      <c r="T26" s="21"/>
      <c r="U26" s="90"/>
      <c r="V26" s="21"/>
      <c r="W26" s="90"/>
      <c r="X26" s="18"/>
      <c r="Y26" s="21"/>
      <c r="Z26" s="21"/>
      <c r="AA26" s="21"/>
      <c r="AB26" s="18"/>
      <c r="AC26" s="28"/>
    </row>
    <row r="27">
      <c r="A27" s="25"/>
      <c r="B27" s="17" t="s">
        <v>1708</v>
      </c>
      <c r="C27" s="17">
        <v>6.200854663E9</v>
      </c>
      <c r="D27" s="17"/>
      <c r="E27" s="18">
        <v>24.0</v>
      </c>
      <c r="F27" s="21" t="s">
        <v>405</v>
      </c>
      <c r="G27" s="18" t="s">
        <v>1721</v>
      </c>
      <c r="H27" s="18" t="s">
        <v>375</v>
      </c>
      <c r="I27" s="18" t="s">
        <v>383</v>
      </c>
      <c r="J27" s="90"/>
      <c r="K27" s="18" t="s">
        <v>1719</v>
      </c>
      <c r="L27" s="18" t="s">
        <v>1720</v>
      </c>
      <c r="M27" s="18" t="s">
        <v>1722</v>
      </c>
      <c r="N27" s="18"/>
      <c r="O27" s="21" t="s">
        <v>54</v>
      </c>
      <c r="P27" s="21"/>
      <c r="Q27" s="21"/>
      <c r="R27" s="18"/>
      <c r="S27" s="90"/>
      <c r="T27" s="21"/>
      <c r="U27" s="18"/>
      <c r="V27" s="21"/>
      <c r="W27" s="18"/>
      <c r="X27" s="18"/>
      <c r="Y27" s="21"/>
      <c r="Z27" s="21"/>
      <c r="AA27" s="21"/>
      <c r="AB27" s="18"/>
      <c r="AC27" s="28"/>
    </row>
    <row r="28">
      <c r="A28" s="25"/>
      <c r="B28" s="17" t="s">
        <v>1709</v>
      </c>
      <c r="C28" s="17">
        <v>8.298179247E9</v>
      </c>
      <c r="D28" s="17"/>
      <c r="E28" s="18">
        <v>25.0</v>
      </c>
      <c r="F28" s="21" t="s">
        <v>367</v>
      </c>
      <c r="G28" s="18" t="s">
        <v>1508</v>
      </c>
      <c r="H28" s="18" t="s">
        <v>375</v>
      </c>
      <c r="I28" s="18"/>
      <c r="J28" s="18" t="s">
        <v>1220</v>
      </c>
      <c r="K28" s="18" t="s">
        <v>1719</v>
      </c>
      <c r="L28" s="18" t="s">
        <v>1720</v>
      </c>
      <c r="M28" s="18"/>
      <c r="N28" s="18"/>
      <c r="O28" s="21" t="s">
        <v>9</v>
      </c>
      <c r="P28" s="21"/>
      <c r="Q28" s="21"/>
      <c r="R28" s="18"/>
      <c r="S28" s="90"/>
      <c r="T28" s="21"/>
      <c r="U28" s="90"/>
      <c r="V28" s="21"/>
      <c r="W28" s="90"/>
      <c r="X28" s="18"/>
      <c r="Y28" s="21"/>
      <c r="Z28" s="21"/>
      <c r="AA28" s="21"/>
      <c r="AB28" s="18"/>
      <c r="AC28" s="17" t="s">
        <v>1723</v>
      </c>
    </row>
    <row r="29">
      <c r="A29" s="25"/>
      <c r="B29" s="17" t="s">
        <v>151</v>
      </c>
      <c r="C29" s="17">
        <v>8.340248951E9</v>
      </c>
      <c r="D29" s="17"/>
      <c r="E29" s="18">
        <v>19.0</v>
      </c>
      <c r="F29" s="21" t="s">
        <v>405</v>
      </c>
      <c r="G29" s="18" t="s">
        <v>1721</v>
      </c>
      <c r="H29" s="18" t="s">
        <v>375</v>
      </c>
      <c r="I29" s="18" t="s">
        <v>418</v>
      </c>
      <c r="J29" s="18"/>
      <c r="K29" s="18" t="s">
        <v>1719</v>
      </c>
      <c r="L29" s="18" t="s">
        <v>1720</v>
      </c>
      <c r="M29" s="18" t="s">
        <v>1724</v>
      </c>
      <c r="N29" s="18" t="s">
        <v>1724</v>
      </c>
      <c r="O29" s="21" t="s">
        <v>9</v>
      </c>
      <c r="P29" s="21" t="s">
        <v>4</v>
      </c>
      <c r="Q29" s="21" t="s">
        <v>380</v>
      </c>
      <c r="R29" s="18"/>
      <c r="S29" s="18"/>
      <c r="T29" s="21"/>
      <c r="U29" s="18"/>
      <c r="V29" s="21"/>
      <c r="W29" s="90"/>
      <c r="X29" s="18"/>
      <c r="Y29" s="21"/>
      <c r="Z29" s="21" t="s">
        <v>380</v>
      </c>
      <c r="AA29" s="21" t="s">
        <v>4</v>
      </c>
      <c r="AB29" s="18" t="s">
        <v>391</v>
      </c>
      <c r="AC29" s="28"/>
    </row>
    <row r="30">
      <c r="A30" s="25"/>
      <c r="B30" s="17" t="s">
        <v>1710</v>
      </c>
      <c r="C30" s="17">
        <v>7.260869523E9</v>
      </c>
      <c r="D30" s="17"/>
      <c r="E30" s="18"/>
      <c r="F30" s="21"/>
      <c r="G30" s="18"/>
      <c r="H30" s="18"/>
      <c r="I30" s="18"/>
      <c r="J30" s="90"/>
      <c r="K30" s="18" t="s">
        <v>1719</v>
      </c>
      <c r="L30" s="18" t="s">
        <v>1720</v>
      </c>
      <c r="M30" s="18"/>
      <c r="N30" s="18"/>
      <c r="O30" s="21" t="s">
        <v>27</v>
      </c>
      <c r="P30" s="21"/>
      <c r="Q30" s="21"/>
      <c r="R30" s="18"/>
      <c r="S30" s="18"/>
      <c r="T30" s="21"/>
      <c r="U30" s="18"/>
      <c r="V30" s="21"/>
      <c r="W30" s="18"/>
      <c r="X30" s="18"/>
      <c r="Y30" s="21"/>
      <c r="Z30" s="21"/>
      <c r="AA30" s="21"/>
      <c r="AB30" s="18"/>
      <c r="AC30" s="28"/>
    </row>
    <row r="31">
      <c r="A31" s="25"/>
      <c r="B31" s="17" t="s">
        <v>1711</v>
      </c>
      <c r="C31" s="17">
        <v>7.488340121E9</v>
      </c>
      <c r="D31" s="17"/>
      <c r="E31" s="18"/>
      <c r="F31" s="21"/>
      <c r="G31" s="18"/>
      <c r="H31" s="18"/>
      <c r="I31" s="18"/>
      <c r="J31" s="90"/>
      <c r="K31" s="18" t="s">
        <v>1719</v>
      </c>
      <c r="L31" s="18" t="s">
        <v>1720</v>
      </c>
      <c r="M31" s="18"/>
      <c r="N31" s="18"/>
      <c r="O31" s="21" t="s">
        <v>27</v>
      </c>
      <c r="P31" s="21"/>
      <c r="Q31" s="21"/>
      <c r="R31" s="18"/>
      <c r="S31" s="90"/>
      <c r="T31" s="21"/>
      <c r="U31" s="18"/>
      <c r="V31" s="21"/>
      <c r="W31" s="18"/>
      <c r="X31" s="18"/>
      <c r="Y31" s="21"/>
      <c r="Z31" s="21"/>
      <c r="AA31" s="21"/>
      <c r="AB31" s="18"/>
      <c r="AC31" s="28"/>
    </row>
    <row r="32">
      <c r="A32" s="25"/>
      <c r="B32" s="17" t="s">
        <v>1712</v>
      </c>
      <c r="C32" s="17">
        <v>9.661084733E9</v>
      </c>
      <c r="D32" s="17">
        <v>19.0</v>
      </c>
      <c r="E32" s="18">
        <v>19.0</v>
      </c>
      <c r="F32" s="21" t="s">
        <v>367</v>
      </c>
      <c r="G32" s="18" t="s">
        <v>1721</v>
      </c>
      <c r="H32" s="18" t="s">
        <v>375</v>
      </c>
      <c r="I32" s="18" t="s">
        <v>383</v>
      </c>
      <c r="J32" s="18" t="s">
        <v>626</v>
      </c>
      <c r="K32" s="18" t="s">
        <v>1719</v>
      </c>
      <c r="L32" s="18" t="s">
        <v>1720</v>
      </c>
      <c r="M32" s="18" t="s">
        <v>1724</v>
      </c>
      <c r="N32" s="18" t="s">
        <v>1724</v>
      </c>
      <c r="O32" s="21" t="s">
        <v>9</v>
      </c>
      <c r="P32" s="21" t="s">
        <v>4</v>
      </c>
      <c r="Q32" s="21" t="s">
        <v>380</v>
      </c>
      <c r="R32" s="90"/>
      <c r="S32" s="90"/>
      <c r="T32" s="21"/>
      <c r="U32" s="18"/>
      <c r="V32" s="21"/>
      <c r="W32" s="90"/>
      <c r="X32" s="18"/>
      <c r="Y32" s="21"/>
      <c r="Z32" s="21" t="s">
        <v>380</v>
      </c>
      <c r="AA32" s="21" t="s">
        <v>4</v>
      </c>
      <c r="AB32" s="18" t="s">
        <v>391</v>
      </c>
      <c r="AC32" s="28"/>
    </row>
    <row r="33">
      <c r="A33" s="25"/>
      <c r="B33" s="17" t="s">
        <v>151</v>
      </c>
      <c r="C33" s="17">
        <v>6.201897459E9</v>
      </c>
      <c r="D33" s="17"/>
      <c r="E33" s="18"/>
      <c r="F33" s="21"/>
      <c r="G33" s="18"/>
      <c r="H33" s="18"/>
      <c r="I33" s="18"/>
      <c r="J33" s="90"/>
      <c r="K33" s="18" t="s">
        <v>1719</v>
      </c>
      <c r="L33" s="18" t="s">
        <v>1720</v>
      </c>
      <c r="M33" s="18"/>
      <c r="N33" s="18"/>
      <c r="O33" s="21" t="s">
        <v>27</v>
      </c>
      <c r="P33" s="21"/>
      <c r="Q33" s="21"/>
      <c r="R33" s="18"/>
      <c r="S33" s="90"/>
      <c r="T33" s="21"/>
      <c r="U33" s="18"/>
      <c r="V33" s="21"/>
      <c r="W33" s="18"/>
      <c r="X33" s="18"/>
      <c r="Y33" s="21"/>
      <c r="Z33" s="21"/>
      <c r="AA33" s="21"/>
      <c r="AB33" s="18"/>
      <c r="AC33" s="28"/>
    </row>
    <row r="34">
      <c r="A34" s="25"/>
      <c r="B34" s="17" t="s">
        <v>1713</v>
      </c>
      <c r="C34" s="17">
        <v>9.63127539E9</v>
      </c>
      <c r="D34" s="17"/>
      <c r="E34" s="18">
        <v>29.0</v>
      </c>
      <c r="F34" s="21" t="s">
        <v>367</v>
      </c>
      <c r="G34" s="18" t="s">
        <v>1721</v>
      </c>
      <c r="H34" s="18" t="s">
        <v>375</v>
      </c>
      <c r="I34" s="18" t="s">
        <v>407</v>
      </c>
      <c r="J34" s="18" t="s">
        <v>825</v>
      </c>
      <c r="K34" s="18" t="s">
        <v>1719</v>
      </c>
      <c r="L34" s="18" t="s">
        <v>1720</v>
      </c>
      <c r="M34" s="18" t="s">
        <v>1725</v>
      </c>
      <c r="N34" s="18" t="s">
        <v>1726</v>
      </c>
      <c r="O34" s="21" t="s">
        <v>9</v>
      </c>
      <c r="P34" s="21" t="s">
        <v>4</v>
      </c>
      <c r="Q34" s="21" t="s">
        <v>4</v>
      </c>
      <c r="R34" s="18" t="s">
        <v>444</v>
      </c>
      <c r="S34" s="90"/>
      <c r="T34" s="21"/>
      <c r="U34" s="18"/>
      <c r="V34" s="21"/>
      <c r="W34" s="18"/>
      <c r="X34" s="18"/>
      <c r="Y34" s="21"/>
      <c r="Z34" s="21" t="s">
        <v>4</v>
      </c>
      <c r="AA34" s="21" t="s">
        <v>4</v>
      </c>
      <c r="AB34" s="18" t="s">
        <v>410</v>
      </c>
      <c r="AC34" s="17" t="s">
        <v>1727</v>
      </c>
    </row>
    <row r="35">
      <c r="A35" s="25"/>
      <c r="B35" s="17" t="s">
        <v>1714</v>
      </c>
      <c r="C35" s="17">
        <v>9.973734918E9</v>
      </c>
      <c r="D35" s="17"/>
      <c r="E35" s="18">
        <v>33.0</v>
      </c>
      <c r="F35" s="21" t="s">
        <v>367</v>
      </c>
      <c r="G35" s="18" t="s">
        <v>1508</v>
      </c>
      <c r="H35" s="18" t="s">
        <v>375</v>
      </c>
      <c r="I35" s="18" t="s">
        <v>418</v>
      </c>
      <c r="J35" s="18" t="s">
        <v>1728</v>
      </c>
      <c r="K35" s="18" t="s">
        <v>1719</v>
      </c>
      <c r="L35" s="18" t="s">
        <v>1720</v>
      </c>
      <c r="M35" s="18" t="s">
        <v>1724</v>
      </c>
      <c r="N35" s="18" t="s">
        <v>1729</v>
      </c>
      <c r="O35" s="21" t="s">
        <v>9</v>
      </c>
      <c r="P35" s="21" t="s">
        <v>4</v>
      </c>
      <c r="Q35" s="21" t="s">
        <v>4</v>
      </c>
      <c r="R35" s="18" t="s">
        <v>659</v>
      </c>
      <c r="S35" s="18" t="s">
        <v>1730</v>
      </c>
      <c r="T35" s="21"/>
      <c r="U35" s="90"/>
      <c r="V35" s="21"/>
      <c r="W35" s="90"/>
      <c r="X35" s="18"/>
      <c r="Y35" s="21"/>
      <c r="Z35" s="21" t="s">
        <v>4</v>
      </c>
      <c r="AA35" s="21" t="s">
        <v>4</v>
      </c>
      <c r="AB35" s="18" t="s">
        <v>391</v>
      </c>
      <c r="AC35" s="28"/>
    </row>
    <row r="36">
      <c r="A36" s="25"/>
      <c r="B36" s="17" t="s">
        <v>1715</v>
      </c>
      <c r="C36" s="17">
        <v>8.084651416E9</v>
      </c>
      <c r="D36" s="17"/>
      <c r="E36" s="18">
        <v>43.0</v>
      </c>
      <c r="F36" s="21" t="s">
        <v>367</v>
      </c>
      <c r="G36" s="90"/>
      <c r="H36" s="18" t="s">
        <v>375</v>
      </c>
      <c r="I36" s="18" t="s">
        <v>383</v>
      </c>
      <c r="J36" s="90"/>
      <c r="K36" s="18" t="s">
        <v>1719</v>
      </c>
      <c r="L36" s="18" t="s">
        <v>1720</v>
      </c>
      <c r="M36" s="18" t="s">
        <v>1724</v>
      </c>
      <c r="N36" s="90"/>
      <c r="O36" s="21" t="s">
        <v>9</v>
      </c>
      <c r="P36" s="21"/>
      <c r="Q36" s="21"/>
      <c r="R36" s="90"/>
      <c r="S36" s="90"/>
      <c r="T36" s="21"/>
      <c r="U36" s="90"/>
      <c r="V36" s="21"/>
      <c r="W36" s="90"/>
      <c r="X36" s="18"/>
      <c r="Y36" s="21"/>
      <c r="Z36" s="21"/>
      <c r="AA36" s="21"/>
      <c r="AB36" s="18"/>
      <c r="AC36" s="17" t="s">
        <v>1731</v>
      </c>
    </row>
    <row r="37">
      <c r="A37" s="25"/>
      <c r="B37" s="17" t="s">
        <v>1716</v>
      </c>
      <c r="C37" s="17">
        <v>7.764079174E9</v>
      </c>
      <c r="D37" s="17"/>
      <c r="E37" s="18"/>
      <c r="F37" s="21"/>
      <c r="G37" s="18"/>
      <c r="H37" s="18"/>
      <c r="I37" s="18"/>
      <c r="J37" s="90"/>
      <c r="K37" s="18" t="s">
        <v>1719</v>
      </c>
      <c r="L37" s="18" t="s">
        <v>1720</v>
      </c>
      <c r="M37" s="18"/>
      <c r="N37" s="18"/>
      <c r="O37" s="21" t="s">
        <v>9</v>
      </c>
      <c r="P37" s="21"/>
      <c r="Q37" s="21"/>
      <c r="R37" s="18"/>
      <c r="S37" s="90"/>
      <c r="T37" s="21"/>
      <c r="U37" s="18"/>
      <c r="V37" s="21"/>
      <c r="W37" s="90"/>
      <c r="X37" s="18"/>
      <c r="Y37" s="21"/>
      <c r="Z37" s="21"/>
      <c r="AA37" s="21"/>
      <c r="AB37" s="18"/>
      <c r="AC37" s="17" t="s">
        <v>1732</v>
      </c>
    </row>
    <row r="38">
      <c r="A38" s="25"/>
      <c r="B38" s="17" t="s">
        <v>1717</v>
      </c>
      <c r="C38" s="17">
        <v>9.871828656E9</v>
      </c>
      <c r="D38" s="17"/>
      <c r="E38" s="18">
        <v>41.0</v>
      </c>
      <c r="F38" s="21" t="s">
        <v>367</v>
      </c>
      <c r="G38" s="18" t="s">
        <v>1721</v>
      </c>
      <c r="H38" s="18" t="s">
        <v>518</v>
      </c>
      <c r="I38" s="18" t="s">
        <v>407</v>
      </c>
      <c r="J38" s="18" t="s">
        <v>1733</v>
      </c>
      <c r="K38" s="18" t="s">
        <v>1719</v>
      </c>
      <c r="L38" s="18" t="s">
        <v>1720</v>
      </c>
      <c r="M38" s="18" t="s">
        <v>1734</v>
      </c>
      <c r="N38" s="18" t="s">
        <v>1735</v>
      </c>
      <c r="O38" s="21" t="s">
        <v>9</v>
      </c>
      <c r="P38" s="21" t="s">
        <v>4</v>
      </c>
      <c r="Q38" s="21" t="s">
        <v>380</v>
      </c>
      <c r="R38" s="18"/>
      <c r="S38" s="90"/>
      <c r="T38" s="21"/>
      <c r="U38" s="18"/>
      <c r="V38" s="21"/>
      <c r="W38" s="18"/>
      <c r="X38" s="18"/>
      <c r="Y38" s="21"/>
      <c r="Z38" s="21" t="s">
        <v>4</v>
      </c>
      <c r="AA38" s="21" t="s">
        <v>4</v>
      </c>
      <c r="AB38" s="18" t="s">
        <v>391</v>
      </c>
      <c r="AC38" s="28"/>
    </row>
    <row r="39">
      <c r="A39" s="31"/>
      <c r="B39" s="17" t="s">
        <v>1718</v>
      </c>
      <c r="C39" s="17">
        <v>7.070832712E9</v>
      </c>
      <c r="D39" s="17"/>
      <c r="E39" s="18"/>
      <c r="F39" s="21"/>
      <c r="G39" s="18"/>
      <c r="H39" s="18"/>
      <c r="I39" s="18"/>
      <c r="J39" s="90"/>
      <c r="K39" s="18" t="s">
        <v>1719</v>
      </c>
      <c r="L39" s="18" t="s">
        <v>1720</v>
      </c>
      <c r="M39" s="18"/>
      <c r="N39" s="18"/>
      <c r="O39" s="21" t="s">
        <v>9</v>
      </c>
      <c r="P39" s="21"/>
      <c r="Q39" s="21"/>
      <c r="R39" s="90"/>
      <c r="S39" s="90"/>
      <c r="T39" s="21"/>
      <c r="U39" s="18"/>
      <c r="V39" s="21"/>
      <c r="W39" s="18"/>
      <c r="X39" s="18"/>
      <c r="Y39" s="21"/>
      <c r="Z39" s="21"/>
      <c r="AA39" s="21"/>
      <c r="AB39" s="18"/>
      <c r="AC39" s="17" t="s">
        <v>1736</v>
      </c>
    </row>
  </sheetData>
  <mergeCells count="2">
    <mergeCell ref="A1:C5"/>
    <mergeCell ref="A25:A39"/>
  </mergeCells>
  <dataValidations>
    <dataValidation type="list" allowBlank="1" showErrorMessage="1" sqref="P25:Q39 T25:T39 V25:V39 Y25:AA39">
      <formula1>"Yes,NO"</formula1>
    </dataValidation>
    <dataValidation type="list" allowBlank="1" showErrorMessage="1" sqref="X25:X39">
      <formula1>"Bahut,Kuch Had Tak,Nahi"</formula1>
    </dataValidation>
    <dataValidation type="list" allowBlank="1" showErrorMessage="1" sqref="F25:F39">
      <formula1>"Male,Female"</formula1>
    </dataValidation>
    <dataValidation type="list" allowBlank="1" showErrorMessage="1" sqref="E7:E21 O25:O39">
      <formula1>"Connected,Call Back Later,Busy,Switch off,Not Received,Wrong No."</formula1>
    </dataValidation>
    <dataValidation type="list" allowBlank="1" showErrorMessage="1" sqref="F7:F21">
      <formula1>"CONFIRMED,NOT CONFIRMED"</formula1>
    </dataValidation>
    <dataValidation type="list" allowBlank="1" showErrorMessage="1" sqref="AB25:AB39">
      <formula1>"Verified,Not Verified"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7.88"/>
    <col customWidth="1" min="19" max="19" width="17.13"/>
    <col customWidth="1" min="21" max="21" width="14.75"/>
    <col customWidth="1" min="23" max="23" width="15.63"/>
    <col customWidth="1" min="24" max="24" width="15.0"/>
    <col customWidth="1" min="25" max="25" width="19.0"/>
    <col customWidth="1" min="26" max="26" width="15.13"/>
    <col customWidth="1" min="28" max="28" width="18.25"/>
  </cols>
  <sheetData>
    <row r="1">
      <c r="A1" s="88" t="s">
        <v>1737</v>
      </c>
      <c r="D1" s="4"/>
      <c r="E1" s="3"/>
      <c r="F1" s="3"/>
    </row>
    <row r="2">
      <c r="D2" s="4"/>
      <c r="E2" s="3"/>
      <c r="F2" s="3"/>
    </row>
    <row r="3">
      <c r="D3" s="4"/>
      <c r="E3" s="3"/>
      <c r="F3" s="3"/>
    </row>
    <row r="4">
      <c r="D4" s="4"/>
      <c r="E4" s="3"/>
      <c r="F4" s="3"/>
    </row>
    <row r="5">
      <c r="D5" s="4"/>
      <c r="E5" s="3"/>
      <c r="F5" s="3"/>
    </row>
    <row r="6">
      <c r="D6" s="4"/>
      <c r="E6" s="3"/>
      <c r="F6" s="3"/>
    </row>
    <row r="7">
      <c r="D7" s="4"/>
      <c r="E7" s="3"/>
      <c r="F7" s="3"/>
    </row>
    <row r="8">
      <c r="A8" s="72" t="s">
        <v>5</v>
      </c>
      <c r="B8" s="72" t="s">
        <v>6</v>
      </c>
      <c r="C8" s="72" t="s">
        <v>7</v>
      </c>
      <c r="D8" s="73" t="s">
        <v>1738</v>
      </c>
      <c r="E8" s="74" t="s">
        <v>2</v>
      </c>
      <c r="F8" s="91" t="s">
        <v>3</v>
      </c>
      <c r="G8" s="92"/>
      <c r="H8" s="92"/>
    </row>
    <row r="9">
      <c r="A9" s="53">
        <v>1.0</v>
      </c>
      <c r="B9" s="53" t="s">
        <v>1739</v>
      </c>
      <c r="C9" s="53">
        <v>8.757711231E9</v>
      </c>
      <c r="D9" s="20" t="s">
        <v>23</v>
      </c>
      <c r="E9" s="22"/>
      <c r="F9" s="19"/>
    </row>
    <row r="10">
      <c r="A10" s="53">
        <v>2.0</v>
      </c>
      <c r="B10" s="53" t="s">
        <v>921</v>
      </c>
      <c r="C10" s="53">
        <v>7.857823003E9</v>
      </c>
      <c r="D10" s="20" t="s">
        <v>9</v>
      </c>
      <c r="E10" s="22"/>
      <c r="F10" s="19"/>
    </row>
    <row r="11">
      <c r="A11" s="53">
        <v>3.0</v>
      </c>
      <c r="B11" s="53" t="s">
        <v>1740</v>
      </c>
      <c r="C11" s="53">
        <v>9.955738758E9</v>
      </c>
      <c r="D11" s="20" t="s">
        <v>23</v>
      </c>
      <c r="E11" s="20"/>
      <c r="F11" s="19"/>
    </row>
    <row r="12">
      <c r="A12" s="53">
        <v>4.0</v>
      </c>
      <c r="B12" s="53" t="s">
        <v>98</v>
      </c>
      <c r="C12" s="53">
        <v>7.66764867E8</v>
      </c>
      <c r="D12" s="20" t="s">
        <v>30</v>
      </c>
      <c r="E12" s="20"/>
      <c r="F12" s="19"/>
    </row>
    <row r="13">
      <c r="A13" s="53">
        <v>5.0</v>
      </c>
      <c r="B13" s="93" t="s">
        <v>1741</v>
      </c>
      <c r="C13" s="93">
        <v>6.202559388E9</v>
      </c>
      <c r="D13" s="20" t="s">
        <v>23</v>
      </c>
      <c r="E13" s="20"/>
      <c r="F13" s="19"/>
    </row>
    <row r="14">
      <c r="A14" s="53">
        <v>6.0</v>
      </c>
      <c r="B14" s="93" t="s">
        <v>1742</v>
      </c>
      <c r="C14" s="93">
        <v>9.690245343E9</v>
      </c>
      <c r="D14" s="20" t="s">
        <v>9</v>
      </c>
      <c r="E14" s="20"/>
      <c r="F14" s="19"/>
    </row>
    <row r="15">
      <c r="A15" s="53">
        <v>7.0</v>
      </c>
      <c r="B15" s="93" t="s">
        <v>1274</v>
      </c>
      <c r="C15" s="93">
        <v>9.693505248E9</v>
      </c>
      <c r="D15" s="20"/>
      <c r="E15" s="22"/>
      <c r="F15" s="19"/>
    </row>
    <row r="16">
      <c r="A16" s="53">
        <v>8.0</v>
      </c>
      <c r="B16" s="93" t="s">
        <v>631</v>
      </c>
      <c r="C16" s="93">
        <v>9.471839543E9</v>
      </c>
      <c r="D16" s="20"/>
      <c r="E16" s="22"/>
      <c r="F16" s="19"/>
    </row>
    <row r="17">
      <c r="A17" s="53">
        <v>9.0</v>
      </c>
      <c r="B17" s="93" t="s">
        <v>1743</v>
      </c>
      <c r="C17" s="93">
        <v>9.097018111E9</v>
      </c>
      <c r="D17" s="20" t="s">
        <v>9</v>
      </c>
      <c r="E17" s="22"/>
      <c r="F17" s="19"/>
    </row>
    <row r="18">
      <c r="A18" s="53">
        <v>10.0</v>
      </c>
      <c r="B18" s="93" t="s">
        <v>1098</v>
      </c>
      <c r="C18" s="93">
        <v>8.229059662E9</v>
      </c>
      <c r="D18" s="20" t="s">
        <v>9</v>
      </c>
      <c r="E18" s="22"/>
      <c r="F18" s="19"/>
    </row>
    <row r="19">
      <c r="A19" s="53">
        <v>11.0</v>
      </c>
      <c r="B19" s="93" t="s">
        <v>1587</v>
      </c>
      <c r="C19" s="93">
        <v>8.75701471E9</v>
      </c>
      <c r="D19" s="20" t="s">
        <v>9</v>
      </c>
      <c r="E19" s="20"/>
      <c r="F19" s="19"/>
    </row>
    <row r="20">
      <c r="A20" s="53">
        <v>12.0</v>
      </c>
      <c r="B20" s="93" t="s">
        <v>1744</v>
      </c>
      <c r="C20" s="93">
        <v>9.304531815E9</v>
      </c>
      <c r="D20" s="20" t="s">
        <v>54</v>
      </c>
      <c r="E20" s="20"/>
      <c r="F20" s="19"/>
    </row>
    <row r="21">
      <c r="A21" s="53">
        <v>13.0</v>
      </c>
      <c r="B21" s="93" t="s">
        <v>56</v>
      </c>
      <c r="C21" s="93">
        <v>8.709839243E9</v>
      </c>
      <c r="D21" s="20" t="s">
        <v>9</v>
      </c>
      <c r="E21" s="20"/>
      <c r="F21" s="19"/>
    </row>
    <row r="22">
      <c r="A22" s="53">
        <v>14.0</v>
      </c>
      <c r="B22" s="93" t="s">
        <v>146</v>
      </c>
      <c r="C22" s="93">
        <v>9.142773498E9</v>
      </c>
      <c r="D22" s="20" t="s">
        <v>23</v>
      </c>
      <c r="E22" s="20"/>
      <c r="F22" s="19"/>
    </row>
    <row r="23">
      <c r="A23" s="53">
        <v>15.0</v>
      </c>
      <c r="B23" s="93" t="s">
        <v>287</v>
      </c>
      <c r="C23" s="93">
        <v>9.708837524E9</v>
      </c>
      <c r="D23" s="20" t="s">
        <v>9</v>
      </c>
      <c r="E23" s="20"/>
      <c r="F23" s="19"/>
    </row>
    <row r="24">
      <c r="A24" s="53">
        <v>16.0</v>
      </c>
      <c r="B24" s="93" t="s">
        <v>697</v>
      </c>
      <c r="C24" s="93">
        <v>7.903413989E9</v>
      </c>
      <c r="D24" s="20" t="s">
        <v>9</v>
      </c>
      <c r="E24" s="20"/>
      <c r="F24" s="19"/>
    </row>
    <row r="25">
      <c r="A25" s="53">
        <v>17.0</v>
      </c>
      <c r="B25" s="93" t="s">
        <v>1745</v>
      </c>
      <c r="C25" s="93">
        <v>9.155758492E9</v>
      </c>
      <c r="D25" s="20" t="s">
        <v>9</v>
      </c>
      <c r="E25" s="22"/>
      <c r="F25" s="19"/>
    </row>
    <row r="26">
      <c r="A26" s="53">
        <v>18.0</v>
      </c>
      <c r="B26" s="93" t="s">
        <v>453</v>
      </c>
      <c r="C26" s="93">
        <v>7.739730459E9</v>
      </c>
      <c r="D26" s="20" t="s">
        <v>9</v>
      </c>
      <c r="E26" s="22"/>
      <c r="F26" s="19"/>
    </row>
    <row r="27">
      <c r="A27" s="53">
        <v>19.0</v>
      </c>
      <c r="B27" s="93" t="s">
        <v>259</v>
      </c>
      <c r="C27" s="93">
        <v>7.903009934E9</v>
      </c>
      <c r="D27" s="20" t="s">
        <v>9</v>
      </c>
      <c r="E27" s="20"/>
      <c r="F27" s="19"/>
    </row>
    <row r="28">
      <c r="A28" s="53">
        <v>20.0</v>
      </c>
      <c r="B28" s="93" t="s">
        <v>71</v>
      </c>
      <c r="C28" s="93">
        <v>9.262260506E9</v>
      </c>
      <c r="D28" s="20" t="s">
        <v>9</v>
      </c>
      <c r="E28" s="22"/>
      <c r="F28" s="19"/>
    </row>
    <row r="29">
      <c r="A29" s="53">
        <v>21.0</v>
      </c>
      <c r="B29" s="93" t="s">
        <v>299</v>
      </c>
      <c r="C29" s="93">
        <v>8.630180486E9</v>
      </c>
      <c r="D29" s="20" t="s">
        <v>9</v>
      </c>
      <c r="E29" s="22"/>
      <c r="F29" s="19"/>
    </row>
    <row r="30">
      <c r="A30" s="53">
        <v>22.0</v>
      </c>
      <c r="B30" s="93" t="s">
        <v>174</v>
      </c>
      <c r="C30" s="93">
        <v>6.20431409E9</v>
      </c>
      <c r="D30" s="20" t="s">
        <v>54</v>
      </c>
      <c r="E30" s="22"/>
      <c r="F30" s="19"/>
    </row>
    <row r="31">
      <c r="A31" s="53">
        <v>23.0</v>
      </c>
      <c r="B31" s="93" t="s">
        <v>1284</v>
      </c>
      <c r="C31" s="93">
        <v>9.155981546E9</v>
      </c>
      <c r="D31" s="20" t="s">
        <v>9</v>
      </c>
      <c r="E31" s="20"/>
      <c r="F31" s="19"/>
    </row>
    <row r="32">
      <c r="A32" s="53">
        <v>24.0</v>
      </c>
      <c r="B32" s="93" t="s">
        <v>183</v>
      </c>
      <c r="C32" s="93">
        <v>8.084180991E9</v>
      </c>
      <c r="D32" s="20" t="s">
        <v>54</v>
      </c>
      <c r="E32" s="20"/>
      <c r="F32" s="19"/>
    </row>
    <row r="33">
      <c r="A33" s="53">
        <v>25.0</v>
      </c>
      <c r="B33" s="93" t="s">
        <v>89</v>
      </c>
      <c r="C33" s="93">
        <v>9.504602272E9</v>
      </c>
      <c r="D33" s="20" t="s">
        <v>9</v>
      </c>
      <c r="E33" s="20"/>
      <c r="F33" s="19"/>
    </row>
    <row r="34">
      <c r="A34" s="53">
        <v>26.0</v>
      </c>
      <c r="B34" s="93" t="s">
        <v>53</v>
      </c>
      <c r="C34" s="93">
        <v>6.209661405E9</v>
      </c>
      <c r="D34" s="20" t="s">
        <v>9</v>
      </c>
      <c r="E34" s="22"/>
      <c r="F34" s="19"/>
    </row>
    <row r="35">
      <c r="A35" s="94"/>
      <c r="B35" s="94"/>
      <c r="C35" s="94"/>
      <c r="D35" s="94"/>
    </row>
    <row r="36">
      <c r="A36" s="94"/>
      <c r="B36" s="94"/>
      <c r="C36" s="94"/>
      <c r="D36" s="94"/>
    </row>
    <row r="37">
      <c r="A37" s="10" t="s">
        <v>339</v>
      </c>
      <c r="B37" s="11" t="s">
        <v>340</v>
      </c>
      <c r="C37" s="12" t="s">
        <v>341</v>
      </c>
      <c r="D37" s="11" t="s">
        <v>342</v>
      </c>
      <c r="E37" s="11" t="s">
        <v>343</v>
      </c>
      <c r="F37" s="11" t="s">
        <v>344</v>
      </c>
      <c r="G37" s="11" t="s">
        <v>345</v>
      </c>
      <c r="H37" s="11" t="s">
        <v>346</v>
      </c>
      <c r="I37" s="11" t="s">
        <v>347</v>
      </c>
      <c r="J37" s="12" t="s">
        <v>348</v>
      </c>
      <c r="K37" s="12" t="s">
        <v>349</v>
      </c>
      <c r="L37" s="11" t="s">
        <v>350</v>
      </c>
      <c r="M37" s="11" t="s">
        <v>351</v>
      </c>
      <c r="N37" s="11" t="s">
        <v>1</v>
      </c>
      <c r="O37" s="11" t="s">
        <v>352</v>
      </c>
      <c r="P37" s="11" t="s">
        <v>353</v>
      </c>
      <c r="Q37" s="11" t="s">
        <v>354</v>
      </c>
      <c r="R37" s="11" t="s">
        <v>355</v>
      </c>
      <c r="S37" s="11" t="s">
        <v>356</v>
      </c>
      <c r="T37" s="11" t="s">
        <v>357</v>
      </c>
      <c r="U37" s="11" t="s">
        <v>358</v>
      </c>
      <c r="V37" s="11" t="s">
        <v>359</v>
      </c>
      <c r="W37" s="11" t="s">
        <v>360</v>
      </c>
      <c r="X37" s="11" t="s">
        <v>361</v>
      </c>
      <c r="Y37" s="11" t="s">
        <v>362</v>
      </c>
      <c r="Z37" s="11" t="s">
        <v>363</v>
      </c>
      <c r="AA37" s="13" t="s">
        <v>364</v>
      </c>
      <c r="AB37" s="14" t="s">
        <v>3</v>
      </c>
      <c r="AC37" s="15"/>
      <c r="AD37" s="15"/>
    </row>
    <row r="38">
      <c r="A38" s="16" t="s">
        <v>1746</v>
      </c>
      <c r="B38" s="53" t="s">
        <v>1739</v>
      </c>
      <c r="C38" s="53">
        <v>8.757711231E9</v>
      </c>
      <c r="D38" s="53"/>
      <c r="E38" s="20"/>
      <c r="F38" s="26"/>
      <c r="G38" s="26"/>
      <c r="H38" s="26"/>
      <c r="I38" s="26"/>
      <c r="J38" s="53" t="s">
        <v>1747</v>
      </c>
      <c r="K38" s="18" t="s">
        <v>1748</v>
      </c>
      <c r="L38" s="26"/>
      <c r="M38" s="26"/>
      <c r="N38" s="21" t="s">
        <v>23</v>
      </c>
      <c r="O38" s="20"/>
      <c r="P38" s="20"/>
      <c r="Q38" s="26"/>
      <c r="R38" s="26"/>
      <c r="S38" s="20"/>
      <c r="T38" s="26"/>
      <c r="U38" s="20"/>
      <c r="V38" s="26"/>
      <c r="W38" s="26"/>
      <c r="X38" s="20"/>
      <c r="Y38" s="20"/>
      <c r="Z38" s="20"/>
      <c r="AA38" s="26"/>
      <c r="AB38" s="28"/>
      <c r="AC38" s="24"/>
      <c r="AD38" s="24"/>
    </row>
    <row r="39">
      <c r="A39" s="25"/>
      <c r="B39" s="54" t="s">
        <v>921</v>
      </c>
      <c r="C39" s="53">
        <v>7.857823003E9</v>
      </c>
      <c r="D39" s="95"/>
      <c r="E39" s="20"/>
      <c r="F39" s="26"/>
      <c r="G39" s="26"/>
      <c r="H39" s="26"/>
      <c r="I39" s="19"/>
      <c r="J39" s="53" t="s">
        <v>1747</v>
      </c>
      <c r="K39" s="18" t="s">
        <v>1748</v>
      </c>
      <c r="L39" s="26"/>
      <c r="M39" s="26"/>
      <c r="N39" s="21" t="s">
        <v>9</v>
      </c>
      <c r="O39" s="20"/>
      <c r="P39" s="20"/>
      <c r="Q39" s="26"/>
      <c r="R39" s="26"/>
      <c r="S39" s="20"/>
      <c r="T39" s="26"/>
      <c r="U39" s="20"/>
      <c r="V39" s="26"/>
      <c r="W39" s="26"/>
      <c r="X39" s="20"/>
      <c r="Y39" s="20"/>
      <c r="Z39" s="20"/>
      <c r="AA39" s="26"/>
      <c r="AB39" s="17" t="s">
        <v>488</v>
      </c>
      <c r="AC39" s="24"/>
      <c r="AD39" s="24"/>
    </row>
    <row r="40">
      <c r="A40" s="25"/>
      <c r="B40" s="53" t="s">
        <v>1740</v>
      </c>
      <c r="C40" s="53">
        <v>9.955738758E9</v>
      </c>
      <c r="D40" s="95"/>
      <c r="E40" s="20"/>
      <c r="F40" s="26"/>
      <c r="G40" s="26"/>
      <c r="H40" s="26"/>
      <c r="I40" s="19"/>
      <c r="J40" s="53" t="s">
        <v>1747</v>
      </c>
      <c r="K40" s="18" t="s">
        <v>1748</v>
      </c>
      <c r="L40" s="26"/>
      <c r="M40" s="26"/>
      <c r="N40" s="21" t="s">
        <v>23</v>
      </c>
      <c r="O40" s="20"/>
      <c r="P40" s="20"/>
      <c r="Q40" s="26"/>
      <c r="R40" s="26"/>
      <c r="S40" s="20"/>
      <c r="T40" s="26"/>
      <c r="U40" s="20"/>
      <c r="V40" s="26"/>
      <c r="W40" s="26"/>
      <c r="X40" s="20"/>
      <c r="Y40" s="20"/>
      <c r="Z40" s="20"/>
      <c r="AA40" s="26"/>
      <c r="AB40" s="28"/>
      <c r="AC40" s="24"/>
      <c r="AD40" s="24"/>
    </row>
    <row r="41">
      <c r="A41" s="25"/>
      <c r="B41" s="53" t="s">
        <v>98</v>
      </c>
      <c r="C41" s="53">
        <v>7.66764867E8</v>
      </c>
      <c r="D41" s="53"/>
      <c r="E41" s="20"/>
      <c r="F41" s="26"/>
      <c r="G41" s="26"/>
      <c r="H41" s="26"/>
      <c r="I41" s="26"/>
      <c r="J41" s="53" t="s">
        <v>1747</v>
      </c>
      <c r="K41" s="18" t="s">
        <v>1748</v>
      </c>
      <c r="L41" s="26"/>
      <c r="M41" s="26"/>
      <c r="N41" s="21" t="s">
        <v>30</v>
      </c>
      <c r="O41" s="20"/>
      <c r="P41" s="20"/>
      <c r="Q41" s="26"/>
      <c r="R41" s="26"/>
      <c r="S41" s="20"/>
      <c r="T41" s="26"/>
      <c r="U41" s="20"/>
      <c r="V41" s="26"/>
      <c r="W41" s="26"/>
      <c r="X41" s="20"/>
      <c r="Y41" s="20"/>
      <c r="Z41" s="20"/>
      <c r="AA41" s="26"/>
      <c r="AB41" s="28"/>
      <c r="AC41" s="24"/>
      <c r="AD41" s="24"/>
    </row>
    <row r="42">
      <c r="A42" s="25"/>
      <c r="B42" s="93" t="s">
        <v>1741</v>
      </c>
      <c r="C42" s="93">
        <v>6.202559388E9</v>
      </c>
      <c r="D42" s="53"/>
      <c r="E42" s="20"/>
      <c r="F42" s="26"/>
      <c r="G42" s="26"/>
      <c r="H42" s="26"/>
      <c r="I42" s="26"/>
      <c r="J42" s="53" t="s">
        <v>1747</v>
      </c>
      <c r="K42" s="18" t="s">
        <v>1748</v>
      </c>
      <c r="L42" s="26"/>
      <c r="M42" s="26"/>
      <c r="N42" s="21" t="s">
        <v>23</v>
      </c>
      <c r="O42" s="20"/>
      <c r="P42" s="20"/>
      <c r="Q42" s="26"/>
      <c r="R42" s="26"/>
      <c r="S42" s="20"/>
      <c r="T42" s="26"/>
      <c r="U42" s="20"/>
      <c r="V42" s="26"/>
      <c r="W42" s="26"/>
      <c r="X42" s="20"/>
      <c r="Y42" s="20"/>
      <c r="Z42" s="20"/>
      <c r="AA42" s="26"/>
      <c r="AB42" s="28"/>
      <c r="AC42" s="24"/>
      <c r="AD42" s="24"/>
    </row>
    <row r="43">
      <c r="A43" s="25"/>
      <c r="B43" s="93" t="s">
        <v>1742</v>
      </c>
      <c r="C43" s="93">
        <v>9.690245343E9</v>
      </c>
      <c r="D43" s="53">
        <v>22.0</v>
      </c>
      <c r="E43" s="20" t="s">
        <v>367</v>
      </c>
      <c r="F43" s="26" t="s">
        <v>600</v>
      </c>
      <c r="G43" s="26" t="s">
        <v>375</v>
      </c>
      <c r="H43" s="26" t="s">
        <v>383</v>
      </c>
      <c r="I43" s="26" t="s">
        <v>1749</v>
      </c>
      <c r="J43" s="53" t="s">
        <v>1747</v>
      </c>
      <c r="K43" s="18" t="s">
        <v>1748</v>
      </c>
      <c r="L43" s="26" t="s">
        <v>1750</v>
      </c>
      <c r="M43" s="26" t="s">
        <v>1751</v>
      </c>
      <c r="N43" s="21" t="s">
        <v>9</v>
      </c>
      <c r="O43" s="20" t="s">
        <v>4</v>
      </c>
      <c r="P43" s="20" t="s">
        <v>4</v>
      </c>
      <c r="Q43" s="26" t="s">
        <v>432</v>
      </c>
      <c r="R43" s="26" t="s">
        <v>1752</v>
      </c>
      <c r="S43" s="20"/>
      <c r="T43" s="26"/>
      <c r="U43" s="20"/>
      <c r="V43" s="26"/>
      <c r="W43" s="26"/>
      <c r="X43" s="20"/>
      <c r="Y43" s="20"/>
      <c r="Z43" s="20"/>
      <c r="AA43" s="26"/>
      <c r="AB43" s="28"/>
      <c r="AC43" s="24"/>
      <c r="AD43" s="24"/>
    </row>
    <row r="44">
      <c r="A44" s="25"/>
      <c r="B44" s="93" t="s">
        <v>1274</v>
      </c>
      <c r="C44" s="93">
        <v>9.693505248E9</v>
      </c>
      <c r="D44" s="95"/>
      <c r="E44" s="20"/>
      <c r="F44" s="26"/>
      <c r="G44" s="26"/>
      <c r="H44" s="26"/>
      <c r="I44" s="19"/>
      <c r="J44" s="53" t="s">
        <v>1747</v>
      </c>
      <c r="K44" s="18" t="s">
        <v>1748</v>
      </c>
      <c r="L44" s="26"/>
      <c r="M44" s="26"/>
      <c r="N44" s="21" t="s">
        <v>1753</v>
      </c>
      <c r="O44" s="20"/>
      <c r="P44" s="20"/>
      <c r="Q44" s="26"/>
      <c r="R44" s="26"/>
      <c r="S44" s="20"/>
      <c r="T44" s="26"/>
      <c r="U44" s="20"/>
      <c r="V44" s="26"/>
      <c r="W44" s="26"/>
      <c r="X44" s="20"/>
      <c r="Y44" s="20"/>
      <c r="Z44" s="20"/>
      <c r="AA44" s="26"/>
      <c r="AB44" s="28"/>
      <c r="AC44" s="24"/>
      <c r="AD44" s="24"/>
    </row>
    <row r="45">
      <c r="A45" s="25"/>
      <c r="B45" s="93" t="s">
        <v>631</v>
      </c>
      <c r="C45" s="93">
        <v>9.471839543E9</v>
      </c>
      <c r="D45" s="95"/>
      <c r="E45" s="20"/>
      <c r="F45" s="26"/>
      <c r="G45" s="26"/>
      <c r="H45" s="26"/>
      <c r="I45" s="19"/>
      <c r="J45" s="53" t="s">
        <v>1747</v>
      </c>
      <c r="K45" s="18" t="s">
        <v>1748</v>
      </c>
      <c r="L45" s="26"/>
      <c r="M45" s="26"/>
      <c r="N45" s="21" t="s">
        <v>1753</v>
      </c>
      <c r="O45" s="20"/>
      <c r="P45" s="20"/>
      <c r="Q45" s="26"/>
      <c r="R45" s="26"/>
      <c r="S45" s="20"/>
      <c r="T45" s="26"/>
      <c r="U45" s="20"/>
      <c r="V45" s="26"/>
      <c r="W45" s="26"/>
      <c r="X45" s="20"/>
      <c r="Y45" s="20"/>
      <c r="Z45" s="20"/>
      <c r="AA45" s="26"/>
      <c r="AB45" s="17" t="s">
        <v>1754</v>
      </c>
      <c r="AC45" s="24"/>
      <c r="AD45" s="24"/>
    </row>
    <row r="46">
      <c r="A46" s="25"/>
      <c r="B46" s="93" t="s">
        <v>1743</v>
      </c>
      <c r="C46" s="93">
        <v>9.097018111E9</v>
      </c>
      <c r="D46" s="53">
        <v>35.0</v>
      </c>
      <c r="E46" s="20" t="s">
        <v>367</v>
      </c>
      <c r="F46" s="26" t="s">
        <v>1755</v>
      </c>
      <c r="G46" s="26" t="s">
        <v>375</v>
      </c>
      <c r="H46" s="26" t="s">
        <v>383</v>
      </c>
      <c r="I46" s="26" t="s">
        <v>1532</v>
      </c>
      <c r="J46" s="53" t="s">
        <v>1747</v>
      </c>
      <c r="K46" s="18" t="s">
        <v>1748</v>
      </c>
      <c r="L46" s="26" t="s">
        <v>1750</v>
      </c>
      <c r="M46" s="26" t="s">
        <v>1756</v>
      </c>
      <c r="N46" s="21" t="s">
        <v>9</v>
      </c>
      <c r="O46" s="20" t="s">
        <v>4</v>
      </c>
      <c r="P46" s="20" t="s">
        <v>380</v>
      </c>
      <c r="Q46" s="26"/>
      <c r="R46" s="26"/>
      <c r="S46" s="20" t="s">
        <v>4</v>
      </c>
      <c r="T46" s="26"/>
      <c r="U46" s="20" t="s">
        <v>4</v>
      </c>
      <c r="V46" s="26"/>
      <c r="W46" s="26" t="s">
        <v>616</v>
      </c>
      <c r="X46" s="20" t="s">
        <v>4</v>
      </c>
      <c r="Y46" s="20" t="s">
        <v>4</v>
      </c>
      <c r="Z46" s="20" t="s">
        <v>4</v>
      </c>
      <c r="AA46" s="26" t="s">
        <v>391</v>
      </c>
      <c r="AB46" s="28"/>
      <c r="AC46" s="24"/>
      <c r="AD46" s="24"/>
    </row>
    <row r="47">
      <c r="A47" s="25"/>
      <c r="B47" s="93" t="s">
        <v>1098</v>
      </c>
      <c r="C47" s="93">
        <v>8.229059662E9</v>
      </c>
      <c r="D47" s="53">
        <v>25.0</v>
      </c>
      <c r="E47" s="20" t="s">
        <v>367</v>
      </c>
      <c r="F47" s="26" t="s">
        <v>441</v>
      </c>
      <c r="G47" s="26" t="s">
        <v>375</v>
      </c>
      <c r="H47" s="26" t="s">
        <v>418</v>
      </c>
      <c r="I47" s="26" t="s">
        <v>1757</v>
      </c>
      <c r="J47" s="53" t="s">
        <v>1747</v>
      </c>
      <c r="K47" s="18" t="s">
        <v>1748</v>
      </c>
      <c r="L47" s="26" t="s">
        <v>1758</v>
      </c>
      <c r="M47" s="26" t="s">
        <v>1759</v>
      </c>
      <c r="N47" s="21" t="s">
        <v>9</v>
      </c>
      <c r="O47" s="20" t="s">
        <v>4</v>
      </c>
      <c r="P47" s="20" t="s">
        <v>380</v>
      </c>
      <c r="Q47" s="26"/>
      <c r="R47" s="26"/>
      <c r="S47" s="20"/>
      <c r="T47" s="26"/>
      <c r="U47" s="20"/>
      <c r="V47" s="26"/>
      <c r="W47" s="26"/>
      <c r="X47" s="20" t="s">
        <v>4</v>
      </c>
      <c r="Y47" s="20" t="s">
        <v>4</v>
      </c>
      <c r="Z47" s="20" t="s">
        <v>4</v>
      </c>
      <c r="AA47" s="26" t="s">
        <v>391</v>
      </c>
      <c r="AB47" s="28"/>
      <c r="AC47" s="24"/>
      <c r="AD47" s="24"/>
    </row>
    <row r="48">
      <c r="A48" s="25"/>
      <c r="B48" s="93" t="s">
        <v>1587</v>
      </c>
      <c r="C48" s="93">
        <v>8.75701471E9</v>
      </c>
      <c r="D48" s="53">
        <v>28.0</v>
      </c>
      <c r="E48" s="20" t="s">
        <v>367</v>
      </c>
      <c r="F48" s="26" t="s">
        <v>1074</v>
      </c>
      <c r="G48" s="26" t="s">
        <v>375</v>
      </c>
      <c r="H48" s="26" t="s">
        <v>418</v>
      </c>
      <c r="I48" s="26"/>
      <c r="J48" s="53" t="s">
        <v>1747</v>
      </c>
      <c r="K48" s="18" t="s">
        <v>1748</v>
      </c>
      <c r="L48" s="26" t="s">
        <v>1750</v>
      </c>
      <c r="M48" s="26" t="s">
        <v>1760</v>
      </c>
      <c r="N48" s="21" t="s">
        <v>9</v>
      </c>
      <c r="O48" s="20" t="s">
        <v>4</v>
      </c>
      <c r="P48" s="20" t="s">
        <v>380</v>
      </c>
      <c r="Q48" s="26"/>
      <c r="R48" s="26"/>
      <c r="S48" s="20" t="s">
        <v>4</v>
      </c>
      <c r="T48" s="26"/>
      <c r="U48" s="20" t="s">
        <v>4</v>
      </c>
      <c r="V48" s="26"/>
      <c r="W48" s="26" t="s">
        <v>616</v>
      </c>
      <c r="X48" s="20" t="s">
        <v>4</v>
      </c>
      <c r="Y48" s="20" t="s">
        <v>4</v>
      </c>
      <c r="Z48" s="20" t="s">
        <v>4</v>
      </c>
      <c r="AA48" s="26" t="s">
        <v>391</v>
      </c>
      <c r="AB48" s="17"/>
      <c r="AC48" s="24"/>
      <c r="AD48" s="24"/>
    </row>
    <row r="49">
      <c r="A49" s="25"/>
      <c r="B49" s="93" t="s">
        <v>1744</v>
      </c>
      <c r="C49" s="93">
        <v>9.304531815E9</v>
      </c>
      <c r="D49" s="95"/>
      <c r="E49" s="20"/>
      <c r="F49" s="26"/>
      <c r="G49" s="26"/>
      <c r="H49" s="26"/>
      <c r="I49" s="19"/>
      <c r="J49" s="53" t="s">
        <v>1747</v>
      </c>
      <c r="K49" s="18" t="s">
        <v>1748</v>
      </c>
      <c r="L49" s="26"/>
      <c r="M49" s="26"/>
      <c r="N49" s="21" t="s">
        <v>54</v>
      </c>
      <c r="O49" s="20"/>
      <c r="P49" s="20"/>
      <c r="Q49" s="26"/>
      <c r="R49" s="26"/>
      <c r="S49" s="20"/>
      <c r="T49" s="26"/>
      <c r="U49" s="20"/>
      <c r="V49" s="26"/>
      <c r="W49" s="26"/>
      <c r="X49" s="20"/>
      <c r="Y49" s="20"/>
      <c r="Z49" s="20"/>
      <c r="AA49" s="26"/>
      <c r="AB49" s="17" t="s">
        <v>1761</v>
      </c>
      <c r="AC49" s="24"/>
      <c r="AD49" s="24"/>
    </row>
    <row r="50">
      <c r="A50" s="25"/>
      <c r="B50" s="93" t="s">
        <v>56</v>
      </c>
      <c r="C50" s="93">
        <v>8.709839243E9</v>
      </c>
      <c r="D50" s="53">
        <v>35.0</v>
      </c>
      <c r="E50" s="20" t="s">
        <v>367</v>
      </c>
      <c r="F50" s="26" t="s">
        <v>1762</v>
      </c>
      <c r="G50" s="26" t="s">
        <v>375</v>
      </c>
      <c r="H50" s="26" t="s">
        <v>383</v>
      </c>
      <c r="I50" s="19"/>
      <c r="J50" s="53" t="s">
        <v>1747</v>
      </c>
      <c r="K50" s="18" t="s">
        <v>1748</v>
      </c>
      <c r="L50" s="26" t="s">
        <v>1750</v>
      </c>
      <c r="M50" s="26" t="s">
        <v>1763</v>
      </c>
      <c r="N50" s="21" t="s">
        <v>9</v>
      </c>
      <c r="O50" s="20" t="s">
        <v>4</v>
      </c>
      <c r="P50" s="20" t="s">
        <v>380</v>
      </c>
      <c r="Q50" s="26"/>
      <c r="R50" s="26"/>
      <c r="S50" s="20" t="s">
        <v>4</v>
      </c>
      <c r="T50" s="26"/>
      <c r="U50" s="20" t="s">
        <v>4</v>
      </c>
      <c r="V50" s="26"/>
      <c r="W50" s="26" t="s">
        <v>616</v>
      </c>
      <c r="X50" s="20" t="s">
        <v>4</v>
      </c>
      <c r="Y50" s="20" t="s">
        <v>4</v>
      </c>
      <c r="Z50" s="20" t="s">
        <v>4</v>
      </c>
      <c r="AA50" s="26" t="s">
        <v>391</v>
      </c>
      <c r="AB50" s="28"/>
      <c r="AC50" s="24"/>
      <c r="AD50" s="24"/>
    </row>
    <row r="51">
      <c r="A51" s="25"/>
      <c r="B51" s="93" t="s">
        <v>146</v>
      </c>
      <c r="C51" s="93">
        <v>9.142773498E9</v>
      </c>
      <c r="D51" s="53"/>
      <c r="E51" s="20"/>
      <c r="F51" s="26"/>
      <c r="G51" s="26"/>
      <c r="H51" s="26"/>
      <c r="I51" s="26"/>
      <c r="J51" s="53" t="s">
        <v>1747</v>
      </c>
      <c r="K51" s="18" t="s">
        <v>1748</v>
      </c>
      <c r="L51" s="26"/>
      <c r="M51" s="26"/>
      <c r="N51" s="21" t="s">
        <v>23</v>
      </c>
      <c r="O51" s="20"/>
      <c r="P51" s="20"/>
      <c r="Q51" s="26"/>
      <c r="R51" s="26"/>
      <c r="S51" s="20"/>
      <c r="T51" s="26"/>
      <c r="U51" s="20"/>
      <c r="V51" s="26"/>
      <c r="W51" s="26"/>
      <c r="X51" s="20"/>
      <c r="Y51" s="20"/>
      <c r="Z51" s="20"/>
      <c r="AA51" s="26"/>
      <c r="AB51" s="28"/>
      <c r="AC51" s="24"/>
      <c r="AD51" s="24"/>
    </row>
    <row r="52">
      <c r="A52" s="25"/>
      <c r="B52" s="93" t="s">
        <v>287</v>
      </c>
      <c r="C52" s="93">
        <v>9.708837524E9</v>
      </c>
      <c r="D52" s="53">
        <v>32.0</v>
      </c>
      <c r="E52" s="20" t="s">
        <v>367</v>
      </c>
      <c r="F52" s="26" t="s">
        <v>441</v>
      </c>
      <c r="G52" s="26" t="s">
        <v>375</v>
      </c>
      <c r="H52" s="26" t="s">
        <v>383</v>
      </c>
      <c r="I52" s="26"/>
      <c r="J52" s="53" t="s">
        <v>1747</v>
      </c>
      <c r="K52" s="18" t="s">
        <v>1748</v>
      </c>
      <c r="L52" s="26" t="s">
        <v>1750</v>
      </c>
      <c r="M52" s="26" t="s">
        <v>1764</v>
      </c>
      <c r="N52" s="21" t="s">
        <v>9</v>
      </c>
      <c r="O52" s="20" t="s">
        <v>4</v>
      </c>
      <c r="P52" s="20" t="s">
        <v>4</v>
      </c>
      <c r="Q52" s="26" t="s">
        <v>1765</v>
      </c>
      <c r="R52" s="26" t="s">
        <v>1766</v>
      </c>
      <c r="S52" s="20" t="s">
        <v>4</v>
      </c>
      <c r="T52" s="26"/>
      <c r="U52" s="20" t="s">
        <v>4</v>
      </c>
      <c r="V52" s="26"/>
      <c r="W52" s="26" t="s">
        <v>616</v>
      </c>
      <c r="X52" s="20" t="s">
        <v>4</v>
      </c>
      <c r="Y52" s="20" t="s">
        <v>4</v>
      </c>
      <c r="Z52" s="20" t="s">
        <v>4</v>
      </c>
      <c r="AA52" s="26" t="s">
        <v>391</v>
      </c>
      <c r="AB52" s="28"/>
      <c r="AC52" s="24"/>
      <c r="AD52" s="24"/>
    </row>
    <row r="53">
      <c r="A53" s="25"/>
      <c r="B53" s="93" t="s">
        <v>697</v>
      </c>
      <c r="C53" s="93">
        <v>7.903413989E9</v>
      </c>
      <c r="D53" s="95"/>
      <c r="E53" s="20"/>
      <c r="F53" s="26"/>
      <c r="G53" s="26"/>
      <c r="H53" s="26"/>
      <c r="I53" s="19"/>
      <c r="J53" s="53" t="s">
        <v>1747</v>
      </c>
      <c r="K53" s="18" t="s">
        <v>1748</v>
      </c>
      <c r="L53" s="26"/>
      <c r="M53" s="26"/>
      <c r="N53" s="21" t="s">
        <v>9</v>
      </c>
      <c r="O53" s="20"/>
      <c r="P53" s="20"/>
      <c r="Q53" s="26"/>
      <c r="R53" s="26"/>
      <c r="S53" s="20"/>
      <c r="T53" s="26"/>
      <c r="U53" s="20"/>
      <c r="V53" s="26"/>
      <c r="W53" s="26"/>
      <c r="X53" s="20"/>
      <c r="Y53" s="20"/>
      <c r="Z53" s="20"/>
      <c r="AA53" s="26" t="s">
        <v>391</v>
      </c>
      <c r="AB53" s="17" t="s">
        <v>1767</v>
      </c>
      <c r="AC53" s="24"/>
      <c r="AD53" s="24"/>
    </row>
    <row r="54">
      <c r="A54" s="25"/>
      <c r="B54" s="93" t="s">
        <v>1745</v>
      </c>
      <c r="C54" s="93">
        <v>9.155758492E9</v>
      </c>
      <c r="D54" s="95"/>
      <c r="E54" s="20"/>
      <c r="F54" s="26"/>
      <c r="G54" s="26"/>
      <c r="H54" s="26"/>
      <c r="I54" s="19"/>
      <c r="J54" s="53" t="s">
        <v>1747</v>
      </c>
      <c r="K54" s="18" t="s">
        <v>1748</v>
      </c>
      <c r="L54" s="26"/>
      <c r="M54" s="26"/>
      <c r="N54" s="21" t="s">
        <v>9</v>
      </c>
      <c r="O54" s="20"/>
      <c r="P54" s="20"/>
      <c r="Q54" s="26"/>
      <c r="R54" s="26"/>
      <c r="S54" s="20"/>
      <c r="T54" s="26"/>
      <c r="U54" s="20"/>
      <c r="V54" s="26"/>
      <c r="W54" s="26"/>
      <c r="X54" s="20"/>
      <c r="Y54" s="20"/>
      <c r="Z54" s="20"/>
      <c r="AA54" s="26" t="s">
        <v>410</v>
      </c>
      <c r="AB54" s="17" t="s">
        <v>1768</v>
      </c>
      <c r="AC54" s="24"/>
      <c r="AD54" s="24"/>
    </row>
    <row r="55">
      <c r="A55" s="25"/>
      <c r="B55" s="93" t="s">
        <v>453</v>
      </c>
      <c r="C55" s="93">
        <v>7.739730459E9</v>
      </c>
      <c r="D55" s="53">
        <v>21.0</v>
      </c>
      <c r="E55" s="20" t="s">
        <v>367</v>
      </c>
      <c r="F55" s="26" t="s">
        <v>1074</v>
      </c>
      <c r="G55" s="26" t="s">
        <v>375</v>
      </c>
      <c r="H55" s="26" t="s">
        <v>383</v>
      </c>
      <c r="I55" s="19"/>
      <c r="J55" s="53" t="s">
        <v>1747</v>
      </c>
      <c r="K55" s="18" t="s">
        <v>1748</v>
      </c>
      <c r="L55" s="26" t="s">
        <v>1750</v>
      </c>
      <c r="M55" s="26" t="s">
        <v>1769</v>
      </c>
      <c r="N55" s="21" t="s">
        <v>9</v>
      </c>
      <c r="O55" s="20" t="s">
        <v>4</v>
      </c>
      <c r="P55" s="20" t="s">
        <v>4</v>
      </c>
      <c r="Q55" s="26" t="s">
        <v>659</v>
      </c>
      <c r="R55" s="26" t="s">
        <v>1770</v>
      </c>
      <c r="S55" s="20" t="s">
        <v>4</v>
      </c>
      <c r="T55" s="26"/>
      <c r="U55" s="20" t="s">
        <v>4</v>
      </c>
      <c r="V55" s="26"/>
      <c r="W55" s="26" t="s">
        <v>616</v>
      </c>
      <c r="X55" s="20" t="s">
        <v>4</v>
      </c>
      <c r="Y55" s="20" t="s">
        <v>4</v>
      </c>
      <c r="Z55" s="20" t="s">
        <v>4</v>
      </c>
      <c r="AA55" s="26" t="s">
        <v>391</v>
      </c>
      <c r="AB55" s="28"/>
      <c r="AC55" s="24"/>
      <c r="AD55" s="24"/>
    </row>
    <row r="56">
      <c r="A56" s="25"/>
      <c r="B56" s="93" t="s">
        <v>259</v>
      </c>
      <c r="C56" s="93">
        <v>7.903009934E9</v>
      </c>
      <c r="D56" s="53">
        <v>28.0</v>
      </c>
      <c r="E56" s="20" t="s">
        <v>367</v>
      </c>
      <c r="F56" s="26" t="s">
        <v>1074</v>
      </c>
      <c r="G56" s="26" t="s">
        <v>375</v>
      </c>
      <c r="H56" s="26" t="s">
        <v>418</v>
      </c>
      <c r="I56" s="26"/>
      <c r="J56" s="53" t="s">
        <v>1747</v>
      </c>
      <c r="K56" s="18" t="s">
        <v>1748</v>
      </c>
      <c r="L56" s="26" t="s">
        <v>1771</v>
      </c>
      <c r="M56" s="26" t="s">
        <v>1772</v>
      </c>
      <c r="N56" s="21" t="s">
        <v>9</v>
      </c>
      <c r="O56" s="20" t="s">
        <v>4</v>
      </c>
      <c r="P56" s="20" t="s">
        <v>380</v>
      </c>
      <c r="Q56" s="26"/>
      <c r="R56" s="26"/>
      <c r="S56" s="20" t="s">
        <v>4</v>
      </c>
      <c r="T56" s="26"/>
      <c r="U56" s="20" t="s">
        <v>4</v>
      </c>
      <c r="V56" s="26"/>
      <c r="W56" s="26" t="s">
        <v>616</v>
      </c>
      <c r="X56" s="20" t="s">
        <v>4</v>
      </c>
      <c r="Y56" s="20" t="s">
        <v>4</v>
      </c>
      <c r="Z56" s="20" t="s">
        <v>4</v>
      </c>
      <c r="AA56" s="26" t="s">
        <v>391</v>
      </c>
      <c r="AB56" s="28"/>
      <c r="AC56" s="24"/>
      <c r="AD56" s="24"/>
    </row>
    <row r="57">
      <c r="A57" s="25"/>
      <c r="B57" s="93" t="s">
        <v>71</v>
      </c>
      <c r="C57" s="93">
        <v>9.262260506E9</v>
      </c>
      <c r="D57" s="53">
        <v>27.0</v>
      </c>
      <c r="E57" s="20" t="s">
        <v>367</v>
      </c>
      <c r="F57" s="26" t="s">
        <v>441</v>
      </c>
      <c r="G57" s="26" t="s">
        <v>375</v>
      </c>
      <c r="H57" s="26"/>
      <c r="I57" s="19"/>
      <c r="J57" s="53" t="s">
        <v>1747</v>
      </c>
      <c r="K57" s="18" t="s">
        <v>1748</v>
      </c>
      <c r="L57" s="26"/>
      <c r="M57" s="26"/>
      <c r="N57" s="21" t="s">
        <v>9</v>
      </c>
      <c r="O57" s="20"/>
      <c r="P57" s="20"/>
      <c r="Q57" s="26"/>
      <c r="R57" s="26"/>
      <c r="S57" s="20"/>
      <c r="T57" s="26"/>
      <c r="U57" s="20"/>
      <c r="V57" s="26"/>
      <c r="W57" s="26"/>
      <c r="X57" s="20"/>
      <c r="Y57" s="20"/>
      <c r="Z57" s="20"/>
      <c r="AA57" s="26"/>
      <c r="AB57" s="28"/>
      <c r="AC57" s="24"/>
      <c r="AD57" s="24"/>
    </row>
    <row r="58">
      <c r="A58" s="25"/>
      <c r="B58" s="93" t="s">
        <v>299</v>
      </c>
      <c r="C58" s="93">
        <v>8.630180486E9</v>
      </c>
      <c r="D58" s="53"/>
      <c r="E58" s="20"/>
      <c r="F58" s="26"/>
      <c r="G58" s="26"/>
      <c r="H58" s="26"/>
      <c r="I58" s="26"/>
      <c r="J58" s="53" t="s">
        <v>1747</v>
      </c>
      <c r="K58" s="18" t="s">
        <v>1748</v>
      </c>
      <c r="L58" s="26"/>
      <c r="M58" s="26"/>
      <c r="N58" s="21" t="s">
        <v>23</v>
      </c>
      <c r="O58" s="20"/>
      <c r="P58" s="20"/>
      <c r="Q58" s="26"/>
      <c r="R58" s="26"/>
      <c r="S58" s="20"/>
      <c r="T58" s="26"/>
      <c r="U58" s="20"/>
      <c r="V58" s="26"/>
      <c r="W58" s="26"/>
      <c r="X58" s="20"/>
      <c r="Y58" s="20"/>
      <c r="Z58" s="20"/>
      <c r="AA58" s="26"/>
      <c r="AB58" s="28"/>
      <c r="AC58" s="24"/>
      <c r="AD58" s="24"/>
    </row>
    <row r="59">
      <c r="A59" s="25"/>
      <c r="B59" s="93" t="s">
        <v>174</v>
      </c>
      <c r="C59" s="93">
        <v>6.20431409E9</v>
      </c>
      <c r="D59" s="95"/>
      <c r="E59" s="20"/>
      <c r="F59" s="26"/>
      <c r="G59" s="26"/>
      <c r="H59" s="26"/>
      <c r="I59" s="19"/>
      <c r="J59" s="53" t="s">
        <v>1747</v>
      </c>
      <c r="K59" s="18" t="s">
        <v>1748</v>
      </c>
      <c r="L59" s="26"/>
      <c r="M59" s="26"/>
      <c r="N59" s="21" t="s">
        <v>54</v>
      </c>
      <c r="O59" s="20"/>
      <c r="P59" s="20"/>
      <c r="Q59" s="26"/>
      <c r="R59" s="26"/>
      <c r="S59" s="20"/>
      <c r="T59" s="26"/>
      <c r="U59" s="20"/>
      <c r="V59" s="26"/>
      <c r="W59" s="26"/>
      <c r="X59" s="20"/>
      <c r="Y59" s="20"/>
      <c r="Z59" s="20"/>
      <c r="AA59" s="26"/>
      <c r="AB59" s="28"/>
      <c r="AC59" s="24"/>
      <c r="AD59" s="24"/>
    </row>
    <row r="60">
      <c r="A60" s="25"/>
      <c r="B60" s="93" t="s">
        <v>1284</v>
      </c>
      <c r="C60" s="93">
        <v>9.155981546E9</v>
      </c>
      <c r="D60" s="53">
        <v>25.0</v>
      </c>
      <c r="E60" s="20" t="s">
        <v>367</v>
      </c>
      <c r="F60" s="26" t="s">
        <v>1074</v>
      </c>
      <c r="G60" s="26" t="s">
        <v>375</v>
      </c>
      <c r="H60" s="26" t="s">
        <v>383</v>
      </c>
      <c r="I60" s="26"/>
      <c r="J60" s="53" t="s">
        <v>1747</v>
      </c>
      <c r="K60" s="18" t="s">
        <v>1748</v>
      </c>
      <c r="L60" s="26" t="s">
        <v>1750</v>
      </c>
      <c r="M60" s="26" t="s">
        <v>1751</v>
      </c>
      <c r="N60" s="21" t="s">
        <v>9</v>
      </c>
      <c r="O60" s="20" t="s">
        <v>4</v>
      </c>
      <c r="P60" s="20" t="s">
        <v>380</v>
      </c>
      <c r="Q60" s="26"/>
      <c r="R60" s="26"/>
      <c r="S60" s="20" t="s">
        <v>4</v>
      </c>
      <c r="T60" s="26"/>
      <c r="U60" s="20" t="s">
        <v>4</v>
      </c>
      <c r="V60" s="26"/>
      <c r="W60" s="26" t="s">
        <v>616</v>
      </c>
      <c r="X60" s="20" t="s">
        <v>4</v>
      </c>
      <c r="Y60" s="20" t="s">
        <v>4</v>
      </c>
      <c r="Z60" s="20" t="s">
        <v>4</v>
      </c>
      <c r="AA60" s="26" t="s">
        <v>391</v>
      </c>
      <c r="AB60" s="28"/>
      <c r="AC60" s="24"/>
      <c r="AD60" s="24"/>
    </row>
    <row r="61">
      <c r="A61" s="25"/>
      <c r="B61" s="93" t="s">
        <v>183</v>
      </c>
      <c r="C61" s="93">
        <v>8.084180991E9</v>
      </c>
      <c r="D61" s="53"/>
      <c r="E61" s="20"/>
      <c r="F61" s="26"/>
      <c r="G61" s="26"/>
      <c r="H61" s="26"/>
      <c r="I61" s="26"/>
      <c r="J61" s="53" t="s">
        <v>1747</v>
      </c>
      <c r="K61" s="18" t="s">
        <v>1748</v>
      </c>
      <c r="L61" s="26"/>
      <c r="M61" s="26"/>
      <c r="N61" s="21" t="s">
        <v>54</v>
      </c>
      <c r="O61" s="20"/>
      <c r="P61" s="20"/>
      <c r="Q61" s="26"/>
      <c r="R61" s="26"/>
      <c r="S61" s="20"/>
      <c r="T61" s="26"/>
      <c r="U61" s="20"/>
      <c r="V61" s="26"/>
      <c r="W61" s="26"/>
      <c r="X61" s="20"/>
      <c r="Y61" s="20"/>
      <c r="Z61" s="20"/>
      <c r="AA61" s="26" t="s">
        <v>391</v>
      </c>
      <c r="AB61" s="17" t="s">
        <v>1773</v>
      </c>
      <c r="AC61" s="24"/>
      <c r="AD61" s="24"/>
    </row>
    <row r="62">
      <c r="A62" s="25"/>
      <c r="B62" s="93" t="s">
        <v>89</v>
      </c>
      <c r="C62" s="93">
        <v>9.504602272E9</v>
      </c>
      <c r="D62" s="53"/>
      <c r="E62" s="20"/>
      <c r="F62" s="26"/>
      <c r="G62" s="26"/>
      <c r="H62" s="26"/>
      <c r="I62" s="26"/>
      <c r="J62" s="53" t="s">
        <v>1747</v>
      </c>
      <c r="K62" s="18" t="s">
        <v>1748</v>
      </c>
      <c r="L62" s="26"/>
      <c r="M62" s="26"/>
      <c r="N62" s="21" t="s">
        <v>9</v>
      </c>
      <c r="O62" s="20"/>
      <c r="P62" s="20"/>
      <c r="Q62" s="26"/>
      <c r="R62" s="26"/>
      <c r="S62" s="20"/>
      <c r="T62" s="26"/>
      <c r="U62" s="20"/>
      <c r="V62" s="26"/>
      <c r="W62" s="26"/>
      <c r="X62" s="20"/>
      <c r="Y62" s="20"/>
      <c r="Z62" s="20"/>
      <c r="AA62" s="26" t="s">
        <v>410</v>
      </c>
      <c r="AB62" s="17" t="s">
        <v>1774</v>
      </c>
      <c r="AC62" s="24"/>
      <c r="AD62" s="24"/>
    </row>
    <row r="63">
      <c r="A63" s="25"/>
      <c r="B63" s="93" t="s">
        <v>53</v>
      </c>
      <c r="C63" s="93">
        <v>6.209661405E9</v>
      </c>
      <c r="D63" s="53">
        <v>24.0</v>
      </c>
      <c r="E63" s="20" t="s">
        <v>367</v>
      </c>
      <c r="F63" s="26" t="s">
        <v>1775</v>
      </c>
      <c r="G63" s="26" t="s">
        <v>375</v>
      </c>
      <c r="H63" s="26" t="s">
        <v>383</v>
      </c>
      <c r="I63" s="26"/>
      <c r="J63" s="53" t="s">
        <v>1747</v>
      </c>
      <c r="K63" s="18" t="s">
        <v>1461</v>
      </c>
      <c r="L63" s="26" t="s">
        <v>1776</v>
      </c>
      <c r="M63" s="26" t="s">
        <v>1777</v>
      </c>
      <c r="N63" s="21" t="s">
        <v>9</v>
      </c>
      <c r="O63" s="20" t="s">
        <v>4</v>
      </c>
      <c r="P63" s="20" t="s">
        <v>4</v>
      </c>
      <c r="Q63" s="26" t="s">
        <v>444</v>
      </c>
      <c r="R63" s="26" t="s">
        <v>1770</v>
      </c>
      <c r="S63" s="20" t="s">
        <v>4</v>
      </c>
      <c r="T63" s="26"/>
      <c r="U63" s="20" t="s">
        <v>4</v>
      </c>
      <c r="V63" s="26"/>
      <c r="W63" s="26" t="s">
        <v>616</v>
      </c>
      <c r="X63" s="20" t="s">
        <v>4</v>
      </c>
      <c r="Y63" s="20" t="s">
        <v>4</v>
      </c>
      <c r="Z63" s="20" t="s">
        <v>4</v>
      </c>
      <c r="AA63" s="26" t="s">
        <v>391</v>
      </c>
      <c r="AB63" s="28"/>
      <c r="AC63" s="24"/>
      <c r="AD63" s="24"/>
    </row>
    <row r="64">
      <c r="A64" s="25"/>
      <c r="B64" s="53" t="s">
        <v>1486</v>
      </c>
      <c r="C64" s="53">
        <v>9.80188133E8</v>
      </c>
      <c r="D64" s="95"/>
      <c r="E64" s="20"/>
      <c r="F64" s="26"/>
      <c r="G64" s="26"/>
      <c r="H64" s="26"/>
      <c r="I64" s="19"/>
      <c r="J64" s="53" t="s">
        <v>1747</v>
      </c>
      <c r="K64" s="18" t="s">
        <v>1748</v>
      </c>
      <c r="L64" s="26"/>
      <c r="M64" s="26"/>
      <c r="N64" s="21" t="s">
        <v>30</v>
      </c>
      <c r="O64" s="20"/>
      <c r="P64" s="20"/>
      <c r="Q64" s="26"/>
      <c r="R64" s="26"/>
      <c r="S64" s="20"/>
      <c r="T64" s="26"/>
      <c r="U64" s="20"/>
      <c r="V64" s="26"/>
      <c r="W64" s="26"/>
      <c r="X64" s="20"/>
      <c r="Y64" s="20"/>
      <c r="Z64" s="20"/>
      <c r="AA64" s="26"/>
      <c r="AB64" s="28"/>
      <c r="AC64" s="24"/>
      <c r="AD64" s="24"/>
    </row>
    <row r="65">
      <c r="A65" s="25"/>
      <c r="B65" s="53" t="s">
        <v>1487</v>
      </c>
      <c r="C65" s="53">
        <v>9.77129737E9</v>
      </c>
      <c r="D65" s="53"/>
      <c r="E65" s="20"/>
      <c r="F65" s="26"/>
      <c r="G65" s="26"/>
      <c r="H65" s="26"/>
      <c r="I65" s="26"/>
      <c r="J65" s="53" t="s">
        <v>1747</v>
      </c>
      <c r="K65" s="18" t="s">
        <v>1748</v>
      </c>
      <c r="L65" s="26"/>
      <c r="M65" s="26"/>
      <c r="N65" s="21" t="s">
        <v>27</v>
      </c>
      <c r="O65" s="20"/>
      <c r="P65" s="20"/>
      <c r="Q65" s="26"/>
      <c r="R65" s="26"/>
      <c r="S65" s="20"/>
      <c r="T65" s="26"/>
      <c r="U65" s="20"/>
      <c r="V65" s="26"/>
      <c r="W65" s="26"/>
      <c r="X65" s="20"/>
      <c r="Y65" s="20"/>
      <c r="Z65" s="20"/>
      <c r="AA65" s="26"/>
      <c r="AB65" s="28"/>
      <c r="AC65" s="24"/>
      <c r="AD65" s="24"/>
    </row>
    <row r="66">
      <c r="A66" s="25"/>
      <c r="B66" s="53" t="s">
        <v>1492</v>
      </c>
      <c r="C66" s="53">
        <v>7.766875105E9</v>
      </c>
      <c r="D66" s="53">
        <v>35.0</v>
      </c>
      <c r="E66" s="20" t="s">
        <v>405</v>
      </c>
      <c r="F66" s="26" t="s">
        <v>1371</v>
      </c>
      <c r="G66" s="26" t="s">
        <v>375</v>
      </c>
      <c r="H66" s="26" t="s">
        <v>383</v>
      </c>
      <c r="I66" s="19"/>
      <c r="J66" s="53" t="s">
        <v>1747</v>
      </c>
      <c r="K66" s="18"/>
      <c r="L66" s="26" t="s">
        <v>1778</v>
      </c>
      <c r="M66" s="19"/>
      <c r="N66" s="21" t="s">
        <v>9</v>
      </c>
      <c r="O66" s="20" t="s">
        <v>4</v>
      </c>
      <c r="P66" s="20" t="s">
        <v>380</v>
      </c>
      <c r="Q66" s="19"/>
      <c r="R66" s="19"/>
      <c r="S66" s="20" t="s">
        <v>4</v>
      </c>
      <c r="T66" s="19"/>
      <c r="U66" s="20" t="s">
        <v>4</v>
      </c>
      <c r="V66" s="19"/>
      <c r="W66" s="26" t="s">
        <v>616</v>
      </c>
      <c r="X66" s="20" t="s">
        <v>4</v>
      </c>
      <c r="Y66" s="20" t="s">
        <v>4</v>
      </c>
      <c r="Z66" s="20" t="s">
        <v>4</v>
      </c>
      <c r="AA66" s="26" t="s">
        <v>391</v>
      </c>
      <c r="AB66" s="17" t="s">
        <v>1779</v>
      </c>
      <c r="AC66" s="24"/>
      <c r="AD66" s="24"/>
    </row>
    <row r="67">
      <c r="A67" s="31"/>
      <c r="B67" s="53" t="s">
        <v>1493</v>
      </c>
      <c r="C67" s="53">
        <v>7.488308839E9</v>
      </c>
      <c r="D67" s="53"/>
      <c r="E67" s="20"/>
      <c r="F67" s="26"/>
      <c r="G67" s="26"/>
      <c r="H67" s="26"/>
      <c r="I67" s="26"/>
      <c r="J67" s="53" t="s">
        <v>1747</v>
      </c>
      <c r="K67" s="18" t="s">
        <v>1748</v>
      </c>
      <c r="L67" s="26"/>
      <c r="M67" s="26"/>
      <c r="N67" s="21" t="s">
        <v>9</v>
      </c>
      <c r="O67" s="20"/>
      <c r="P67" s="20"/>
      <c r="Q67" s="26"/>
      <c r="R67" s="19"/>
      <c r="S67" s="20"/>
      <c r="T67" s="19"/>
      <c r="U67" s="20"/>
      <c r="V67" s="19"/>
      <c r="W67" s="26"/>
      <c r="X67" s="20"/>
      <c r="Y67" s="20"/>
      <c r="Z67" s="20"/>
      <c r="AA67" s="26" t="s">
        <v>410</v>
      </c>
      <c r="AB67" s="17" t="s">
        <v>1780</v>
      </c>
      <c r="AC67" s="24"/>
      <c r="AD67" s="24"/>
    </row>
  </sheetData>
  <mergeCells count="2">
    <mergeCell ref="A1:C7"/>
    <mergeCell ref="A38:A67"/>
  </mergeCells>
  <dataValidations>
    <dataValidation type="list" allowBlank="1" showErrorMessage="1" sqref="O38:P67 S38:S67 U38:U67 X38:Z67">
      <formula1>"Yes,NO"</formula1>
    </dataValidation>
    <dataValidation type="list" allowBlank="1" showErrorMessage="1" sqref="W38:W67">
      <formula1>"Bahut,Kuch Had Tak,Nahi"</formula1>
    </dataValidation>
    <dataValidation type="list" allowBlank="1" showErrorMessage="1" sqref="E38:E67">
      <formula1>"Male,Female"</formula1>
    </dataValidation>
    <dataValidation type="list" allowBlank="1" showErrorMessage="1" sqref="D9:D34">
      <formula1>"Connected,Call Back Later,Busy,Switch off,Not Received,Wrong No."</formula1>
    </dataValidation>
    <dataValidation type="list" allowBlank="1" showErrorMessage="1" sqref="E9:E34">
      <formula1>"CONFIRMED,NOT CONFIRMED"</formula1>
    </dataValidation>
    <dataValidation type="list" allowBlank="1" showErrorMessage="1" sqref="N38:N67">
      <formula1>"Connected,Call Back Later,Busy,Switch off,Not Received,Wrong No.,NOT INTRESTED"</formula1>
    </dataValidation>
    <dataValidation type="list" allowBlank="1" showErrorMessage="1" sqref="AA38:AA67">
      <formula1>"Verified,Not Verified"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</cols>
  <sheetData>
    <row r="1" ht="24.0" customHeight="1">
      <c r="A1" s="68" t="s">
        <v>1781</v>
      </c>
      <c r="D1" s="3"/>
      <c r="E1" s="3"/>
      <c r="F1" s="69"/>
      <c r="I1" s="87"/>
    </row>
    <row r="2">
      <c r="D2" s="3"/>
      <c r="E2" s="3"/>
      <c r="F2" s="69"/>
      <c r="I2" s="87"/>
    </row>
    <row r="3">
      <c r="D3" s="3"/>
      <c r="E3" s="3"/>
      <c r="F3" s="69"/>
      <c r="I3" s="87"/>
    </row>
    <row r="4">
      <c r="D4" s="3"/>
      <c r="E4" s="3"/>
      <c r="F4" s="69"/>
      <c r="I4" s="87"/>
    </row>
    <row r="5">
      <c r="D5" s="3"/>
      <c r="E5" s="3"/>
      <c r="F5" s="69"/>
      <c r="I5" s="87"/>
    </row>
    <row r="6">
      <c r="D6" s="70"/>
      <c r="E6" s="71"/>
      <c r="F6" s="71"/>
      <c r="I6" s="87"/>
    </row>
    <row r="7">
      <c r="D7" s="70"/>
      <c r="E7" s="71"/>
      <c r="F7" s="71"/>
      <c r="I7" s="87"/>
    </row>
    <row r="8">
      <c r="A8" s="72" t="s">
        <v>5</v>
      </c>
      <c r="B8" s="72" t="s">
        <v>6</v>
      </c>
      <c r="C8" s="72" t="s">
        <v>7</v>
      </c>
      <c r="D8" s="96" t="s">
        <v>1782</v>
      </c>
      <c r="E8" s="97" t="s">
        <v>2</v>
      </c>
      <c r="F8" s="74" t="s">
        <v>3</v>
      </c>
      <c r="G8" s="98" t="s">
        <v>1783</v>
      </c>
      <c r="H8" s="99" t="s">
        <v>2</v>
      </c>
      <c r="I8" s="76" t="s">
        <v>3</v>
      </c>
    </row>
    <row r="9">
      <c r="A9" s="100">
        <v>1.0</v>
      </c>
      <c r="B9" s="17" t="s">
        <v>1561</v>
      </c>
      <c r="C9" s="17">
        <v>9.931059565E9</v>
      </c>
      <c r="D9" s="79" t="s">
        <v>9</v>
      </c>
      <c r="E9" s="80" t="s">
        <v>1623</v>
      </c>
      <c r="F9" s="19"/>
      <c r="G9" s="79" t="s">
        <v>9</v>
      </c>
      <c r="H9" s="80" t="s">
        <v>1623</v>
      </c>
      <c r="I9" s="101"/>
    </row>
    <row r="10">
      <c r="A10" s="102">
        <v>2.0</v>
      </c>
      <c r="B10" s="17" t="s">
        <v>1567</v>
      </c>
      <c r="C10" s="17">
        <v>7.633948045E9</v>
      </c>
      <c r="D10" s="79" t="s">
        <v>9</v>
      </c>
      <c r="E10" s="80" t="s">
        <v>1623</v>
      </c>
      <c r="F10" s="19"/>
      <c r="G10" s="79" t="s">
        <v>9</v>
      </c>
      <c r="H10" s="80" t="s">
        <v>1624</v>
      </c>
      <c r="I10" s="63" t="s">
        <v>1673</v>
      </c>
    </row>
    <row r="11">
      <c r="A11" s="100">
        <v>3.0</v>
      </c>
      <c r="B11" s="17" t="s">
        <v>1573</v>
      </c>
      <c r="C11" s="17">
        <v>7.765846551E9</v>
      </c>
      <c r="D11" s="79" t="s">
        <v>9</v>
      </c>
      <c r="E11" s="80" t="s">
        <v>1623</v>
      </c>
      <c r="F11" s="19"/>
      <c r="G11" s="79" t="s">
        <v>9</v>
      </c>
      <c r="H11" s="80" t="s">
        <v>1624</v>
      </c>
      <c r="I11" s="63" t="s">
        <v>1784</v>
      </c>
    </row>
    <row r="12">
      <c r="A12" s="102">
        <v>4.0</v>
      </c>
      <c r="B12" s="17" t="s">
        <v>1574</v>
      </c>
      <c r="C12" s="17">
        <v>9.905487919E9</v>
      </c>
      <c r="D12" s="79" t="s">
        <v>9</v>
      </c>
      <c r="E12" s="80" t="s">
        <v>1623</v>
      </c>
      <c r="F12" s="19"/>
      <c r="G12" s="79" t="s">
        <v>9</v>
      </c>
      <c r="H12" s="80" t="s">
        <v>1623</v>
      </c>
      <c r="I12" s="101"/>
    </row>
    <row r="13">
      <c r="A13" s="100">
        <v>5.0</v>
      </c>
      <c r="B13" s="17" t="s">
        <v>1575</v>
      </c>
      <c r="C13" s="17">
        <v>8.002370889E9</v>
      </c>
      <c r="D13" s="79" t="s">
        <v>9</v>
      </c>
      <c r="E13" s="80" t="s">
        <v>1623</v>
      </c>
      <c r="F13" s="19"/>
      <c r="G13" s="79" t="s">
        <v>23</v>
      </c>
      <c r="H13" s="80"/>
      <c r="I13" s="101"/>
    </row>
    <row r="14">
      <c r="A14" s="102">
        <v>6.0</v>
      </c>
      <c r="B14" s="17" t="s">
        <v>1576</v>
      </c>
      <c r="C14" s="17">
        <v>9.570464752E9</v>
      </c>
      <c r="D14" s="79" t="s">
        <v>9</v>
      </c>
      <c r="E14" s="80" t="s">
        <v>1623</v>
      </c>
      <c r="F14" s="19"/>
      <c r="G14" s="79" t="s">
        <v>9</v>
      </c>
      <c r="H14" s="80" t="s">
        <v>1623</v>
      </c>
      <c r="I14" s="101"/>
    </row>
    <row r="15">
      <c r="A15" s="100">
        <v>7.0</v>
      </c>
      <c r="B15" s="17" t="s">
        <v>1577</v>
      </c>
      <c r="C15" s="17">
        <v>8.969864115E9</v>
      </c>
      <c r="D15" s="79" t="s">
        <v>54</v>
      </c>
      <c r="E15" s="80"/>
      <c r="F15" s="19"/>
      <c r="G15" s="79" t="s">
        <v>9</v>
      </c>
      <c r="H15" s="80" t="s">
        <v>1624</v>
      </c>
      <c r="I15" s="63" t="s">
        <v>1785</v>
      </c>
    </row>
    <row r="16">
      <c r="A16" s="102">
        <v>8.0</v>
      </c>
      <c r="B16" s="17" t="s">
        <v>1578</v>
      </c>
      <c r="C16" s="17">
        <v>9.934272087E9</v>
      </c>
      <c r="D16" s="79" t="s">
        <v>9</v>
      </c>
      <c r="E16" s="80" t="s">
        <v>1623</v>
      </c>
      <c r="F16" s="19"/>
      <c r="G16" s="79" t="s">
        <v>9</v>
      </c>
      <c r="H16" s="80" t="s">
        <v>1623</v>
      </c>
      <c r="I16" s="63"/>
    </row>
    <row r="17">
      <c r="A17" s="100">
        <v>9.0</v>
      </c>
      <c r="B17" s="17" t="s">
        <v>1579</v>
      </c>
      <c r="C17" s="17">
        <v>8.735979323E9</v>
      </c>
      <c r="D17" s="79" t="s">
        <v>9</v>
      </c>
      <c r="E17" s="80" t="s">
        <v>1623</v>
      </c>
      <c r="F17" s="19"/>
      <c r="G17" s="79" t="s">
        <v>9</v>
      </c>
      <c r="H17" s="80" t="s">
        <v>1623</v>
      </c>
      <c r="I17" s="101"/>
    </row>
    <row r="18">
      <c r="A18" s="102">
        <v>10.0</v>
      </c>
      <c r="B18" s="17" t="s">
        <v>1580</v>
      </c>
      <c r="C18" s="17">
        <v>9.525146391E9</v>
      </c>
      <c r="D18" s="79" t="s">
        <v>9</v>
      </c>
      <c r="E18" s="80" t="s">
        <v>1623</v>
      </c>
      <c r="F18" s="19"/>
      <c r="G18" s="79" t="s">
        <v>23</v>
      </c>
      <c r="H18" s="80"/>
      <c r="I18" s="101"/>
    </row>
    <row r="19">
      <c r="A19" s="100">
        <v>11.0</v>
      </c>
      <c r="B19" s="17" t="s">
        <v>421</v>
      </c>
      <c r="C19" s="17">
        <v>7.549289551E9</v>
      </c>
      <c r="D19" s="79" t="s">
        <v>9</v>
      </c>
      <c r="E19" s="80" t="s">
        <v>1623</v>
      </c>
      <c r="F19" s="19"/>
      <c r="G19" s="79" t="s">
        <v>9</v>
      </c>
      <c r="H19" s="80" t="s">
        <v>1624</v>
      </c>
      <c r="I19" s="63" t="s">
        <v>1786</v>
      </c>
    </row>
    <row r="20">
      <c r="A20" s="102">
        <v>12.0</v>
      </c>
      <c r="B20" s="17" t="s">
        <v>1581</v>
      </c>
      <c r="C20" s="17">
        <v>6.209662976E9</v>
      </c>
      <c r="D20" s="79" t="s">
        <v>9</v>
      </c>
      <c r="E20" s="80" t="s">
        <v>1623</v>
      </c>
      <c r="F20" s="19"/>
      <c r="G20" s="79" t="s">
        <v>23</v>
      </c>
      <c r="H20" s="80"/>
      <c r="I20" s="101"/>
    </row>
    <row r="21">
      <c r="A21" s="100">
        <v>13.0</v>
      </c>
      <c r="B21" s="17" t="s">
        <v>1582</v>
      </c>
      <c r="C21" s="17">
        <v>9.006891188E9</v>
      </c>
      <c r="D21" s="79" t="s">
        <v>9</v>
      </c>
      <c r="E21" s="80" t="s">
        <v>1623</v>
      </c>
      <c r="F21" s="19"/>
      <c r="G21" s="79" t="s">
        <v>9</v>
      </c>
      <c r="H21" s="80" t="s">
        <v>1623</v>
      </c>
      <c r="I21" s="101"/>
    </row>
    <row r="22">
      <c r="A22" s="102">
        <v>14.0</v>
      </c>
      <c r="B22" s="17" t="s">
        <v>1583</v>
      </c>
      <c r="C22" s="17">
        <v>6.29964831E9</v>
      </c>
      <c r="D22" s="79" t="s">
        <v>9</v>
      </c>
      <c r="E22" s="80" t="s">
        <v>1623</v>
      </c>
      <c r="F22" s="19"/>
      <c r="G22" s="79" t="s">
        <v>13</v>
      </c>
      <c r="H22" s="80"/>
      <c r="I22" s="63" t="s">
        <v>1787</v>
      </c>
    </row>
    <row r="23">
      <c r="A23" s="100">
        <v>15.0</v>
      </c>
      <c r="B23" s="17" t="s">
        <v>1584</v>
      </c>
      <c r="C23" s="17">
        <v>7.004834266E9</v>
      </c>
      <c r="D23" s="79" t="s">
        <v>9</v>
      </c>
      <c r="E23" s="80" t="s">
        <v>1623</v>
      </c>
      <c r="F23" s="19"/>
      <c r="G23" s="79" t="s">
        <v>27</v>
      </c>
      <c r="H23" s="80"/>
      <c r="I23" s="101"/>
    </row>
    <row r="24">
      <c r="A24" s="102">
        <v>16.0</v>
      </c>
      <c r="B24" s="17" t="s">
        <v>1585</v>
      </c>
      <c r="C24" s="17">
        <v>6.207400315E9</v>
      </c>
      <c r="D24" s="79" t="s">
        <v>9</v>
      </c>
      <c r="E24" s="80" t="s">
        <v>1623</v>
      </c>
      <c r="F24" s="19"/>
      <c r="G24" s="79" t="s">
        <v>9</v>
      </c>
      <c r="H24" s="80" t="s">
        <v>1624</v>
      </c>
      <c r="I24" s="63" t="s">
        <v>1788</v>
      </c>
    </row>
    <row r="25">
      <c r="A25" s="100">
        <v>17.0</v>
      </c>
      <c r="B25" s="17" t="s">
        <v>1586</v>
      </c>
      <c r="C25" s="17">
        <v>7.808261928E9</v>
      </c>
      <c r="D25" s="79" t="s">
        <v>9</v>
      </c>
      <c r="E25" s="80" t="s">
        <v>1623</v>
      </c>
      <c r="F25" s="19"/>
      <c r="G25" s="79" t="s">
        <v>27</v>
      </c>
      <c r="H25" s="80"/>
      <c r="I25" s="101"/>
    </row>
    <row r="26">
      <c r="A26" s="102">
        <v>18.0</v>
      </c>
      <c r="B26" s="17" t="s">
        <v>1587</v>
      </c>
      <c r="C26" s="17">
        <v>9.771401335E9</v>
      </c>
      <c r="D26" s="79" t="s">
        <v>9</v>
      </c>
      <c r="E26" s="80" t="s">
        <v>1623</v>
      </c>
      <c r="F26" s="19"/>
      <c r="G26" s="79" t="s">
        <v>13</v>
      </c>
      <c r="H26" s="80"/>
      <c r="I26" s="101"/>
    </row>
    <row r="27">
      <c r="A27" s="100">
        <v>19.0</v>
      </c>
      <c r="B27" s="17" t="s">
        <v>1588</v>
      </c>
      <c r="C27" s="17">
        <v>9.83532507E9</v>
      </c>
      <c r="D27" s="79" t="s">
        <v>9</v>
      </c>
      <c r="E27" s="80" t="s">
        <v>1623</v>
      </c>
      <c r="F27" s="19"/>
      <c r="G27" s="79" t="s">
        <v>9</v>
      </c>
      <c r="H27" s="80" t="s">
        <v>1623</v>
      </c>
      <c r="I27" s="101"/>
    </row>
    <row r="28">
      <c r="A28" s="102">
        <v>20.0</v>
      </c>
      <c r="B28" s="17" t="s">
        <v>1589</v>
      </c>
      <c r="C28" s="17">
        <v>9.693167773E9</v>
      </c>
      <c r="D28" s="79" t="s">
        <v>9</v>
      </c>
      <c r="E28" s="80" t="s">
        <v>1623</v>
      </c>
      <c r="F28" s="19"/>
      <c r="G28" s="79" t="s">
        <v>9</v>
      </c>
      <c r="H28" s="80" t="s">
        <v>1624</v>
      </c>
      <c r="I28" s="63" t="s">
        <v>1789</v>
      </c>
    </row>
    <row r="29">
      <c r="A29" s="100">
        <v>21.0</v>
      </c>
      <c r="B29" s="17" t="s">
        <v>1575</v>
      </c>
      <c r="C29" s="17">
        <v>9.128284927E9</v>
      </c>
      <c r="D29" s="79" t="s">
        <v>9</v>
      </c>
      <c r="E29" s="80" t="s">
        <v>1623</v>
      </c>
      <c r="F29" s="19"/>
      <c r="G29" s="79" t="s">
        <v>27</v>
      </c>
      <c r="H29" s="80"/>
      <c r="I29" s="101"/>
    </row>
    <row r="30">
      <c r="A30" s="102">
        <v>22.0</v>
      </c>
      <c r="B30" s="17" t="s">
        <v>1590</v>
      </c>
      <c r="C30" s="17">
        <v>6.20187146E9</v>
      </c>
      <c r="D30" s="79" t="s">
        <v>9</v>
      </c>
      <c r="E30" s="80" t="s">
        <v>1623</v>
      </c>
      <c r="F30" s="19"/>
      <c r="G30" s="79" t="s">
        <v>23</v>
      </c>
      <c r="H30" s="80"/>
      <c r="I30" s="101"/>
    </row>
    <row r="31">
      <c r="A31" s="100">
        <v>23.0</v>
      </c>
      <c r="B31" s="17" t="s">
        <v>1591</v>
      </c>
      <c r="C31" s="17">
        <v>8.809420961E9</v>
      </c>
      <c r="D31" s="79" t="s">
        <v>9</v>
      </c>
      <c r="E31" s="80" t="s">
        <v>1623</v>
      </c>
      <c r="F31" s="19"/>
      <c r="G31" s="79" t="s">
        <v>9</v>
      </c>
      <c r="H31" s="80" t="s">
        <v>1624</v>
      </c>
      <c r="I31" s="63" t="s">
        <v>1788</v>
      </c>
    </row>
    <row r="32">
      <c r="A32" s="102">
        <v>24.0</v>
      </c>
      <c r="B32" s="17" t="s">
        <v>1592</v>
      </c>
      <c r="C32" s="17">
        <v>8.298619559E9</v>
      </c>
      <c r="D32" s="79" t="s">
        <v>9</v>
      </c>
      <c r="E32" s="80" t="s">
        <v>1623</v>
      </c>
      <c r="F32" s="19"/>
      <c r="G32" s="79" t="s">
        <v>9</v>
      </c>
      <c r="H32" s="80" t="s">
        <v>1623</v>
      </c>
      <c r="I32" s="101"/>
    </row>
    <row r="33">
      <c r="A33" s="100">
        <v>25.0</v>
      </c>
      <c r="B33" s="17" t="s">
        <v>1593</v>
      </c>
      <c r="C33" s="17">
        <v>8.789226099E9</v>
      </c>
      <c r="D33" s="79" t="s">
        <v>9</v>
      </c>
      <c r="E33" s="80" t="s">
        <v>1623</v>
      </c>
      <c r="F33" s="19"/>
      <c r="G33" s="79" t="s">
        <v>23</v>
      </c>
      <c r="H33" s="80"/>
      <c r="I33" s="101"/>
    </row>
    <row r="34">
      <c r="A34" s="102">
        <v>26.0</v>
      </c>
      <c r="B34" s="17" t="s">
        <v>56</v>
      </c>
      <c r="C34" s="17">
        <v>8.804532173E9</v>
      </c>
      <c r="D34" s="79" t="s">
        <v>9</v>
      </c>
      <c r="E34" s="80" t="s">
        <v>1623</v>
      </c>
      <c r="F34" s="26" t="s">
        <v>1790</v>
      </c>
      <c r="G34" s="79" t="s">
        <v>9</v>
      </c>
      <c r="H34" s="80" t="s">
        <v>1624</v>
      </c>
      <c r="I34" s="63" t="s">
        <v>1791</v>
      </c>
    </row>
    <row r="35">
      <c r="A35" s="100">
        <v>27.0</v>
      </c>
      <c r="B35" s="17" t="s">
        <v>1594</v>
      </c>
      <c r="C35" s="17">
        <v>8.002438548E9</v>
      </c>
      <c r="D35" s="79" t="s">
        <v>9</v>
      </c>
      <c r="E35" s="80" t="s">
        <v>1623</v>
      </c>
      <c r="F35" s="19"/>
      <c r="G35" s="79" t="s">
        <v>23</v>
      </c>
      <c r="H35" s="80"/>
      <c r="I35" s="101"/>
    </row>
    <row r="36">
      <c r="A36" s="102">
        <v>28.0</v>
      </c>
      <c r="B36" s="17" t="s">
        <v>1595</v>
      </c>
      <c r="C36" s="17">
        <v>8.75747394E9</v>
      </c>
      <c r="D36" s="79" t="s">
        <v>9</v>
      </c>
      <c r="E36" s="80" t="s">
        <v>1623</v>
      </c>
      <c r="F36" s="19"/>
      <c r="G36" s="79" t="s">
        <v>13</v>
      </c>
      <c r="H36" s="80"/>
      <c r="I36" s="101"/>
    </row>
    <row r="37">
      <c r="A37" s="100">
        <v>29.0</v>
      </c>
      <c r="B37" s="17" t="s">
        <v>1596</v>
      </c>
      <c r="C37" s="17">
        <v>8.292213428E9</v>
      </c>
      <c r="D37" s="79" t="s">
        <v>9</v>
      </c>
      <c r="E37" s="80" t="s">
        <v>1624</v>
      </c>
      <c r="F37" s="26" t="s">
        <v>1792</v>
      </c>
      <c r="G37" s="79" t="s">
        <v>9</v>
      </c>
      <c r="H37" s="80" t="s">
        <v>1624</v>
      </c>
      <c r="I37" s="101"/>
    </row>
    <row r="38">
      <c r="A38" s="102">
        <v>30.0</v>
      </c>
      <c r="B38" s="17" t="s">
        <v>1597</v>
      </c>
      <c r="C38" s="17">
        <v>8.294235217E9</v>
      </c>
      <c r="D38" s="79" t="s">
        <v>9</v>
      </c>
      <c r="E38" s="80" t="s">
        <v>1623</v>
      </c>
      <c r="F38" s="19"/>
      <c r="G38" s="79" t="s">
        <v>9</v>
      </c>
      <c r="H38" s="80" t="s">
        <v>1623</v>
      </c>
      <c r="I38" s="101"/>
    </row>
    <row r="39">
      <c r="A39" s="100">
        <v>31.0</v>
      </c>
      <c r="B39" s="17" t="s">
        <v>1598</v>
      </c>
      <c r="C39" s="17">
        <v>9.162243414E9</v>
      </c>
      <c r="D39" s="79" t="s">
        <v>9</v>
      </c>
      <c r="E39" s="80" t="s">
        <v>1623</v>
      </c>
      <c r="F39" s="19"/>
      <c r="G39" s="79" t="s">
        <v>23</v>
      </c>
      <c r="H39" s="80"/>
      <c r="I39" s="101"/>
    </row>
    <row r="40">
      <c r="A40" s="102">
        <v>32.0</v>
      </c>
      <c r="B40" s="17" t="s">
        <v>1599</v>
      </c>
      <c r="C40" s="17">
        <v>6.20331204E9</v>
      </c>
      <c r="D40" s="79" t="s">
        <v>9</v>
      </c>
      <c r="E40" s="80" t="s">
        <v>1623</v>
      </c>
      <c r="F40" s="19"/>
      <c r="G40" s="79" t="s">
        <v>9</v>
      </c>
      <c r="H40" s="80" t="s">
        <v>1624</v>
      </c>
      <c r="I40" s="101"/>
    </row>
    <row r="41">
      <c r="A41" s="100">
        <v>33.0</v>
      </c>
      <c r="B41" s="17" t="s">
        <v>1600</v>
      </c>
      <c r="C41" s="17">
        <v>7.352752311E9</v>
      </c>
      <c r="D41" s="79" t="s">
        <v>27</v>
      </c>
      <c r="E41" s="80"/>
      <c r="F41" s="19"/>
      <c r="G41" s="79" t="s">
        <v>23</v>
      </c>
      <c r="H41" s="80"/>
      <c r="I41" s="101"/>
    </row>
    <row r="42">
      <c r="A42" s="102">
        <v>34.0</v>
      </c>
      <c r="B42" s="17" t="s">
        <v>1588</v>
      </c>
      <c r="C42" s="17">
        <v>9.631226508E9</v>
      </c>
      <c r="D42" s="79" t="s">
        <v>9</v>
      </c>
      <c r="E42" s="80" t="s">
        <v>1623</v>
      </c>
      <c r="F42" s="19"/>
      <c r="G42" s="79" t="s">
        <v>9</v>
      </c>
      <c r="H42" s="80" t="s">
        <v>1624</v>
      </c>
      <c r="I42" s="63" t="s">
        <v>1793</v>
      </c>
    </row>
    <row r="43">
      <c r="A43" s="100">
        <v>35.0</v>
      </c>
      <c r="B43" s="17" t="s">
        <v>1601</v>
      </c>
      <c r="C43" s="17">
        <v>9.523487308E9</v>
      </c>
      <c r="D43" s="79" t="s">
        <v>9</v>
      </c>
      <c r="E43" s="80" t="s">
        <v>1623</v>
      </c>
      <c r="F43" s="19"/>
      <c r="G43" s="79" t="s">
        <v>27</v>
      </c>
      <c r="H43" s="80"/>
      <c r="I43" s="101"/>
    </row>
    <row r="44">
      <c r="A44" s="102">
        <v>36.0</v>
      </c>
      <c r="B44" s="17" t="s">
        <v>1602</v>
      </c>
      <c r="C44" s="17">
        <v>7.870392175E9</v>
      </c>
      <c r="D44" s="79" t="s">
        <v>27</v>
      </c>
      <c r="E44" s="80"/>
      <c r="F44" s="26" t="s">
        <v>1794</v>
      </c>
      <c r="G44" s="79" t="s">
        <v>27</v>
      </c>
      <c r="H44" s="80"/>
      <c r="I44" s="63" t="s">
        <v>1794</v>
      </c>
    </row>
    <row r="45">
      <c r="A45" s="100">
        <v>37.0</v>
      </c>
      <c r="B45" s="17" t="s">
        <v>1603</v>
      </c>
      <c r="C45" s="17">
        <v>7.563054235E9</v>
      </c>
      <c r="D45" s="79" t="s">
        <v>9</v>
      </c>
      <c r="E45" s="80" t="s">
        <v>1623</v>
      </c>
      <c r="F45" s="19"/>
      <c r="G45" s="79" t="s">
        <v>9</v>
      </c>
      <c r="H45" s="80" t="s">
        <v>1623</v>
      </c>
      <c r="I45" s="101"/>
    </row>
    <row r="46">
      <c r="A46" s="102">
        <v>38.0</v>
      </c>
      <c r="B46" s="17" t="s">
        <v>53</v>
      </c>
      <c r="C46" s="17">
        <v>7.004656149E9</v>
      </c>
      <c r="D46" s="79" t="s">
        <v>9</v>
      </c>
      <c r="E46" s="80" t="s">
        <v>1623</v>
      </c>
      <c r="F46" s="19"/>
      <c r="G46" s="79" t="s">
        <v>9</v>
      </c>
      <c r="H46" s="80" t="s">
        <v>1623</v>
      </c>
      <c r="I46" s="101"/>
    </row>
    <row r="47">
      <c r="A47" s="100">
        <v>39.0</v>
      </c>
      <c r="B47" s="17" t="s">
        <v>1604</v>
      </c>
      <c r="C47" s="17">
        <v>6.207258153E9</v>
      </c>
      <c r="D47" s="79" t="s">
        <v>9</v>
      </c>
      <c r="E47" s="80" t="s">
        <v>1623</v>
      </c>
      <c r="F47" s="19"/>
      <c r="G47" s="79" t="s">
        <v>9</v>
      </c>
      <c r="H47" s="80" t="s">
        <v>1623</v>
      </c>
      <c r="I47" s="101"/>
    </row>
    <row r="48">
      <c r="A48" s="102">
        <v>40.0</v>
      </c>
      <c r="B48" s="17" t="s">
        <v>1605</v>
      </c>
      <c r="C48" s="17">
        <v>9.162095813E9</v>
      </c>
      <c r="D48" s="79" t="s">
        <v>9</v>
      </c>
      <c r="E48" s="80" t="s">
        <v>1623</v>
      </c>
      <c r="F48" s="19"/>
      <c r="G48" s="79" t="s">
        <v>9</v>
      </c>
      <c r="H48" s="80" t="s">
        <v>1623</v>
      </c>
      <c r="I48" s="101"/>
    </row>
    <row r="49">
      <c r="A49" s="100">
        <v>41.0</v>
      </c>
      <c r="B49" s="17" t="s">
        <v>311</v>
      </c>
      <c r="C49" s="67">
        <v>9.931909862E9</v>
      </c>
      <c r="D49" s="79" t="s">
        <v>9</v>
      </c>
      <c r="E49" s="80" t="s">
        <v>1623</v>
      </c>
      <c r="F49" s="19"/>
      <c r="G49" s="79" t="s">
        <v>9</v>
      </c>
      <c r="H49" s="80" t="s">
        <v>1623</v>
      </c>
      <c r="I49" s="101"/>
    </row>
    <row r="50">
      <c r="A50" s="102">
        <v>42.0</v>
      </c>
      <c r="B50" s="17" t="s">
        <v>1606</v>
      </c>
      <c r="C50" s="67">
        <v>9.065679015E9</v>
      </c>
      <c r="D50" s="79" t="s">
        <v>23</v>
      </c>
      <c r="E50" s="80"/>
      <c r="F50" s="19"/>
      <c r="G50" s="79" t="s">
        <v>23</v>
      </c>
      <c r="H50" s="80"/>
      <c r="I50" s="101"/>
    </row>
    <row r="51">
      <c r="A51" s="100">
        <v>43.0</v>
      </c>
      <c r="B51" s="17" t="s">
        <v>1607</v>
      </c>
      <c r="C51" s="67">
        <v>7.654708253E9</v>
      </c>
      <c r="D51" s="79" t="s">
        <v>9</v>
      </c>
      <c r="E51" s="80" t="s">
        <v>1623</v>
      </c>
      <c r="F51" s="19"/>
      <c r="G51" s="79" t="s">
        <v>9</v>
      </c>
      <c r="H51" s="80" t="s">
        <v>1623</v>
      </c>
      <c r="I51" s="101"/>
    </row>
    <row r="52">
      <c r="A52" s="102">
        <v>44.0</v>
      </c>
      <c r="B52" s="17" t="s">
        <v>1608</v>
      </c>
      <c r="C52" s="67">
        <v>9.117438796E9</v>
      </c>
      <c r="D52" s="79" t="s">
        <v>9</v>
      </c>
      <c r="E52" s="80" t="s">
        <v>1623</v>
      </c>
      <c r="F52" s="19"/>
      <c r="G52" s="79" t="s">
        <v>9</v>
      </c>
      <c r="H52" s="80" t="s">
        <v>1623</v>
      </c>
      <c r="I52" s="101"/>
    </row>
    <row r="53">
      <c r="A53" s="100">
        <v>45.0</v>
      </c>
      <c r="B53" s="17" t="s">
        <v>1609</v>
      </c>
      <c r="C53" s="67">
        <v>9.631510579E9</v>
      </c>
      <c r="D53" s="79" t="s">
        <v>9</v>
      </c>
      <c r="E53" s="80" t="s">
        <v>1623</v>
      </c>
      <c r="F53" s="19"/>
      <c r="G53" s="79" t="s">
        <v>9</v>
      </c>
      <c r="H53" s="80" t="s">
        <v>1623</v>
      </c>
      <c r="I53" s="101"/>
    </row>
    <row r="54">
      <c r="A54" s="102">
        <v>46.0</v>
      </c>
      <c r="B54" s="17" t="s">
        <v>277</v>
      </c>
      <c r="C54" s="67">
        <v>8.102580521E9</v>
      </c>
      <c r="D54" s="79" t="s">
        <v>9</v>
      </c>
      <c r="E54" s="80" t="s">
        <v>1623</v>
      </c>
      <c r="F54" s="19"/>
      <c r="G54" s="79" t="s">
        <v>9</v>
      </c>
      <c r="H54" s="80" t="s">
        <v>1623</v>
      </c>
      <c r="I54" s="101"/>
    </row>
    <row r="55">
      <c r="A55" s="100">
        <v>47.0</v>
      </c>
      <c r="B55" s="17" t="s">
        <v>1610</v>
      </c>
      <c r="C55" s="67">
        <v>8.490999275E9</v>
      </c>
      <c r="D55" s="79" t="s">
        <v>9</v>
      </c>
      <c r="E55" s="80" t="s">
        <v>1623</v>
      </c>
      <c r="F55" s="19"/>
      <c r="G55" s="79" t="s">
        <v>9</v>
      </c>
      <c r="H55" s="80" t="s">
        <v>1623</v>
      </c>
      <c r="I55" s="101"/>
    </row>
    <row r="56">
      <c r="A56" s="102">
        <v>48.0</v>
      </c>
      <c r="B56" s="17" t="s">
        <v>1611</v>
      </c>
      <c r="C56" s="67">
        <v>7.294963913E9</v>
      </c>
      <c r="D56" s="79" t="s">
        <v>9</v>
      </c>
      <c r="E56" s="80" t="s">
        <v>1623</v>
      </c>
      <c r="F56" s="19"/>
      <c r="G56" s="79" t="s">
        <v>9</v>
      </c>
      <c r="H56" s="80" t="s">
        <v>1623</v>
      </c>
      <c r="I56" s="101"/>
    </row>
    <row r="57">
      <c r="A57" s="100">
        <v>49.0</v>
      </c>
      <c r="B57" s="17" t="s">
        <v>1612</v>
      </c>
      <c r="C57" s="67">
        <v>9.30498934E9</v>
      </c>
      <c r="D57" s="79" t="s">
        <v>9</v>
      </c>
      <c r="E57" s="80" t="s">
        <v>1623</v>
      </c>
      <c r="F57" s="19"/>
      <c r="G57" s="79" t="s">
        <v>9</v>
      </c>
      <c r="H57" s="80" t="s">
        <v>1623</v>
      </c>
      <c r="I57" s="101"/>
    </row>
    <row r="58">
      <c r="A58" s="102">
        <v>50.0</v>
      </c>
      <c r="B58" s="17" t="s">
        <v>1613</v>
      </c>
      <c r="C58" s="67">
        <v>9.315052778E9</v>
      </c>
      <c r="D58" s="79" t="s">
        <v>9</v>
      </c>
      <c r="E58" s="80" t="s">
        <v>1623</v>
      </c>
      <c r="F58" s="19"/>
      <c r="G58" s="79" t="s">
        <v>23</v>
      </c>
      <c r="H58" s="80"/>
      <c r="I58" s="101"/>
    </row>
    <row r="59">
      <c r="A59" s="100">
        <v>51.0</v>
      </c>
      <c r="B59" s="17" t="s">
        <v>1614</v>
      </c>
      <c r="C59" s="67">
        <v>9.9318159E9</v>
      </c>
      <c r="D59" s="79" t="s">
        <v>9</v>
      </c>
      <c r="E59" s="80" t="s">
        <v>1623</v>
      </c>
      <c r="F59" s="19"/>
      <c r="G59" s="79" t="s">
        <v>9</v>
      </c>
      <c r="H59" s="80" t="s">
        <v>1623</v>
      </c>
      <c r="I59" s="101"/>
    </row>
    <row r="60">
      <c r="A60" s="102">
        <v>52.0</v>
      </c>
      <c r="B60" s="17" t="s">
        <v>1615</v>
      </c>
      <c r="C60" s="67">
        <v>6.200549536E9</v>
      </c>
      <c r="D60" s="79" t="s">
        <v>9</v>
      </c>
      <c r="E60" s="80" t="s">
        <v>1624</v>
      </c>
      <c r="F60" s="26" t="s">
        <v>1795</v>
      </c>
      <c r="G60" s="79" t="s">
        <v>9</v>
      </c>
      <c r="H60" s="80" t="s">
        <v>1624</v>
      </c>
      <c r="I60" s="101"/>
    </row>
    <row r="61">
      <c r="A61" s="100">
        <v>53.0</v>
      </c>
      <c r="B61" s="17" t="s">
        <v>239</v>
      </c>
      <c r="C61" s="67">
        <v>9.955579813E9</v>
      </c>
      <c r="D61" s="79" t="s">
        <v>9</v>
      </c>
      <c r="E61" s="80" t="s">
        <v>1623</v>
      </c>
      <c r="F61" s="19"/>
      <c r="G61" s="79" t="s">
        <v>9</v>
      </c>
      <c r="H61" s="80" t="s">
        <v>1623</v>
      </c>
      <c r="I61" s="101"/>
    </row>
    <row r="62">
      <c r="A62" s="102">
        <v>54.0</v>
      </c>
      <c r="B62" s="17" t="s">
        <v>1616</v>
      </c>
      <c r="C62" s="67">
        <v>9.155787414E9</v>
      </c>
      <c r="D62" s="79" t="s">
        <v>9</v>
      </c>
      <c r="E62" s="80" t="s">
        <v>1623</v>
      </c>
      <c r="F62" s="19"/>
      <c r="G62" s="79" t="s">
        <v>9</v>
      </c>
      <c r="H62" s="80" t="s">
        <v>1624</v>
      </c>
      <c r="I62" s="63" t="s">
        <v>1796</v>
      </c>
    </row>
    <row r="63">
      <c r="A63" s="100">
        <v>55.0</v>
      </c>
      <c r="B63" s="17" t="s">
        <v>77</v>
      </c>
      <c r="C63" s="67">
        <v>9.798588887E9</v>
      </c>
      <c r="D63" s="79" t="s">
        <v>9</v>
      </c>
      <c r="E63" s="80" t="s">
        <v>1623</v>
      </c>
      <c r="F63" s="19"/>
      <c r="G63" s="79" t="s">
        <v>9</v>
      </c>
      <c r="H63" s="80" t="s">
        <v>1624</v>
      </c>
      <c r="I63" s="101"/>
    </row>
    <row r="64">
      <c r="A64" s="102">
        <v>56.0</v>
      </c>
      <c r="B64" s="17" t="s">
        <v>1617</v>
      </c>
      <c r="C64" s="67">
        <v>9.199928159E9</v>
      </c>
      <c r="D64" s="79" t="s">
        <v>9</v>
      </c>
      <c r="E64" s="80" t="s">
        <v>1623</v>
      </c>
      <c r="F64" s="19"/>
      <c r="G64" s="79" t="s">
        <v>23</v>
      </c>
      <c r="H64" s="80"/>
      <c r="I64" s="101"/>
    </row>
    <row r="65">
      <c r="A65" s="100">
        <v>57.0</v>
      </c>
      <c r="B65" s="17" t="s">
        <v>1618</v>
      </c>
      <c r="C65" s="67">
        <v>6.287880559E9</v>
      </c>
      <c r="D65" s="79" t="s">
        <v>9</v>
      </c>
      <c r="E65" s="80" t="s">
        <v>1623</v>
      </c>
      <c r="F65" s="19"/>
      <c r="G65" s="79" t="s">
        <v>9</v>
      </c>
      <c r="H65" s="80" t="s">
        <v>1624</v>
      </c>
      <c r="I65" s="63" t="s">
        <v>1797</v>
      </c>
    </row>
    <row r="66">
      <c r="A66" s="102">
        <v>58.0</v>
      </c>
      <c r="B66" s="17" t="s">
        <v>1619</v>
      </c>
      <c r="C66" s="67">
        <v>7.091498973E9</v>
      </c>
      <c r="D66" s="79" t="s">
        <v>9</v>
      </c>
      <c r="E66" s="80" t="s">
        <v>1623</v>
      </c>
      <c r="F66" s="63" t="s">
        <v>1798</v>
      </c>
      <c r="G66" s="79" t="s">
        <v>9</v>
      </c>
      <c r="H66" s="80" t="s">
        <v>1624</v>
      </c>
      <c r="I66" s="63" t="s">
        <v>1799</v>
      </c>
    </row>
    <row r="67">
      <c r="A67" s="100">
        <v>59.0</v>
      </c>
      <c r="B67" s="103" t="s">
        <v>1800</v>
      </c>
      <c r="C67" s="103">
        <v>7.091445796E9</v>
      </c>
      <c r="D67" s="79" t="s">
        <v>23</v>
      </c>
      <c r="E67" s="80"/>
      <c r="F67" s="26"/>
      <c r="G67" s="79" t="s">
        <v>27</v>
      </c>
      <c r="H67" s="80"/>
      <c r="I67" s="101"/>
    </row>
    <row r="68">
      <c r="A68" s="102">
        <v>60.0</v>
      </c>
      <c r="B68" s="103" t="s">
        <v>1801</v>
      </c>
      <c r="C68" s="103">
        <v>7.903156069E9</v>
      </c>
      <c r="D68" s="79" t="s">
        <v>9</v>
      </c>
      <c r="E68" s="80" t="s">
        <v>1623</v>
      </c>
      <c r="F68" s="26"/>
      <c r="G68" s="79" t="s">
        <v>9</v>
      </c>
      <c r="H68" s="80" t="s">
        <v>1623</v>
      </c>
      <c r="I68" s="101"/>
    </row>
    <row r="69">
      <c r="A69" s="100">
        <v>61.0</v>
      </c>
      <c r="B69" s="103" t="s">
        <v>1802</v>
      </c>
      <c r="C69" s="103">
        <v>7.549440176E9</v>
      </c>
      <c r="D69" s="79" t="s">
        <v>9</v>
      </c>
      <c r="E69" s="80" t="s">
        <v>1623</v>
      </c>
      <c r="F69" s="26"/>
      <c r="G69" s="79" t="s">
        <v>9</v>
      </c>
      <c r="H69" s="80" t="s">
        <v>1623</v>
      </c>
      <c r="I69" s="101"/>
    </row>
    <row r="70">
      <c r="A70" s="102">
        <v>62.0</v>
      </c>
      <c r="B70" s="103" t="s">
        <v>1803</v>
      </c>
      <c r="C70" s="103">
        <v>7.20943651E9</v>
      </c>
      <c r="D70" s="79" t="s">
        <v>27</v>
      </c>
      <c r="E70" s="80"/>
      <c r="F70" s="26" t="s">
        <v>1794</v>
      </c>
      <c r="G70" s="79" t="s">
        <v>27</v>
      </c>
      <c r="H70" s="80"/>
      <c r="I70" s="101"/>
    </row>
    <row r="71">
      <c r="A71" s="100">
        <v>63.0</v>
      </c>
      <c r="B71" s="103" t="s">
        <v>1804</v>
      </c>
      <c r="C71" s="103">
        <v>9.835890832E9</v>
      </c>
      <c r="D71" s="79" t="s">
        <v>9</v>
      </c>
      <c r="E71" s="80" t="s">
        <v>1623</v>
      </c>
      <c r="F71" s="26"/>
      <c r="G71" s="79" t="s">
        <v>9</v>
      </c>
      <c r="H71" s="80" t="s">
        <v>1623</v>
      </c>
      <c r="I71" s="101"/>
    </row>
    <row r="72">
      <c r="A72" s="102">
        <v>64.0</v>
      </c>
      <c r="B72" s="103" t="s">
        <v>1805</v>
      </c>
      <c r="C72" s="103">
        <v>9.973604662E9</v>
      </c>
      <c r="D72" s="79" t="s">
        <v>9</v>
      </c>
      <c r="E72" s="80" t="s">
        <v>1623</v>
      </c>
      <c r="F72" s="26"/>
      <c r="G72" s="79" t="s">
        <v>9</v>
      </c>
      <c r="H72" s="80" t="s">
        <v>1623</v>
      </c>
      <c r="I72" s="101"/>
    </row>
    <row r="73">
      <c r="A73" s="100">
        <v>65.0</v>
      </c>
      <c r="B73" s="103" t="s">
        <v>1806</v>
      </c>
      <c r="C73" s="103">
        <v>9.264282935E9</v>
      </c>
      <c r="D73" s="79" t="s">
        <v>9</v>
      </c>
      <c r="E73" s="80" t="s">
        <v>1624</v>
      </c>
      <c r="F73" s="26" t="s">
        <v>1807</v>
      </c>
      <c r="G73" s="79" t="s">
        <v>9</v>
      </c>
      <c r="H73" s="80" t="s">
        <v>1624</v>
      </c>
      <c r="I73" s="101"/>
    </row>
    <row r="74">
      <c r="A74" s="102">
        <v>66.0</v>
      </c>
      <c r="B74" s="103" t="s">
        <v>1808</v>
      </c>
      <c r="C74" s="103">
        <v>9.955822967E9</v>
      </c>
      <c r="D74" s="79" t="s">
        <v>9</v>
      </c>
      <c r="E74" s="80" t="s">
        <v>1623</v>
      </c>
      <c r="F74" s="26"/>
      <c r="G74" s="79" t="s">
        <v>9</v>
      </c>
      <c r="H74" s="80" t="s">
        <v>1623</v>
      </c>
      <c r="I74" s="101"/>
    </row>
    <row r="75">
      <c r="A75" s="100">
        <v>67.0</v>
      </c>
      <c r="B75" s="103" t="s">
        <v>1809</v>
      </c>
      <c r="C75" s="103">
        <v>7.766059441E9</v>
      </c>
      <c r="D75" s="79" t="s">
        <v>9</v>
      </c>
      <c r="E75" s="80" t="s">
        <v>1623</v>
      </c>
      <c r="F75" s="26"/>
      <c r="G75" s="79" t="s">
        <v>9</v>
      </c>
      <c r="H75" s="80" t="s">
        <v>1623</v>
      </c>
      <c r="I75" s="101"/>
    </row>
    <row r="76">
      <c r="A76" s="102">
        <v>68.0</v>
      </c>
      <c r="B76" s="103" t="s">
        <v>1810</v>
      </c>
      <c r="C76" s="103">
        <v>6.200476162E9</v>
      </c>
      <c r="D76" s="79" t="s">
        <v>9</v>
      </c>
      <c r="E76" s="80" t="s">
        <v>1623</v>
      </c>
      <c r="F76" s="26"/>
      <c r="G76" s="79" t="s">
        <v>9</v>
      </c>
      <c r="H76" s="80" t="s">
        <v>1624</v>
      </c>
      <c r="I76" s="63" t="s">
        <v>1811</v>
      </c>
    </row>
    <row r="77">
      <c r="A77" s="100">
        <v>69.0</v>
      </c>
      <c r="B77" s="103" t="s">
        <v>1812</v>
      </c>
      <c r="C77" s="103">
        <v>9.162130537E9</v>
      </c>
      <c r="D77" s="79" t="s">
        <v>9</v>
      </c>
      <c r="E77" s="80" t="s">
        <v>1623</v>
      </c>
      <c r="F77" s="26"/>
      <c r="G77" s="79" t="s">
        <v>9</v>
      </c>
      <c r="H77" s="80" t="s">
        <v>1623</v>
      </c>
      <c r="I77" s="101"/>
    </row>
    <row r="78">
      <c r="A78" s="102">
        <v>70.0</v>
      </c>
      <c r="B78" s="103" t="s">
        <v>1813</v>
      </c>
      <c r="C78" s="103">
        <v>9.546514568E9</v>
      </c>
      <c r="D78" s="79" t="s">
        <v>13</v>
      </c>
      <c r="E78" s="80"/>
      <c r="F78" s="26"/>
      <c r="G78" s="79" t="s">
        <v>27</v>
      </c>
      <c r="H78" s="80"/>
      <c r="I78" s="101"/>
    </row>
    <row r="79">
      <c r="A79" s="100">
        <v>71.0</v>
      </c>
      <c r="B79" s="103" t="s">
        <v>1814</v>
      </c>
      <c r="C79" s="103">
        <v>9.572610439E9</v>
      </c>
      <c r="D79" s="79" t="s">
        <v>9</v>
      </c>
      <c r="E79" s="80" t="s">
        <v>1623</v>
      </c>
      <c r="F79" s="26"/>
      <c r="G79" s="79" t="s">
        <v>9</v>
      </c>
      <c r="H79" s="80" t="s">
        <v>1623</v>
      </c>
      <c r="I79" s="101"/>
    </row>
    <row r="80">
      <c r="A80" s="102">
        <v>72.0</v>
      </c>
      <c r="B80" s="103" t="s">
        <v>1815</v>
      </c>
      <c r="C80" s="103">
        <v>7.562933537E9</v>
      </c>
      <c r="D80" s="79" t="s">
        <v>9</v>
      </c>
      <c r="E80" s="80" t="s">
        <v>1623</v>
      </c>
      <c r="F80" s="26"/>
      <c r="G80" s="79" t="s">
        <v>27</v>
      </c>
      <c r="H80" s="80"/>
      <c r="I80" s="101"/>
    </row>
    <row r="81">
      <c r="A81" s="100">
        <v>73.0</v>
      </c>
      <c r="B81" s="103" t="s">
        <v>1816</v>
      </c>
      <c r="C81" s="103">
        <v>7.667871207E9</v>
      </c>
      <c r="D81" s="79" t="s">
        <v>9</v>
      </c>
      <c r="E81" s="80" t="s">
        <v>1623</v>
      </c>
      <c r="F81" s="26"/>
      <c r="G81" s="79" t="s">
        <v>9</v>
      </c>
      <c r="H81" s="80" t="s">
        <v>1623</v>
      </c>
      <c r="I81" s="101"/>
    </row>
    <row r="82">
      <c r="A82" s="102">
        <v>74.0</v>
      </c>
      <c r="B82" s="103" t="s">
        <v>1817</v>
      </c>
      <c r="C82" s="103">
        <v>9.334243005E9</v>
      </c>
      <c r="D82" s="79" t="s">
        <v>9</v>
      </c>
      <c r="E82" s="80" t="s">
        <v>1623</v>
      </c>
      <c r="F82" s="26"/>
      <c r="G82" s="79" t="s">
        <v>13</v>
      </c>
      <c r="H82" s="80"/>
      <c r="I82" s="101"/>
    </row>
    <row r="83">
      <c r="A83" s="100">
        <v>75.0</v>
      </c>
      <c r="B83" s="103" t="s">
        <v>1818</v>
      </c>
      <c r="C83" s="103">
        <v>9.798199319E9</v>
      </c>
      <c r="D83" s="79" t="s">
        <v>9</v>
      </c>
      <c r="E83" s="80" t="s">
        <v>1623</v>
      </c>
      <c r="F83" s="26"/>
      <c r="G83" s="79" t="s">
        <v>9</v>
      </c>
      <c r="H83" s="80" t="s">
        <v>1623</v>
      </c>
      <c r="I83" s="101"/>
    </row>
    <row r="84">
      <c r="A84" s="102">
        <v>76.0</v>
      </c>
      <c r="B84" s="103" t="s">
        <v>1819</v>
      </c>
      <c r="C84" s="103">
        <v>8.96933507E9</v>
      </c>
      <c r="D84" s="79" t="s">
        <v>9</v>
      </c>
      <c r="E84" s="80" t="s">
        <v>1623</v>
      </c>
      <c r="F84" s="26"/>
      <c r="G84" s="79" t="s">
        <v>9</v>
      </c>
      <c r="H84" s="80" t="s">
        <v>1624</v>
      </c>
      <c r="I84" s="63" t="s">
        <v>1820</v>
      </c>
    </row>
    <row r="85">
      <c r="I85" s="87"/>
    </row>
    <row r="86">
      <c r="I86" s="87"/>
    </row>
    <row r="87">
      <c r="I87" s="87"/>
    </row>
    <row r="88">
      <c r="I88" s="87"/>
    </row>
    <row r="89">
      <c r="I89" s="87"/>
    </row>
    <row r="90">
      <c r="I90" s="87"/>
    </row>
    <row r="91">
      <c r="I91" s="87"/>
    </row>
    <row r="92">
      <c r="I92" s="87"/>
    </row>
    <row r="93">
      <c r="I93" s="87"/>
    </row>
    <row r="94">
      <c r="I94" s="87"/>
    </row>
    <row r="95">
      <c r="I95" s="87"/>
    </row>
    <row r="96">
      <c r="I96" s="87"/>
    </row>
    <row r="97">
      <c r="I97" s="87"/>
    </row>
    <row r="98">
      <c r="I98" s="87"/>
    </row>
    <row r="99">
      <c r="I99" s="87"/>
    </row>
    <row r="100">
      <c r="I100" s="87"/>
    </row>
    <row r="101">
      <c r="I101" s="87"/>
    </row>
    <row r="102">
      <c r="I102" s="87"/>
    </row>
    <row r="103">
      <c r="I103" s="87"/>
    </row>
    <row r="104">
      <c r="I104" s="87"/>
    </row>
    <row r="105">
      <c r="I105" s="87"/>
    </row>
    <row r="106">
      <c r="I106" s="87"/>
    </row>
    <row r="107">
      <c r="I107" s="87"/>
    </row>
    <row r="108">
      <c r="I108" s="87"/>
    </row>
    <row r="109">
      <c r="I109" s="87"/>
    </row>
    <row r="110">
      <c r="I110" s="87"/>
    </row>
    <row r="111">
      <c r="I111" s="87"/>
    </row>
    <row r="112">
      <c r="I112" s="87"/>
    </row>
    <row r="113">
      <c r="I113" s="87"/>
    </row>
    <row r="114">
      <c r="I114" s="87"/>
    </row>
    <row r="115">
      <c r="I115" s="87"/>
    </row>
    <row r="116">
      <c r="I116" s="87"/>
    </row>
    <row r="117">
      <c r="I117" s="87"/>
    </row>
    <row r="118">
      <c r="I118" s="87"/>
    </row>
    <row r="119">
      <c r="I119" s="87"/>
    </row>
    <row r="120">
      <c r="I120" s="87"/>
    </row>
    <row r="121">
      <c r="I121" s="87"/>
    </row>
    <row r="122">
      <c r="I122" s="87"/>
    </row>
    <row r="123">
      <c r="I123" s="87"/>
    </row>
    <row r="124">
      <c r="I124" s="87"/>
    </row>
    <row r="125">
      <c r="I125" s="87"/>
    </row>
    <row r="126">
      <c r="I126" s="87"/>
    </row>
    <row r="127">
      <c r="I127" s="87"/>
    </row>
    <row r="128">
      <c r="I128" s="87"/>
    </row>
    <row r="129">
      <c r="I129" s="87"/>
    </row>
    <row r="130">
      <c r="I130" s="87"/>
    </row>
    <row r="131">
      <c r="I131" s="87"/>
    </row>
    <row r="132">
      <c r="I132" s="87"/>
    </row>
    <row r="133">
      <c r="I133" s="87"/>
    </row>
    <row r="134">
      <c r="I134" s="87"/>
    </row>
    <row r="135">
      <c r="I135" s="87"/>
    </row>
    <row r="136">
      <c r="I136" s="87"/>
    </row>
    <row r="137">
      <c r="I137" s="87"/>
    </row>
    <row r="138">
      <c r="I138" s="87"/>
    </row>
    <row r="139">
      <c r="I139" s="87"/>
    </row>
    <row r="140">
      <c r="I140" s="87"/>
    </row>
    <row r="141">
      <c r="I141" s="87"/>
    </row>
    <row r="142">
      <c r="I142" s="87"/>
    </row>
    <row r="143">
      <c r="I143" s="87"/>
    </row>
    <row r="144">
      <c r="I144" s="87"/>
    </row>
    <row r="145">
      <c r="I145" s="87"/>
    </row>
    <row r="146">
      <c r="I146" s="87"/>
    </row>
    <row r="147">
      <c r="I147" s="87"/>
    </row>
    <row r="148">
      <c r="I148" s="87"/>
    </row>
    <row r="149">
      <c r="I149" s="87"/>
    </row>
    <row r="150">
      <c r="I150" s="87"/>
    </row>
    <row r="151">
      <c r="I151" s="87"/>
    </row>
    <row r="152">
      <c r="I152" s="87"/>
    </row>
    <row r="153">
      <c r="I153" s="87"/>
    </row>
    <row r="154">
      <c r="I154" s="87"/>
    </row>
    <row r="155">
      <c r="I155" s="87"/>
    </row>
    <row r="156">
      <c r="I156" s="87"/>
    </row>
    <row r="157">
      <c r="I157" s="87"/>
    </row>
    <row r="158">
      <c r="I158" s="87"/>
    </row>
    <row r="159">
      <c r="I159" s="87"/>
    </row>
    <row r="160">
      <c r="I160" s="87"/>
    </row>
    <row r="161">
      <c r="I161" s="87"/>
    </row>
    <row r="162">
      <c r="I162" s="87"/>
    </row>
    <row r="163">
      <c r="I163" s="87"/>
    </row>
    <row r="164">
      <c r="I164" s="87"/>
    </row>
    <row r="165">
      <c r="I165" s="87"/>
    </row>
    <row r="166">
      <c r="I166" s="87"/>
    </row>
    <row r="167">
      <c r="I167" s="87"/>
    </row>
    <row r="168">
      <c r="I168" s="87"/>
    </row>
    <row r="169">
      <c r="I169" s="87"/>
    </row>
    <row r="170">
      <c r="I170" s="87"/>
    </row>
    <row r="171">
      <c r="I171" s="87"/>
    </row>
    <row r="172">
      <c r="I172" s="87"/>
    </row>
    <row r="173">
      <c r="I173" s="87"/>
    </row>
    <row r="174">
      <c r="I174" s="87"/>
    </row>
    <row r="175">
      <c r="I175" s="87"/>
    </row>
    <row r="176">
      <c r="I176" s="87"/>
    </row>
    <row r="177">
      <c r="I177" s="87"/>
    </row>
    <row r="178">
      <c r="I178" s="87"/>
    </row>
    <row r="179">
      <c r="I179" s="87"/>
    </row>
    <row r="180">
      <c r="I180" s="87"/>
    </row>
    <row r="181">
      <c r="I181" s="87"/>
    </row>
    <row r="182">
      <c r="I182" s="87"/>
    </row>
    <row r="183">
      <c r="I183" s="87"/>
    </row>
    <row r="184">
      <c r="I184" s="87"/>
    </row>
    <row r="185">
      <c r="I185" s="87"/>
    </row>
    <row r="186">
      <c r="I186" s="87"/>
    </row>
    <row r="187">
      <c r="I187" s="87"/>
    </row>
    <row r="188">
      <c r="I188" s="87"/>
    </row>
    <row r="189">
      <c r="I189" s="87"/>
    </row>
    <row r="190">
      <c r="I190" s="87"/>
    </row>
    <row r="191">
      <c r="I191" s="87"/>
    </row>
    <row r="192">
      <c r="I192" s="87"/>
    </row>
    <row r="193">
      <c r="I193" s="87"/>
    </row>
    <row r="194">
      <c r="I194" s="87"/>
    </row>
    <row r="195">
      <c r="I195" s="87"/>
    </row>
    <row r="196">
      <c r="I196" s="87"/>
    </row>
    <row r="197">
      <c r="I197" s="87"/>
    </row>
    <row r="198">
      <c r="I198" s="87"/>
    </row>
    <row r="199">
      <c r="I199" s="87"/>
    </row>
    <row r="200">
      <c r="I200" s="87"/>
    </row>
    <row r="201">
      <c r="I201" s="87"/>
    </row>
    <row r="202">
      <c r="I202" s="87"/>
    </row>
    <row r="203">
      <c r="I203" s="87"/>
    </row>
    <row r="204">
      <c r="I204" s="87"/>
    </row>
    <row r="205">
      <c r="I205" s="87"/>
    </row>
    <row r="206">
      <c r="I206" s="87"/>
    </row>
    <row r="207">
      <c r="I207" s="87"/>
    </row>
    <row r="208">
      <c r="I208" s="87"/>
    </row>
    <row r="209">
      <c r="I209" s="87"/>
    </row>
    <row r="210">
      <c r="I210" s="87"/>
    </row>
    <row r="211">
      <c r="I211" s="87"/>
    </row>
    <row r="212">
      <c r="I212" s="87"/>
    </row>
    <row r="213">
      <c r="I213" s="87"/>
    </row>
    <row r="214">
      <c r="I214" s="87"/>
    </row>
    <row r="215">
      <c r="I215" s="87"/>
    </row>
    <row r="216">
      <c r="I216" s="87"/>
    </row>
    <row r="217">
      <c r="I217" s="87"/>
    </row>
    <row r="218">
      <c r="I218" s="87"/>
    </row>
    <row r="219">
      <c r="I219" s="87"/>
    </row>
    <row r="220">
      <c r="I220" s="87"/>
    </row>
    <row r="221">
      <c r="I221" s="87"/>
    </row>
    <row r="222">
      <c r="I222" s="87"/>
    </row>
    <row r="223">
      <c r="I223" s="87"/>
    </row>
    <row r="224">
      <c r="I224" s="87"/>
    </row>
    <row r="225">
      <c r="I225" s="87"/>
    </row>
    <row r="226">
      <c r="I226" s="87"/>
    </row>
    <row r="227">
      <c r="I227" s="87"/>
    </row>
    <row r="228">
      <c r="I228" s="87"/>
    </row>
    <row r="229">
      <c r="I229" s="87"/>
    </row>
    <row r="230">
      <c r="I230" s="87"/>
    </row>
    <row r="231">
      <c r="I231" s="87"/>
    </row>
    <row r="232">
      <c r="I232" s="87"/>
    </row>
    <row r="233">
      <c r="I233" s="87"/>
    </row>
    <row r="234">
      <c r="I234" s="87"/>
    </row>
    <row r="235">
      <c r="I235" s="87"/>
    </row>
    <row r="236">
      <c r="I236" s="87"/>
    </row>
    <row r="237">
      <c r="I237" s="87"/>
    </row>
    <row r="238">
      <c r="I238" s="87"/>
    </row>
    <row r="239">
      <c r="I239" s="87"/>
    </row>
    <row r="240">
      <c r="I240" s="87"/>
    </row>
    <row r="241">
      <c r="I241" s="87"/>
    </row>
    <row r="242">
      <c r="I242" s="87"/>
    </row>
    <row r="243">
      <c r="I243" s="87"/>
    </row>
    <row r="244">
      <c r="I244" s="87"/>
    </row>
    <row r="245">
      <c r="I245" s="87"/>
    </row>
    <row r="246">
      <c r="I246" s="87"/>
    </row>
    <row r="247">
      <c r="I247" s="87"/>
    </row>
    <row r="248">
      <c r="I248" s="87"/>
    </row>
    <row r="249">
      <c r="I249" s="87"/>
    </row>
    <row r="250">
      <c r="I250" s="87"/>
    </row>
    <row r="251">
      <c r="I251" s="87"/>
    </row>
    <row r="252">
      <c r="I252" s="87"/>
    </row>
    <row r="253">
      <c r="I253" s="87"/>
    </row>
    <row r="254">
      <c r="I254" s="87"/>
    </row>
    <row r="255">
      <c r="I255" s="87"/>
    </row>
    <row r="256">
      <c r="I256" s="87"/>
    </row>
    <row r="257">
      <c r="I257" s="87"/>
    </row>
    <row r="258">
      <c r="I258" s="87"/>
    </row>
    <row r="259">
      <c r="I259" s="87"/>
    </row>
    <row r="260">
      <c r="I260" s="87"/>
    </row>
    <row r="261">
      <c r="I261" s="87"/>
    </row>
    <row r="262">
      <c r="I262" s="87"/>
    </row>
    <row r="263">
      <c r="I263" s="87"/>
    </row>
    <row r="264">
      <c r="I264" s="87"/>
    </row>
    <row r="265">
      <c r="I265" s="87"/>
    </row>
    <row r="266">
      <c r="I266" s="87"/>
    </row>
    <row r="267">
      <c r="I267" s="87"/>
    </row>
    <row r="268">
      <c r="I268" s="87"/>
    </row>
    <row r="269">
      <c r="I269" s="87"/>
    </row>
    <row r="270">
      <c r="I270" s="87"/>
    </row>
    <row r="271">
      <c r="I271" s="87"/>
    </row>
    <row r="272">
      <c r="I272" s="87"/>
    </row>
    <row r="273">
      <c r="I273" s="87"/>
    </row>
    <row r="274">
      <c r="I274" s="87"/>
    </row>
    <row r="275">
      <c r="I275" s="87"/>
    </row>
    <row r="276">
      <c r="I276" s="87"/>
    </row>
    <row r="277">
      <c r="I277" s="87"/>
    </row>
    <row r="278">
      <c r="I278" s="87"/>
    </row>
    <row r="279">
      <c r="I279" s="87"/>
    </row>
    <row r="280">
      <c r="I280" s="87"/>
    </row>
    <row r="281">
      <c r="I281" s="87"/>
    </row>
    <row r="282">
      <c r="I282" s="87"/>
    </row>
    <row r="283">
      <c r="I283" s="87"/>
    </row>
    <row r="284">
      <c r="I284" s="87"/>
    </row>
    <row r="285">
      <c r="I285" s="87"/>
    </row>
    <row r="286">
      <c r="I286" s="87"/>
    </row>
    <row r="287">
      <c r="I287" s="87"/>
    </row>
    <row r="288">
      <c r="I288" s="87"/>
    </row>
    <row r="289">
      <c r="I289" s="87"/>
    </row>
    <row r="290">
      <c r="I290" s="87"/>
    </row>
    <row r="291">
      <c r="I291" s="87"/>
    </row>
    <row r="292">
      <c r="I292" s="87"/>
    </row>
    <row r="293">
      <c r="I293" s="87"/>
    </row>
    <row r="294">
      <c r="I294" s="87"/>
    </row>
    <row r="295">
      <c r="I295" s="87"/>
    </row>
    <row r="296">
      <c r="I296" s="87"/>
    </row>
    <row r="297">
      <c r="I297" s="87"/>
    </row>
    <row r="298">
      <c r="I298" s="87"/>
    </row>
    <row r="299">
      <c r="I299" s="87"/>
    </row>
    <row r="300">
      <c r="I300" s="87"/>
    </row>
    <row r="301">
      <c r="I301" s="87"/>
    </row>
    <row r="302">
      <c r="I302" s="87"/>
    </row>
    <row r="303">
      <c r="I303" s="87"/>
    </row>
    <row r="304">
      <c r="I304" s="87"/>
    </row>
    <row r="305">
      <c r="I305" s="87"/>
    </row>
    <row r="306">
      <c r="I306" s="87"/>
    </row>
    <row r="307">
      <c r="I307" s="87"/>
    </row>
    <row r="308">
      <c r="I308" s="87"/>
    </row>
    <row r="309">
      <c r="I309" s="87"/>
    </row>
    <row r="310">
      <c r="I310" s="87"/>
    </row>
    <row r="311">
      <c r="I311" s="87"/>
    </row>
    <row r="312">
      <c r="I312" s="87"/>
    </row>
    <row r="313">
      <c r="I313" s="87"/>
    </row>
    <row r="314">
      <c r="I314" s="87"/>
    </row>
    <row r="315">
      <c r="I315" s="87"/>
    </row>
    <row r="316">
      <c r="I316" s="87"/>
    </row>
    <row r="317">
      <c r="I317" s="87"/>
    </row>
    <row r="318">
      <c r="I318" s="87"/>
    </row>
    <row r="319">
      <c r="I319" s="87"/>
    </row>
    <row r="320">
      <c r="I320" s="87"/>
    </row>
    <row r="321">
      <c r="I321" s="87"/>
    </row>
    <row r="322">
      <c r="I322" s="87"/>
    </row>
    <row r="323">
      <c r="I323" s="87"/>
    </row>
    <row r="324">
      <c r="I324" s="87"/>
    </row>
    <row r="325">
      <c r="I325" s="87"/>
    </row>
    <row r="326">
      <c r="I326" s="87"/>
    </row>
    <row r="327">
      <c r="I327" s="87"/>
    </row>
    <row r="328">
      <c r="I328" s="87"/>
    </row>
    <row r="329">
      <c r="I329" s="87"/>
    </row>
    <row r="330">
      <c r="I330" s="87"/>
    </row>
    <row r="331">
      <c r="I331" s="87"/>
    </row>
    <row r="332">
      <c r="I332" s="87"/>
    </row>
    <row r="333">
      <c r="I333" s="87"/>
    </row>
    <row r="334">
      <c r="I334" s="87"/>
    </row>
    <row r="335">
      <c r="I335" s="87"/>
    </row>
    <row r="336">
      <c r="I336" s="87"/>
    </row>
    <row r="337">
      <c r="I337" s="87"/>
    </row>
    <row r="338">
      <c r="I338" s="87"/>
    </row>
    <row r="339">
      <c r="I339" s="87"/>
    </row>
    <row r="340">
      <c r="I340" s="87"/>
    </row>
    <row r="341">
      <c r="I341" s="87"/>
    </row>
    <row r="342">
      <c r="I342" s="87"/>
    </row>
    <row r="343">
      <c r="I343" s="87"/>
    </row>
    <row r="344">
      <c r="I344" s="87"/>
    </row>
    <row r="345">
      <c r="I345" s="87"/>
    </row>
    <row r="346">
      <c r="I346" s="87"/>
    </row>
    <row r="347">
      <c r="I347" s="87"/>
    </row>
    <row r="348">
      <c r="I348" s="87"/>
    </row>
    <row r="349">
      <c r="I349" s="87"/>
    </row>
    <row r="350">
      <c r="I350" s="87"/>
    </row>
    <row r="351">
      <c r="I351" s="87"/>
    </row>
    <row r="352">
      <c r="I352" s="87"/>
    </row>
    <row r="353">
      <c r="I353" s="87"/>
    </row>
    <row r="354">
      <c r="I354" s="87"/>
    </row>
    <row r="355">
      <c r="I355" s="87"/>
    </row>
    <row r="356">
      <c r="I356" s="87"/>
    </row>
    <row r="357">
      <c r="I357" s="87"/>
    </row>
    <row r="358">
      <c r="I358" s="87"/>
    </row>
    <row r="359">
      <c r="I359" s="87"/>
    </row>
    <row r="360">
      <c r="I360" s="87"/>
    </row>
    <row r="361">
      <c r="I361" s="87"/>
    </row>
    <row r="362">
      <c r="I362" s="87"/>
    </row>
    <row r="363">
      <c r="I363" s="87"/>
    </row>
    <row r="364">
      <c r="I364" s="87"/>
    </row>
    <row r="365">
      <c r="I365" s="87"/>
    </row>
    <row r="366">
      <c r="I366" s="87"/>
    </row>
    <row r="367">
      <c r="I367" s="87"/>
    </row>
    <row r="368">
      <c r="I368" s="87"/>
    </row>
    <row r="369">
      <c r="I369" s="87"/>
    </row>
    <row r="370">
      <c r="I370" s="87"/>
    </row>
    <row r="371">
      <c r="I371" s="87"/>
    </row>
    <row r="372">
      <c r="I372" s="87"/>
    </row>
    <row r="373">
      <c r="I373" s="87"/>
    </row>
    <row r="374">
      <c r="I374" s="87"/>
    </row>
    <row r="375">
      <c r="I375" s="87"/>
    </row>
    <row r="376">
      <c r="I376" s="87"/>
    </row>
    <row r="377">
      <c r="I377" s="87"/>
    </row>
    <row r="378">
      <c r="I378" s="87"/>
    </row>
    <row r="379">
      <c r="I379" s="87"/>
    </row>
    <row r="380">
      <c r="I380" s="87"/>
    </row>
    <row r="381">
      <c r="I381" s="87"/>
    </row>
    <row r="382">
      <c r="I382" s="87"/>
    </row>
    <row r="383">
      <c r="I383" s="87"/>
    </row>
    <row r="384">
      <c r="I384" s="87"/>
    </row>
    <row r="385">
      <c r="I385" s="87"/>
    </row>
    <row r="386">
      <c r="I386" s="87"/>
    </row>
    <row r="387">
      <c r="I387" s="87"/>
    </row>
    <row r="388">
      <c r="I388" s="87"/>
    </row>
    <row r="389">
      <c r="I389" s="87"/>
    </row>
    <row r="390">
      <c r="I390" s="87"/>
    </row>
    <row r="391">
      <c r="I391" s="87"/>
    </row>
    <row r="392">
      <c r="I392" s="87"/>
    </row>
    <row r="393">
      <c r="I393" s="87"/>
    </row>
    <row r="394">
      <c r="I394" s="87"/>
    </row>
    <row r="395">
      <c r="I395" s="87"/>
    </row>
    <row r="396">
      <c r="I396" s="87"/>
    </row>
    <row r="397">
      <c r="I397" s="87"/>
    </row>
    <row r="398">
      <c r="I398" s="87"/>
    </row>
    <row r="399">
      <c r="I399" s="87"/>
    </row>
    <row r="400">
      <c r="I400" s="87"/>
    </row>
    <row r="401">
      <c r="I401" s="87"/>
    </row>
    <row r="402">
      <c r="I402" s="87"/>
    </row>
    <row r="403">
      <c r="I403" s="87"/>
    </row>
    <row r="404">
      <c r="I404" s="87"/>
    </row>
    <row r="405">
      <c r="I405" s="87"/>
    </row>
    <row r="406">
      <c r="I406" s="87"/>
    </row>
    <row r="407">
      <c r="I407" s="87"/>
    </row>
    <row r="408">
      <c r="I408" s="87"/>
    </row>
    <row r="409">
      <c r="I409" s="87"/>
    </row>
    <row r="410">
      <c r="I410" s="87"/>
    </row>
    <row r="411">
      <c r="I411" s="87"/>
    </row>
    <row r="412">
      <c r="I412" s="87"/>
    </row>
    <row r="413">
      <c r="I413" s="87"/>
    </row>
    <row r="414">
      <c r="I414" s="87"/>
    </row>
    <row r="415">
      <c r="I415" s="87"/>
    </row>
    <row r="416">
      <c r="I416" s="87"/>
    </row>
    <row r="417">
      <c r="I417" s="87"/>
    </row>
    <row r="418">
      <c r="I418" s="87"/>
    </row>
    <row r="419">
      <c r="I419" s="87"/>
    </row>
    <row r="420">
      <c r="I420" s="87"/>
    </row>
    <row r="421">
      <c r="I421" s="87"/>
    </row>
    <row r="422">
      <c r="I422" s="87"/>
    </row>
    <row r="423">
      <c r="I423" s="87"/>
    </row>
    <row r="424">
      <c r="I424" s="87"/>
    </row>
    <row r="425">
      <c r="I425" s="87"/>
    </row>
    <row r="426">
      <c r="I426" s="87"/>
    </row>
    <row r="427">
      <c r="I427" s="87"/>
    </row>
    <row r="428">
      <c r="I428" s="87"/>
    </row>
    <row r="429">
      <c r="I429" s="87"/>
    </row>
    <row r="430">
      <c r="I430" s="87"/>
    </row>
    <row r="431">
      <c r="I431" s="87"/>
    </row>
    <row r="432">
      <c r="I432" s="87"/>
    </row>
    <row r="433">
      <c r="I433" s="87"/>
    </row>
    <row r="434">
      <c r="I434" s="87"/>
    </row>
    <row r="435">
      <c r="I435" s="87"/>
    </row>
    <row r="436">
      <c r="I436" s="87"/>
    </row>
    <row r="437">
      <c r="I437" s="87"/>
    </row>
    <row r="438">
      <c r="I438" s="87"/>
    </row>
    <row r="439">
      <c r="I439" s="87"/>
    </row>
    <row r="440">
      <c r="I440" s="87"/>
    </row>
    <row r="441">
      <c r="I441" s="87"/>
    </row>
    <row r="442">
      <c r="I442" s="87"/>
    </row>
    <row r="443">
      <c r="I443" s="87"/>
    </row>
    <row r="444">
      <c r="I444" s="87"/>
    </row>
    <row r="445">
      <c r="I445" s="87"/>
    </row>
    <row r="446">
      <c r="I446" s="87"/>
    </row>
    <row r="447">
      <c r="I447" s="87"/>
    </row>
    <row r="448">
      <c r="I448" s="87"/>
    </row>
    <row r="449">
      <c r="I449" s="87"/>
    </row>
    <row r="450">
      <c r="I450" s="87"/>
    </row>
    <row r="451">
      <c r="I451" s="87"/>
    </row>
    <row r="452">
      <c r="I452" s="87"/>
    </row>
    <row r="453">
      <c r="I453" s="87"/>
    </row>
    <row r="454">
      <c r="I454" s="87"/>
    </row>
    <row r="455">
      <c r="I455" s="87"/>
    </row>
    <row r="456">
      <c r="I456" s="87"/>
    </row>
    <row r="457">
      <c r="I457" s="87"/>
    </row>
    <row r="458">
      <c r="I458" s="87"/>
    </row>
    <row r="459">
      <c r="I459" s="87"/>
    </row>
    <row r="460">
      <c r="I460" s="87"/>
    </row>
    <row r="461">
      <c r="I461" s="87"/>
    </row>
    <row r="462">
      <c r="I462" s="87"/>
    </row>
    <row r="463">
      <c r="I463" s="87"/>
    </row>
    <row r="464">
      <c r="I464" s="87"/>
    </row>
    <row r="465">
      <c r="I465" s="87"/>
    </row>
    <row r="466">
      <c r="I466" s="87"/>
    </row>
    <row r="467">
      <c r="I467" s="87"/>
    </row>
    <row r="468">
      <c r="I468" s="87"/>
    </row>
    <row r="469">
      <c r="I469" s="87"/>
    </row>
    <row r="470">
      <c r="I470" s="87"/>
    </row>
    <row r="471">
      <c r="I471" s="87"/>
    </row>
    <row r="472">
      <c r="I472" s="87"/>
    </row>
    <row r="473">
      <c r="I473" s="87"/>
    </row>
    <row r="474">
      <c r="I474" s="87"/>
    </row>
    <row r="475">
      <c r="I475" s="87"/>
    </row>
    <row r="476">
      <c r="I476" s="87"/>
    </row>
    <row r="477">
      <c r="I477" s="87"/>
    </row>
    <row r="478">
      <c r="I478" s="87"/>
    </row>
    <row r="479">
      <c r="I479" s="87"/>
    </row>
    <row r="480">
      <c r="I480" s="87"/>
    </row>
    <row r="481">
      <c r="I481" s="87"/>
    </row>
    <row r="482">
      <c r="I482" s="87"/>
    </row>
    <row r="483">
      <c r="I483" s="87"/>
    </row>
    <row r="484">
      <c r="I484" s="87"/>
    </row>
    <row r="485">
      <c r="I485" s="87"/>
    </row>
    <row r="486">
      <c r="I486" s="87"/>
    </row>
    <row r="487">
      <c r="I487" s="87"/>
    </row>
    <row r="488">
      <c r="I488" s="87"/>
    </row>
    <row r="489">
      <c r="I489" s="87"/>
    </row>
    <row r="490">
      <c r="I490" s="87"/>
    </row>
    <row r="491">
      <c r="I491" s="87"/>
    </row>
    <row r="492">
      <c r="I492" s="87"/>
    </row>
    <row r="493">
      <c r="I493" s="87"/>
    </row>
    <row r="494">
      <c r="I494" s="87"/>
    </row>
    <row r="495">
      <c r="I495" s="87"/>
    </row>
    <row r="496">
      <c r="I496" s="87"/>
    </row>
    <row r="497">
      <c r="I497" s="87"/>
    </row>
    <row r="498">
      <c r="I498" s="87"/>
    </row>
    <row r="499">
      <c r="I499" s="87"/>
    </row>
    <row r="500">
      <c r="I500" s="87"/>
    </row>
    <row r="501">
      <c r="I501" s="87"/>
    </row>
    <row r="502">
      <c r="I502" s="87"/>
    </row>
    <row r="503">
      <c r="I503" s="87"/>
    </row>
    <row r="504">
      <c r="I504" s="87"/>
    </row>
    <row r="505">
      <c r="I505" s="87"/>
    </row>
    <row r="506">
      <c r="I506" s="87"/>
    </row>
    <row r="507">
      <c r="I507" s="87"/>
    </row>
    <row r="508">
      <c r="I508" s="87"/>
    </row>
    <row r="509">
      <c r="I509" s="87"/>
    </row>
    <row r="510">
      <c r="I510" s="87"/>
    </row>
    <row r="511">
      <c r="I511" s="87"/>
    </row>
    <row r="512">
      <c r="I512" s="87"/>
    </row>
    <row r="513">
      <c r="I513" s="87"/>
    </row>
    <row r="514">
      <c r="I514" s="87"/>
    </row>
    <row r="515">
      <c r="I515" s="87"/>
    </row>
    <row r="516">
      <c r="I516" s="87"/>
    </row>
    <row r="517">
      <c r="I517" s="87"/>
    </row>
    <row r="518">
      <c r="I518" s="87"/>
    </row>
    <row r="519">
      <c r="I519" s="87"/>
    </row>
    <row r="520">
      <c r="I520" s="87"/>
    </row>
    <row r="521">
      <c r="I521" s="87"/>
    </row>
    <row r="522">
      <c r="I522" s="87"/>
    </row>
    <row r="523">
      <c r="I523" s="87"/>
    </row>
    <row r="524">
      <c r="I524" s="87"/>
    </row>
    <row r="525">
      <c r="I525" s="87"/>
    </row>
    <row r="526">
      <c r="I526" s="87"/>
    </row>
    <row r="527">
      <c r="I527" s="87"/>
    </row>
    <row r="528">
      <c r="I528" s="87"/>
    </row>
    <row r="529">
      <c r="I529" s="87"/>
    </row>
    <row r="530">
      <c r="I530" s="87"/>
    </row>
    <row r="531">
      <c r="I531" s="87"/>
    </row>
    <row r="532">
      <c r="I532" s="87"/>
    </row>
    <row r="533">
      <c r="I533" s="87"/>
    </row>
    <row r="534">
      <c r="I534" s="87"/>
    </row>
    <row r="535">
      <c r="I535" s="87"/>
    </row>
    <row r="536">
      <c r="I536" s="87"/>
    </row>
    <row r="537">
      <c r="I537" s="87"/>
    </row>
    <row r="538">
      <c r="I538" s="87"/>
    </row>
    <row r="539">
      <c r="I539" s="87"/>
    </row>
    <row r="540">
      <c r="I540" s="87"/>
    </row>
    <row r="541">
      <c r="I541" s="87"/>
    </row>
    <row r="542">
      <c r="I542" s="87"/>
    </row>
    <row r="543">
      <c r="I543" s="87"/>
    </row>
    <row r="544">
      <c r="I544" s="87"/>
    </row>
    <row r="545">
      <c r="I545" s="87"/>
    </row>
    <row r="546">
      <c r="I546" s="87"/>
    </row>
    <row r="547">
      <c r="I547" s="87"/>
    </row>
    <row r="548">
      <c r="I548" s="87"/>
    </row>
    <row r="549">
      <c r="I549" s="87"/>
    </row>
    <row r="550">
      <c r="I550" s="87"/>
    </row>
    <row r="551">
      <c r="I551" s="87"/>
    </row>
    <row r="552">
      <c r="I552" s="87"/>
    </row>
    <row r="553">
      <c r="I553" s="87"/>
    </row>
    <row r="554">
      <c r="I554" s="87"/>
    </row>
    <row r="555">
      <c r="I555" s="87"/>
    </row>
    <row r="556">
      <c r="I556" s="87"/>
    </row>
    <row r="557">
      <c r="I557" s="87"/>
    </row>
    <row r="558">
      <c r="I558" s="87"/>
    </row>
    <row r="559">
      <c r="I559" s="87"/>
    </row>
    <row r="560">
      <c r="I560" s="87"/>
    </row>
    <row r="561">
      <c r="I561" s="87"/>
    </row>
    <row r="562">
      <c r="I562" s="87"/>
    </row>
    <row r="563">
      <c r="I563" s="87"/>
    </row>
    <row r="564">
      <c r="I564" s="87"/>
    </row>
    <row r="565">
      <c r="I565" s="87"/>
    </row>
    <row r="566">
      <c r="I566" s="87"/>
    </row>
    <row r="567">
      <c r="I567" s="87"/>
    </row>
    <row r="568">
      <c r="I568" s="87"/>
    </row>
    <row r="569">
      <c r="I569" s="87"/>
    </row>
    <row r="570">
      <c r="I570" s="87"/>
    </row>
    <row r="571">
      <c r="I571" s="87"/>
    </row>
    <row r="572">
      <c r="I572" s="87"/>
    </row>
    <row r="573">
      <c r="I573" s="87"/>
    </row>
    <row r="574">
      <c r="I574" s="87"/>
    </row>
    <row r="575">
      <c r="I575" s="87"/>
    </row>
    <row r="576">
      <c r="I576" s="87"/>
    </row>
    <row r="577">
      <c r="I577" s="87"/>
    </row>
    <row r="578">
      <c r="I578" s="87"/>
    </row>
    <row r="579">
      <c r="I579" s="87"/>
    </row>
    <row r="580">
      <c r="I580" s="87"/>
    </row>
    <row r="581">
      <c r="I581" s="87"/>
    </row>
    <row r="582">
      <c r="I582" s="87"/>
    </row>
    <row r="583">
      <c r="I583" s="87"/>
    </row>
    <row r="584">
      <c r="I584" s="87"/>
    </row>
    <row r="585">
      <c r="I585" s="87"/>
    </row>
    <row r="586">
      <c r="I586" s="87"/>
    </row>
    <row r="587">
      <c r="I587" s="87"/>
    </row>
    <row r="588">
      <c r="I588" s="87"/>
    </row>
    <row r="589">
      <c r="I589" s="87"/>
    </row>
    <row r="590">
      <c r="I590" s="87"/>
    </row>
    <row r="591">
      <c r="I591" s="87"/>
    </row>
    <row r="592">
      <c r="I592" s="87"/>
    </row>
    <row r="593">
      <c r="I593" s="87"/>
    </row>
    <row r="594">
      <c r="I594" s="87"/>
    </row>
    <row r="595">
      <c r="I595" s="87"/>
    </row>
    <row r="596">
      <c r="I596" s="87"/>
    </row>
    <row r="597">
      <c r="I597" s="87"/>
    </row>
    <row r="598">
      <c r="I598" s="87"/>
    </row>
    <row r="599">
      <c r="I599" s="87"/>
    </row>
    <row r="600">
      <c r="I600" s="87"/>
    </row>
    <row r="601">
      <c r="I601" s="87"/>
    </row>
    <row r="602">
      <c r="I602" s="87"/>
    </row>
    <row r="603">
      <c r="I603" s="87"/>
    </row>
    <row r="604">
      <c r="I604" s="87"/>
    </row>
    <row r="605">
      <c r="I605" s="87"/>
    </row>
    <row r="606">
      <c r="I606" s="87"/>
    </row>
    <row r="607">
      <c r="I607" s="87"/>
    </row>
    <row r="608">
      <c r="I608" s="87"/>
    </row>
    <row r="609">
      <c r="I609" s="87"/>
    </row>
    <row r="610">
      <c r="I610" s="87"/>
    </row>
    <row r="611">
      <c r="I611" s="87"/>
    </row>
    <row r="612">
      <c r="I612" s="87"/>
    </row>
    <row r="613">
      <c r="I613" s="87"/>
    </row>
    <row r="614">
      <c r="I614" s="87"/>
    </row>
    <row r="615">
      <c r="I615" s="87"/>
    </row>
    <row r="616">
      <c r="I616" s="87"/>
    </row>
    <row r="617">
      <c r="I617" s="87"/>
    </row>
    <row r="618">
      <c r="I618" s="87"/>
    </row>
    <row r="619">
      <c r="I619" s="87"/>
    </row>
    <row r="620">
      <c r="I620" s="87"/>
    </row>
    <row r="621">
      <c r="I621" s="87"/>
    </row>
    <row r="622">
      <c r="I622" s="87"/>
    </row>
    <row r="623">
      <c r="I623" s="87"/>
    </row>
    <row r="624">
      <c r="I624" s="87"/>
    </row>
    <row r="625">
      <c r="I625" s="87"/>
    </row>
    <row r="626">
      <c r="I626" s="87"/>
    </row>
    <row r="627">
      <c r="I627" s="87"/>
    </row>
    <row r="628">
      <c r="I628" s="87"/>
    </row>
    <row r="629">
      <c r="I629" s="87"/>
    </row>
    <row r="630">
      <c r="I630" s="87"/>
    </row>
    <row r="631">
      <c r="I631" s="87"/>
    </row>
    <row r="632">
      <c r="I632" s="87"/>
    </row>
    <row r="633">
      <c r="I633" s="87"/>
    </row>
    <row r="634">
      <c r="I634" s="87"/>
    </row>
    <row r="635">
      <c r="I635" s="87"/>
    </row>
    <row r="636">
      <c r="I636" s="87"/>
    </row>
    <row r="637">
      <c r="I637" s="87"/>
    </row>
    <row r="638">
      <c r="I638" s="87"/>
    </row>
    <row r="639">
      <c r="I639" s="87"/>
    </row>
    <row r="640">
      <c r="I640" s="87"/>
    </row>
    <row r="641">
      <c r="I641" s="87"/>
    </row>
    <row r="642">
      <c r="I642" s="87"/>
    </row>
    <row r="643">
      <c r="I643" s="87"/>
    </row>
    <row r="644">
      <c r="I644" s="87"/>
    </row>
    <row r="645">
      <c r="I645" s="87"/>
    </row>
    <row r="646">
      <c r="I646" s="87"/>
    </row>
    <row r="647">
      <c r="I647" s="87"/>
    </row>
    <row r="648">
      <c r="I648" s="87"/>
    </row>
    <row r="649">
      <c r="I649" s="87"/>
    </row>
    <row r="650">
      <c r="I650" s="87"/>
    </row>
    <row r="651">
      <c r="I651" s="87"/>
    </row>
    <row r="652">
      <c r="I652" s="87"/>
    </row>
    <row r="653">
      <c r="I653" s="87"/>
    </row>
    <row r="654">
      <c r="I654" s="87"/>
    </row>
    <row r="655">
      <c r="I655" s="87"/>
    </row>
    <row r="656">
      <c r="I656" s="87"/>
    </row>
    <row r="657">
      <c r="I657" s="87"/>
    </row>
    <row r="658">
      <c r="I658" s="87"/>
    </row>
    <row r="659">
      <c r="I659" s="87"/>
    </row>
    <row r="660">
      <c r="I660" s="87"/>
    </row>
    <row r="661">
      <c r="I661" s="87"/>
    </row>
    <row r="662">
      <c r="I662" s="87"/>
    </row>
    <row r="663">
      <c r="I663" s="87"/>
    </row>
    <row r="664">
      <c r="I664" s="87"/>
    </row>
    <row r="665">
      <c r="I665" s="87"/>
    </row>
    <row r="666">
      <c r="I666" s="87"/>
    </row>
    <row r="667">
      <c r="I667" s="87"/>
    </row>
    <row r="668">
      <c r="I668" s="87"/>
    </row>
    <row r="669">
      <c r="I669" s="87"/>
    </row>
    <row r="670">
      <c r="I670" s="87"/>
    </row>
    <row r="671">
      <c r="I671" s="87"/>
    </row>
    <row r="672">
      <c r="I672" s="87"/>
    </row>
    <row r="673">
      <c r="I673" s="87"/>
    </row>
    <row r="674">
      <c r="I674" s="87"/>
    </row>
    <row r="675">
      <c r="I675" s="87"/>
    </row>
    <row r="676">
      <c r="I676" s="87"/>
    </row>
    <row r="677">
      <c r="I677" s="87"/>
    </row>
    <row r="678">
      <c r="I678" s="87"/>
    </row>
    <row r="679">
      <c r="I679" s="87"/>
    </row>
    <row r="680">
      <c r="I680" s="87"/>
    </row>
    <row r="681">
      <c r="I681" s="87"/>
    </row>
    <row r="682">
      <c r="I682" s="87"/>
    </row>
    <row r="683">
      <c r="I683" s="87"/>
    </row>
    <row r="684">
      <c r="I684" s="87"/>
    </row>
    <row r="685">
      <c r="I685" s="87"/>
    </row>
    <row r="686">
      <c r="I686" s="87"/>
    </row>
    <row r="687">
      <c r="I687" s="87"/>
    </row>
    <row r="688">
      <c r="I688" s="87"/>
    </row>
    <row r="689">
      <c r="I689" s="87"/>
    </row>
    <row r="690">
      <c r="I690" s="87"/>
    </row>
    <row r="691">
      <c r="I691" s="87"/>
    </row>
    <row r="692">
      <c r="I692" s="87"/>
    </row>
    <row r="693">
      <c r="I693" s="87"/>
    </row>
    <row r="694">
      <c r="I694" s="87"/>
    </row>
    <row r="695">
      <c r="I695" s="87"/>
    </row>
    <row r="696">
      <c r="I696" s="87"/>
    </row>
    <row r="697">
      <c r="I697" s="87"/>
    </row>
    <row r="698">
      <c r="I698" s="87"/>
    </row>
    <row r="699">
      <c r="I699" s="87"/>
    </row>
    <row r="700">
      <c r="I700" s="87"/>
    </row>
    <row r="701">
      <c r="I701" s="87"/>
    </row>
    <row r="702">
      <c r="I702" s="87"/>
    </row>
    <row r="703">
      <c r="I703" s="87"/>
    </row>
    <row r="704">
      <c r="I704" s="87"/>
    </row>
    <row r="705">
      <c r="I705" s="87"/>
    </row>
    <row r="706">
      <c r="I706" s="87"/>
    </row>
    <row r="707">
      <c r="I707" s="87"/>
    </row>
    <row r="708">
      <c r="I708" s="87"/>
    </row>
    <row r="709">
      <c r="I709" s="87"/>
    </row>
    <row r="710">
      <c r="I710" s="87"/>
    </row>
    <row r="711">
      <c r="I711" s="87"/>
    </row>
    <row r="712">
      <c r="I712" s="87"/>
    </row>
    <row r="713">
      <c r="I713" s="87"/>
    </row>
    <row r="714">
      <c r="I714" s="87"/>
    </row>
    <row r="715">
      <c r="I715" s="87"/>
    </row>
    <row r="716">
      <c r="I716" s="87"/>
    </row>
    <row r="717">
      <c r="I717" s="87"/>
    </row>
    <row r="718">
      <c r="I718" s="87"/>
    </row>
    <row r="719">
      <c r="I719" s="87"/>
    </row>
    <row r="720">
      <c r="I720" s="87"/>
    </row>
    <row r="721">
      <c r="I721" s="87"/>
    </row>
    <row r="722">
      <c r="I722" s="87"/>
    </row>
    <row r="723">
      <c r="I723" s="87"/>
    </row>
    <row r="724">
      <c r="I724" s="87"/>
    </row>
    <row r="725">
      <c r="I725" s="87"/>
    </row>
    <row r="726">
      <c r="I726" s="87"/>
    </row>
    <row r="727">
      <c r="I727" s="87"/>
    </row>
    <row r="728">
      <c r="I728" s="87"/>
    </row>
    <row r="729">
      <c r="I729" s="87"/>
    </row>
    <row r="730">
      <c r="I730" s="87"/>
    </row>
    <row r="731">
      <c r="I731" s="87"/>
    </row>
    <row r="732">
      <c r="I732" s="87"/>
    </row>
    <row r="733">
      <c r="I733" s="87"/>
    </row>
    <row r="734">
      <c r="I734" s="87"/>
    </row>
    <row r="735">
      <c r="I735" s="87"/>
    </row>
    <row r="736">
      <c r="I736" s="87"/>
    </row>
    <row r="737">
      <c r="I737" s="87"/>
    </row>
    <row r="738">
      <c r="I738" s="87"/>
    </row>
    <row r="739">
      <c r="I739" s="87"/>
    </row>
    <row r="740">
      <c r="I740" s="87"/>
    </row>
    <row r="741">
      <c r="I741" s="87"/>
    </row>
    <row r="742">
      <c r="I742" s="87"/>
    </row>
    <row r="743">
      <c r="I743" s="87"/>
    </row>
    <row r="744">
      <c r="I744" s="87"/>
    </row>
    <row r="745">
      <c r="I745" s="87"/>
    </row>
    <row r="746">
      <c r="I746" s="87"/>
    </row>
    <row r="747">
      <c r="I747" s="87"/>
    </row>
    <row r="748">
      <c r="I748" s="87"/>
    </row>
    <row r="749">
      <c r="I749" s="87"/>
    </row>
    <row r="750">
      <c r="I750" s="87"/>
    </row>
    <row r="751">
      <c r="I751" s="87"/>
    </row>
    <row r="752">
      <c r="I752" s="87"/>
    </row>
    <row r="753">
      <c r="I753" s="87"/>
    </row>
    <row r="754">
      <c r="I754" s="87"/>
    </row>
    <row r="755">
      <c r="I755" s="87"/>
    </row>
    <row r="756">
      <c r="I756" s="87"/>
    </row>
    <row r="757">
      <c r="I757" s="87"/>
    </row>
    <row r="758">
      <c r="I758" s="87"/>
    </row>
    <row r="759">
      <c r="I759" s="87"/>
    </row>
    <row r="760">
      <c r="I760" s="87"/>
    </row>
    <row r="761">
      <c r="I761" s="87"/>
    </row>
    <row r="762">
      <c r="I762" s="87"/>
    </row>
    <row r="763">
      <c r="I763" s="87"/>
    </row>
    <row r="764">
      <c r="I764" s="87"/>
    </row>
    <row r="765">
      <c r="I765" s="87"/>
    </row>
    <row r="766">
      <c r="I766" s="87"/>
    </row>
    <row r="767">
      <c r="I767" s="87"/>
    </row>
    <row r="768">
      <c r="I768" s="87"/>
    </row>
    <row r="769">
      <c r="I769" s="87"/>
    </row>
    <row r="770">
      <c r="I770" s="87"/>
    </row>
    <row r="771">
      <c r="I771" s="87"/>
    </row>
    <row r="772">
      <c r="I772" s="87"/>
    </row>
    <row r="773">
      <c r="I773" s="87"/>
    </row>
    <row r="774">
      <c r="I774" s="87"/>
    </row>
    <row r="775">
      <c r="I775" s="87"/>
    </row>
    <row r="776">
      <c r="I776" s="87"/>
    </row>
    <row r="777">
      <c r="I777" s="87"/>
    </row>
    <row r="778">
      <c r="I778" s="87"/>
    </row>
    <row r="779">
      <c r="I779" s="87"/>
    </row>
    <row r="780">
      <c r="I780" s="87"/>
    </row>
    <row r="781">
      <c r="I781" s="87"/>
    </row>
    <row r="782">
      <c r="I782" s="87"/>
    </row>
    <row r="783">
      <c r="I783" s="87"/>
    </row>
    <row r="784">
      <c r="I784" s="87"/>
    </row>
    <row r="785">
      <c r="I785" s="87"/>
    </row>
    <row r="786">
      <c r="I786" s="87"/>
    </row>
    <row r="787">
      <c r="I787" s="87"/>
    </row>
    <row r="788">
      <c r="I788" s="87"/>
    </row>
    <row r="789">
      <c r="I789" s="87"/>
    </row>
    <row r="790">
      <c r="I790" s="87"/>
    </row>
    <row r="791">
      <c r="I791" s="87"/>
    </row>
    <row r="792">
      <c r="I792" s="87"/>
    </row>
    <row r="793">
      <c r="I793" s="87"/>
    </row>
    <row r="794">
      <c r="I794" s="87"/>
    </row>
    <row r="795">
      <c r="I795" s="87"/>
    </row>
    <row r="796">
      <c r="I796" s="87"/>
    </row>
    <row r="797">
      <c r="I797" s="87"/>
    </row>
    <row r="798">
      <c r="I798" s="87"/>
    </row>
    <row r="799">
      <c r="I799" s="87"/>
    </row>
    <row r="800">
      <c r="I800" s="87"/>
    </row>
    <row r="801">
      <c r="I801" s="87"/>
    </row>
    <row r="802">
      <c r="I802" s="87"/>
    </row>
    <row r="803">
      <c r="I803" s="87"/>
    </row>
    <row r="804">
      <c r="I804" s="87"/>
    </row>
    <row r="805">
      <c r="I805" s="87"/>
    </row>
    <row r="806">
      <c r="I806" s="87"/>
    </row>
    <row r="807">
      <c r="I807" s="87"/>
    </row>
    <row r="808">
      <c r="I808" s="87"/>
    </row>
    <row r="809">
      <c r="I809" s="87"/>
    </row>
    <row r="810">
      <c r="I810" s="87"/>
    </row>
    <row r="811">
      <c r="I811" s="87"/>
    </row>
    <row r="812">
      <c r="I812" s="87"/>
    </row>
    <row r="813">
      <c r="I813" s="87"/>
    </row>
    <row r="814">
      <c r="I814" s="87"/>
    </row>
    <row r="815">
      <c r="I815" s="87"/>
    </row>
    <row r="816">
      <c r="I816" s="87"/>
    </row>
    <row r="817">
      <c r="I817" s="87"/>
    </row>
    <row r="818">
      <c r="I818" s="87"/>
    </row>
    <row r="819">
      <c r="I819" s="87"/>
    </row>
    <row r="820">
      <c r="I820" s="87"/>
    </row>
    <row r="821">
      <c r="I821" s="87"/>
    </row>
    <row r="822">
      <c r="I822" s="87"/>
    </row>
    <row r="823">
      <c r="I823" s="87"/>
    </row>
    <row r="824">
      <c r="I824" s="87"/>
    </row>
    <row r="825">
      <c r="I825" s="87"/>
    </row>
    <row r="826">
      <c r="I826" s="87"/>
    </row>
    <row r="827">
      <c r="I827" s="87"/>
    </row>
    <row r="828">
      <c r="I828" s="87"/>
    </row>
    <row r="829">
      <c r="I829" s="87"/>
    </row>
    <row r="830">
      <c r="I830" s="87"/>
    </row>
    <row r="831">
      <c r="I831" s="87"/>
    </row>
    <row r="832">
      <c r="I832" s="87"/>
    </row>
    <row r="833">
      <c r="I833" s="87"/>
    </row>
    <row r="834">
      <c r="I834" s="87"/>
    </row>
    <row r="835">
      <c r="I835" s="87"/>
    </row>
    <row r="836">
      <c r="I836" s="87"/>
    </row>
    <row r="837">
      <c r="I837" s="87"/>
    </row>
    <row r="838">
      <c r="I838" s="87"/>
    </row>
    <row r="839">
      <c r="I839" s="87"/>
    </row>
    <row r="840">
      <c r="I840" s="87"/>
    </row>
    <row r="841">
      <c r="I841" s="87"/>
    </row>
    <row r="842">
      <c r="I842" s="87"/>
    </row>
    <row r="843">
      <c r="I843" s="87"/>
    </row>
    <row r="844">
      <c r="I844" s="87"/>
    </row>
    <row r="845">
      <c r="I845" s="87"/>
    </row>
    <row r="846">
      <c r="I846" s="87"/>
    </row>
    <row r="847">
      <c r="I847" s="87"/>
    </row>
    <row r="848">
      <c r="I848" s="87"/>
    </row>
    <row r="849">
      <c r="I849" s="87"/>
    </row>
    <row r="850">
      <c r="I850" s="87"/>
    </row>
    <row r="851">
      <c r="I851" s="87"/>
    </row>
    <row r="852">
      <c r="I852" s="87"/>
    </row>
    <row r="853">
      <c r="I853" s="87"/>
    </row>
    <row r="854">
      <c r="I854" s="87"/>
    </row>
    <row r="855">
      <c r="I855" s="87"/>
    </row>
    <row r="856">
      <c r="I856" s="87"/>
    </row>
    <row r="857">
      <c r="I857" s="87"/>
    </row>
    <row r="858">
      <c r="I858" s="87"/>
    </row>
    <row r="859">
      <c r="I859" s="87"/>
    </row>
    <row r="860">
      <c r="I860" s="87"/>
    </row>
    <row r="861">
      <c r="I861" s="87"/>
    </row>
    <row r="862">
      <c r="I862" s="87"/>
    </row>
    <row r="863">
      <c r="I863" s="87"/>
    </row>
    <row r="864">
      <c r="I864" s="87"/>
    </row>
    <row r="865">
      <c r="I865" s="87"/>
    </row>
    <row r="866">
      <c r="I866" s="87"/>
    </row>
    <row r="867">
      <c r="I867" s="87"/>
    </row>
    <row r="868">
      <c r="I868" s="87"/>
    </row>
    <row r="869">
      <c r="I869" s="87"/>
    </row>
    <row r="870">
      <c r="I870" s="87"/>
    </row>
    <row r="871">
      <c r="I871" s="87"/>
    </row>
    <row r="872">
      <c r="I872" s="87"/>
    </row>
    <row r="873">
      <c r="I873" s="87"/>
    </row>
    <row r="874">
      <c r="I874" s="87"/>
    </row>
    <row r="875">
      <c r="I875" s="87"/>
    </row>
    <row r="876">
      <c r="I876" s="87"/>
    </row>
    <row r="877">
      <c r="I877" s="87"/>
    </row>
    <row r="878">
      <c r="I878" s="87"/>
    </row>
    <row r="879">
      <c r="I879" s="87"/>
    </row>
    <row r="880">
      <c r="I880" s="87"/>
    </row>
    <row r="881">
      <c r="I881" s="87"/>
    </row>
    <row r="882">
      <c r="I882" s="87"/>
    </row>
    <row r="883">
      <c r="I883" s="87"/>
    </row>
    <row r="884">
      <c r="I884" s="87"/>
    </row>
    <row r="885">
      <c r="I885" s="87"/>
    </row>
    <row r="886">
      <c r="I886" s="87"/>
    </row>
    <row r="887">
      <c r="I887" s="87"/>
    </row>
    <row r="888">
      <c r="I888" s="87"/>
    </row>
    <row r="889">
      <c r="I889" s="87"/>
    </row>
    <row r="890">
      <c r="I890" s="87"/>
    </row>
    <row r="891">
      <c r="I891" s="87"/>
    </row>
    <row r="892">
      <c r="I892" s="87"/>
    </row>
    <row r="893">
      <c r="I893" s="87"/>
    </row>
    <row r="894">
      <c r="I894" s="87"/>
    </row>
    <row r="895">
      <c r="I895" s="87"/>
    </row>
    <row r="896">
      <c r="I896" s="87"/>
    </row>
    <row r="897">
      <c r="I897" s="87"/>
    </row>
    <row r="898">
      <c r="I898" s="87"/>
    </row>
    <row r="899">
      <c r="I899" s="87"/>
    </row>
    <row r="900">
      <c r="I900" s="87"/>
    </row>
    <row r="901">
      <c r="I901" s="87"/>
    </row>
    <row r="902">
      <c r="I902" s="87"/>
    </row>
    <row r="903">
      <c r="I903" s="87"/>
    </row>
    <row r="904">
      <c r="I904" s="87"/>
    </row>
    <row r="905">
      <c r="I905" s="87"/>
    </row>
    <row r="906">
      <c r="I906" s="87"/>
    </row>
    <row r="907">
      <c r="I907" s="87"/>
    </row>
    <row r="908">
      <c r="I908" s="87"/>
    </row>
    <row r="909">
      <c r="I909" s="87"/>
    </row>
    <row r="910">
      <c r="I910" s="87"/>
    </row>
    <row r="911">
      <c r="I911" s="87"/>
    </row>
    <row r="912">
      <c r="I912" s="87"/>
    </row>
    <row r="913">
      <c r="I913" s="87"/>
    </row>
    <row r="914">
      <c r="I914" s="87"/>
    </row>
    <row r="915">
      <c r="I915" s="87"/>
    </row>
    <row r="916">
      <c r="I916" s="87"/>
    </row>
    <row r="917">
      <c r="I917" s="87"/>
    </row>
    <row r="918">
      <c r="I918" s="87"/>
    </row>
    <row r="919">
      <c r="I919" s="87"/>
    </row>
    <row r="920">
      <c r="I920" s="87"/>
    </row>
    <row r="921">
      <c r="I921" s="87"/>
    </row>
    <row r="922">
      <c r="I922" s="87"/>
    </row>
    <row r="923">
      <c r="I923" s="87"/>
    </row>
    <row r="924">
      <c r="I924" s="87"/>
    </row>
    <row r="925">
      <c r="I925" s="87"/>
    </row>
    <row r="926">
      <c r="I926" s="87"/>
    </row>
    <row r="927">
      <c r="I927" s="87"/>
    </row>
    <row r="928">
      <c r="I928" s="87"/>
    </row>
    <row r="929">
      <c r="I929" s="87"/>
    </row>
    <row r="930">
      <c r="I930" s="87"/>
    </row>
    <row r="931">
      <c r="I931" s="87"/>
    </row>
    <row r="932">
      <c r="I932" s="87"/>
    </row>
    <row r="933">
      <c r="I933" s="87"/>
    </row>
    <row r="934">
      <c r="I934" s="87"/>
    </row>
    <row r="935">
      <c r="I935" s="87"/>
    </row>
    <row r="936">
      <c r="I936" s="87"/>
    </row>
    <row r="937">
      <c r="I937" s="87"/>
    </row>
    <row r="938">
      <c r="I938" s="87"/>
    </row>
    <row r="939">
      <c r="I939" s="87"/>
    </row>
    <row r="940">
      <c r="I940" s="87"/>
    </row>
    <row r="941">
      <c r="I941" s="87"/>
    </row>
    <row r="942">
      <c r="I942" s="87"/>
    </row>
    <row r="943">
      <c r="I943" s="87"/>
    </row>
    <row r="944">
      <c r="I944" s="87"/>
    </row>
    <row r="945">
      <c r="I945" s="87"/>
    </row>
    <row r="946">
      <c r="I946" s="87"/>
    </row>
    <row r="947">
      <c r="I947" s="87"/>
    </row>
    <row r="948">
      <c r="I948" s="87"/>
    </row>
    <row r="949">
      <c r="I949" s="87"/>
    </row>
    <row r="950">
      <c r="I950" s="87"/>
    </row>
    <row r="951">
      <c r="I951" s="87"/>
    </row>
    <row r="952">
      <c r="I952" s="87"/>
    </row>
    <row r="953">
      <c r="I953" s="87"/>
    </row>
    <row r="954">
      <c r="I954" s="87"/>
    </row>
    <row r="955">
      <c r="I955" s="87"/>
    </row>
    <row r="956">
      <c r="I956" s="87"/>
    </row>
    <row r="957">
      <c r="I957" s="87"/>
    </row>
    <row r="958">
      <c r="I958" s="87"/>
    </row>
    <row r="959">
      <c r="I959" s="87"/>
    </row>
    <row r="960">
      <c r="I960" s="87"/>
    </row>
    <row r="961">
      <c r="I961" s="87"/>
    </row>
    <row r="962">
      <c r="I962" s="87"/>
    </row>
    <row r="963">
      <c r="I963" s="87"/>
    </row>
    <row r="964">
      <c r="I964" s="87"/>
    </row>
    <row r="965">
      <c r="I965" s="87"/>
    </row>
    <row r="966">
      <c r="I966" s="87"/>
    </row>
    <row r="967">
      <c r="I967" s="87"/>
    </row>
    <row r="968">
      <c r="I968" s="87"/>
    </row>
    <row r="969">
      <c r="I969" s="87"/>
    </row>
    <row r="970">
      <c r="I970" s="87"/>
    </row>
    <row r="971">
      <c r="I971" s="87"/>
    </row>
    <row r="972">
      <c r="I972" s="87"/>
    </row>
    <row r="973">
      <c r="I973" s="87"/>
    </row>
    <row r="974">
      <c r="I974" s="87"/>
    </row>
    <row r="975">
      <c r="I975" s="87"/>
    </row>
    <row r="976">
      <c r="I976" s="87"/>
    </row>
    <row r="977">
      <c r="I977" s="87"/>
    </row>
    <row r="978">
      <c r="I978" s="87"/>
    </row>
    <row r="979">
      <c r="I979" s="87"/>
    </row>
    <row r="980">
      <c r="I980" s="87"/>
    </row>
    <row r="981">
      <c r="I981" s="87"/>
    </row>
    <row r="982">
      <c r="I982" s="87"/>
    </row>
    <row r="983">
      <c r="I983" s="87"/>
    </row>
    <row r="984">
      <c r="I984" s="87"/>
    </row>
    <row r="985">
      <c r="I985" s="87"/>
    </row>
    <row r="986">
      <c r="I986" s="87"/>
    </row>
    <row r="987">
      <c r="I987" s="87"/>
    </row>
    <row r="988">
      <c r="I988" s="87"/>
    </row>
    <row r="989">
      <c r="I989" s="87"/>
    </row>
    <row r="990">
      <c r="I990" s="87"/>
    </row>
    <row r="991">
      <c r="I991" s="87"/>
    </row>
    <row r="992">
      <c r="I992" s="87"/>
    </row>
    <row r="993">
      <c r="I993" s="87"/>
    </row>
    <row r="994">
      <c r="I994" s="87"/>
    </row>
    <row r="995">
      <c r="I995" s="87"/>
    </row>
    <row r="996">
      <c r="I996" s="87"/>
    </row>
    <row r="997">
      <c r="I997" s="87"/>
    </row>
    <row r="998">
      <c r="I998" s="87"/>
    </row>
    <row r="999">
      <c r="I999" s="87"/>
    </row>
    <row r="1000">
      <c r="I1000" s="87"/>
    </row>
    <row r="1001">
      <c r="I1001" s="87"/>
    </row>
    <row r="1002">
      <c r="I1002" s="87"/>
    </row>
  </sheetData>
  <mergeCells count="1">
    <mergeCell ref="A1:C7"/>
  </mergeCells>
  <dataValidations>
    <dataValidation type="list" allowBlank="1" showErrorMessage="1" sqref="D9:D84 G9:G84">
      <formula1>"Connected,Call Back Later,Busy,Switch off,Not Received,Wrong No."</formula1>
    </dataValidation>
    <dataValidation type="list" allowBlank="1" showErrorMessage="1" sqref="E9:E84 H9:H84">
      <formula1>"CONFIRMED,NOT CONFIRMED"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15.0"/>
  </cols>
  <sheetData>
    <row r="1">
      <c r="A1" s="104" t="s">
        <v>1821</v>
      </c>
      <c r="B1" s="105" t="s">
        <v>1822</v>
      </c>
      <c r="C1" s="105" t="s">
        <v>1823</v>
      </c>
      <c r="D1" s="105" t="s">
        <v>1824</v>
      </c>
      <c r="E1" s="105" t="s">
        <v>1825</v>
      </c>
      <c r="F1" s="105" t="s">
        <v>391</v>
      </c>
      <c r="G1" s="105" t="s">
        <v>1826</v>
      </c>
      <c r="H1" s="105" t="s">
        <v>23</v>
      </c>
      <c r="I1" s="105" t="s">
        <v>13</v>
      </c>
      <c r="J1" s="105" t="s">
        <v>1827</v>
      </c>
      <c r="K1" s="105" t="s">
        <v>1828</v>
      </c>
      <c r="L1" s="105" t="s">
        <v>54</v>
      </c>
      <c r="M1" s="105" t="s">
        <v>3</v>
      </c>
      <c r="N1" s="106" t="s">
        <v>1829</v>
      </c>
      <c r="O1" s="105" t="s">
        <v>1830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2.5" customHeight="1">
      <c r="A2" s="17">
        <v>1.0</v>
      </c>
      <c r="B2" s="17" t="s">
        <v>368</v>
      </c>
      <c r="C2" s="17" t="s">
        <v>176</v>
      </c>
      <c r="D2" s="28">
        <f>COUNTIFS('SLP Field Data'!K:K,B2,'SLP Field Data'!K:K,"&lt;&gt;")</f>
        <v>48</v>
      </c>
      <c r="E2" s="17">
        <f>COUNTIFS('SLP Field Data'!K:K,B2,'SLP Field Data'!N:N,"Connected")</f>
        <v>19</v>
      </c>
      <c r="F2" s="17">
        <f>COUNTIFS('SLP Field Data'!K:K,B2,'SLP Field Data'!AA:AA,"Verified")</f>
        <v>9</v>
      </c>
      <c r="G2" s="17">
        <f>COUNTIFS('SLP Field Data'!K:K,B2,'SLP Field Data'!AA:AA,"Not Verified")</f>
        <v>6</v>
      </c>
      <c r="H2" s="17">
        <f>COUNTIFS('SLP Field Data'!K:K,B2,'SLP Field Data'!N:N,"Not Received")</f>
        <v>4</v>
      </c>
      <c r="I2" s="28">
        <f>COUNTIFS('SLP Field Data'!K:K,B2,'SLP Field Data'!N:N,"Busy")</f>
        <v>0</v>
      </c>
      <c r="J2" s="17">
        <f>COUNTIFS('SLP Field Data'!K:K,B2,'SLP Field Data'!N:N,"Switch off")</f>
        <v>6</v>
      </c>
      <c r="K2" s="17">
        <f>COUNTIFS('SLP Field Data'!K:K,B2,'SLP Field Data'!N:N,"Wrong No.")</f>
        <v>16</v>
      </c>
      <c r="L2" s="28">
        <f>COUNTIFS('SLP Field Data'!K:K,B2,'SLP Field Data'!N:N,"Call Back Later")</f>
        <v>3</v>
      </c>
      <c r="M2" s="17"/>
      <c r="N2" s="107">
        <v>45854.0</v>
      </c>
      <c r="O2" s="17" t="s">
        <v>1831</v>
      </c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22.5" customHeight="1">
      <c r="A3" s="108">
        <v>2.0</v>
      </c>
      <c r="B3" s="108" t="s">
        <v>497</v>
      </c>
      <c r="C3" s="109" t="s">
        <v>1832</v>
      </c>
      <c r="D3" s="110">
        <f>COUNTIFS('SLP Field Data'!K:K,B3,'SLP Field Data'!K:K,"&lt;&gt;")</f>
        <v>38</v>
      </c>
      <c r="E3" s="109">
        <f>COUNTIFS('SLP Field Data'!K:K,B3,'SLP Field Data'!N:N,"Connected")</f>
        <v>24</v>
      </c>
      <c r="F3" s="109">
        <f>COUNTIFS('SLP Field Data'!K:K,B3,'SLP Field Data'!AA:AA,"Verified")</f>
        <v>21</v>
      </c>
      <c r="G3" s="109">
        <f>COUNTIFS('SLP Field Data'!K:K,B3,'SLP Field Data'!AA:AA,"Not Verified")</f>
        <v>0</v>
      </c>
      <c r="H3" s="109">
        <f>COUNTIFS('SLP Field Data'!K:K,B3,'SLP Field Data'!N:N,"Not Received")</f>
        <v>5</v>
      </c>
      <c r="I3" s="110">
        <f>COUNTIFS('SLP Field Data'!K:K,B3,'SLP Field Data'!N:N,"Busy")</f>
        <v>0</v>
      </c>
      <c r="J3" s="109">
        <f>COUNTIFS('SLP Field Data'!K:K,B3,'SLP Field Data'!N:N,"Switch off")</f>
        <v>4</v>
      </c>
      <c r="K3" s="109">
        <f>COUNTIFS('SLP Field Data'!K:K,B3,'SLP Field Data'!N:N,"Wrong No.")</f>
        <v>2</v>
      </c>
      <c r="L3" s="110">
        <f>COUNTIFS('SLP Field Data'!K:K,B3,'SLP Field Data'!N:N,"Call Back Later")</f>
        <v>2</v>
      </c>
      <c r="M3" s="109"/>
      <c r="N3" s="107">
        <v>45860.0</v>
      </c>
      <c r="O3" s="17" t="s">
        <v>1831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22.5" customHeight="1">
      <c r="A4" s="17">
        <v>3.0</v>
      </c>
      <c r="B4" s="17" t="s">
        <v>608</v>
      </c>
      <c r="C4" s="17" t="s">
        <v>1833</v>
      </c>
      <c r="D4" s="28">
        <f>COUNTIFS('SLP Field Data'!K:K,B4,'SLP Field Data'!K:K,"&lt;&gt;")</f>
        <v>41</v>
      </c>
      <c r="E4" s="17">
        <f>COUNTIFS('SLP Field Data'!K:K,B4,'SLP Field Data'!N:N,"Connected")</f>
        <v>25</v>
      </c>
      <c r="F4" s="17">
        <f>COUNTIFS('SLP Field Data'!K:K,B4,'SLP Field Data'!AA:AA,"Verified")</f>
        <v>25</v>
      </c>
      <c r="G4" s="17">
        <f>COUNTIFS('SLP Field Data'!K:K,B4,'SLP Field Data'!AA:AA,"Not Verified")</f>
        <v>0</v>
      </c>
      <c r="H4" s="17">
        <f>COUNTIFS('SLP Field Data'!K:K,B4,'SLP Field Data'!N:N,"Not Received")</f>
        <v>1</v>
      </c>
      <c r="I4" s="28">
        <f>COUNTIFS('SLP Field Data'!K:K,B4,'SLP Field Data'!N:N,"Busy")</f>
        <v>7</v>
      </c>
      <c r="J4" s="17">
        <f>COUNTIFS('SLP Field Data'!K:K,B4,'SLP Field Data'!N:N,"Switch off")</f>
        <v>5</v>
      </c>
      <c r="K4" s="17">
        <f>COUNTIFS('SLP Field Data'!K:K,B4,'SLP Field Data'!N:N,"Wrong No.")</f>
        <v>2</v>
      </c>
      <c r="L4" s="28">
        <f>COUNTIFS('SLP Field Data'!K:K,B4,'SLP Field Data'!N:N,"Call Back Later")</f>
        <v>1</v>
      </c>
      <c r="M4" s="17"/>
      <c r="N4" s="107">
        <v>45865.0</v>
      </c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22.5" customHeight="1">
      <c r="A5" s="111">
        <v>4.0</v>
      </c>
      <c r="B5" s="111" t="s">
        <v>692</v>
      </c>
      <c r="C5" s="111" t="s">
        <v>1834</v>
      </c>
      <c r="D5" s="110">
        <f>COUNTIFS('SLP Field Data'!K:K,B5,'SLP Field Data'!K:K,"&lt;&gt;")</f>
        <v>27</v>
      </c>
      <c r="E5" s="109">
        <f>COUNTIFS('SLP Field Data'!K:K,B5,'SLP Field Data'!N:N,"Connected")</f>
        <v>21</v>
      </c>
      <c r="F5" s="109">
        <f>COUNTIFS('SLP Field Data'!K:K,B5,'SLP Field Data'!AA:AA,"Verified")</f>
        <v>20</v>
      </c>
      <c r="G5" s="109">
        <f>COUNTIFS('SLP Field Data'!K:K,B5,'SLP Field Data'!AA:AA,"Not Verified")</f>
        <v>1</v>
      </c>
      <c r="H5" s="109">
        <f>COUNTIFS('SLP Field Data'!K:K,B5,'SLP Field Data'!N:N,"Not Received")</f>
        <v>3</v>
      </c>
      <c r="I5" s="110">
        <f>COUNTIFS('SLP Field Data'!K:K,B5,'SLP Field Data'!N:N,"Busy")</f>
        <v>1</v>
      </c>
      <c r="J5" s="109">
        <f>COUNTIFS('SLP Field Data'!K:K,B5,'SLP Field Data'!N:N,"Switch off")</f>
        <v>2</v>
      </c>
      <c r="K5" s="109">
        <f>COUNTIFS('SLP Field Data'!K:K,B5,'SLP Field Data'!N:N,"Wrong No.")</f>
        <v>0</v>
      </c>
      <c r="L5" s="110">
        <f>COUNTIFS('SLP Field Data'!K:K,B5,'SLP Field Data'!N:N,"Call Back Later")</f>
        <v>0</v>
      </c>
      <c r="M5" s="111"/>
      <c r="N5" s="95"/>
      <c r="O5" s="28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22.5" customHeight="1">
      <c r="A6" s="112">
        <v>5.0</v>
      </c>
      <c r="B6" s="112" t="s">
        <v>746</v>
      </c>
      <c r="C6" s="112" t="s">
        <v>1835</v>
      </c>
      <c r="D6" s="110">
        <f>COUNTIFS('SLP Field Data'!K:K,B6,'SLP Field Data'!K:K,"&lt;&gt;")</f>
        <v>44</v>
      </c>
      <c r="E6" s="109">
        <f>COUNTIFS('SLP Field Data'!K:K,B6,'SLP Field Data'!N:N,"Connected")</f>
        <v>35</v>
      </c>
      <c r="F6" s="109">
        <f>COUNTIFS('SLP Field Data'!K:K,B6,'SLP Field Data'!AA:AA,"Verified")</f>
        <v>35</v>
      </c>
      <c r="G6" s="109">
        <f>COUNTIFS('SLP Field Data'!K:K,B6,'SLP Field Data'!AA:AA,"Not Verified")</f>
        <v>0</v>
      </c>
      <c r="H6" s="109">
        <f>COUNTIFS('SLP Field Data'!K:K,B6,'SLP Field Data'!N:N,"Not Received")</f>
        <v>3</v>
      </c>
      <c r="I6" s="110">
        <f>COUNTIFS('SLP Field Data'!K:K,B6,'SLP Field Data'!N:N,"Busy")</f>
        <v>0</v>
      </c>
      <c r="J6" s="109">
        <f>COUNTIFS('SLP Field Data'!K:K,B6,'SLP Field Data'!N:N,"Switch off")</f>
        <v>3</v>
      </c>
      <c r="K6" s="109">
        <f>COUNTIFS('SLP Field Data'!K:K,B6,'SLP Field Data'!N:N,"Wrong No.")</f>
        <v>0</v>
      </c>
      <c r="L6" s="110">
        <f>COUNTIFS('SLP Field Data'!K:K,B6,'SLP Field Data'!N:N,"Call Back Later")</f>
        <v>3</v>
      </c>
      <c r="M6" s="111"/>
      <c r="N6" s="113">
        <v>45860.0</v>
      </c>
      <c r="O6" s="17" t="s">
        <v>1831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22.5" customHeight="1">
      <c r="A7" s="111">
        <v>6.0</v>
      </c>
      <c r="B7" s="109" t="s">
        <v>931</v>
      </c>
      <c r="C7" s="112" t="s">
        <v>1836</v>
      </c>
      <c r="D7" s="110">
        <f>COUNTIFS('SLP Field Data'!K:K,B7,'SLP Field Data'!K:K,"&lt;&gt;")</f>
        <v>47</v>
      </c>
      <c r="E7" s="109">
        <f>COUNTIFS('SLP Field Data'!K:K,B7,'SLP Field Data'!N:N,"Connected")</f>
        <v>29</v>
      </c>
      <c r="F7" s="109">
        <f>COUNTIFS('SLP Field Data'!K:K,B7,'SLP Field Data'!AA:AA,"Verified")</f>
        <v>29</v>
      </c>
      <c r="G7" s="109">
        <f>COUNTIFS('SLP Field Data'!K:K,B7,'SLP Field Data'!AA:AA,"Not Verified")</f>
        <v>0</v>
      </c>
      <c r="H7" s="109">
        <f>COUNTIFS('SLP Field Data'!K:K,B7,'SLP Field Data'!N:N,"Not Received")</f>
        <v>7</v>
      </c>
      <c r="I7" s="110">
        <f>COUNTIFS('SLP Field Data'!K:K,B7,'SLP Field Data'!N:N,"Busy")</f>
        <v>9</v>
      </c>
      <c r="J7" s="109">
        <f>COUNTIFS('SLP Field Data'!K:K,B7,'SLP Field Data'!N:N,"Switch off")</f>
        <v>2</v>
      </c>
      <c r="K7" s="109">
        <f>COUNTIFS('SLP Field Data'!K:K,B7,'SLP Field Data'!N:N,"Wrong No.")</f>
        <v>0</v>
      </c>
      <c r="L7" s="110">
        <f>COUNTIFS('SLP Field Data'!K:K,B7,'SLP Field Data'!N:N,"Call Back Later")</f>
        <v>0</v>
      </c>
      <c r="M7" s="111"/>
      <c r="N7" s="113">
        <v>45866.0</v>
      </c>
      <c r="O7" s="101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22.5" customHeight="1">
      <c r="A8" s="112">
        <v>7.0</v>
      </c>
      <c r="B8" s="112" t="s">
        <v>864</v>
      </c>
      <c r="C8" s="112" t="s">
        <v>990</v>
      </c>
      <c r="D8" s="110">
        <f>COUNTIFS('SLP Field Data'!K:K,B8,'SLP Field Data'!K:K,"&lt;&gt;")</f>
        <v>22</v>
      </c>
      <c r="E8" s="109">
        <f>COUNTIFS('SLP Field Data'!K:K,B8,'SLP Field Data'!N:N,"Connected")</f>
        <v>21</v>
      </c>
      <c r="F8" s="109">
        <f>COUNTIFS('SLP Field Data'!K:K,B8,'SLP Field Data'!AA:AA,"Verified")</f>
        <v>21</v>
      </c>
      <c r="G8" s="109">
        <f>COUNTIFS('SLP Field Data'!K:K,B8,'SLP Field Data'!AA:AA,"Not Verified")</f>
        <v>0</v>
      </c>
      <c r="H8" s="109">
        <f>COUNTIFS('SLP Field Data'!K:K,B8,'SLP Field Data'!N:N,"Not Received")</f>
        <v>0</v>
      </c>
      <c r="I8" s="110">
        <f>COUNTIFS('SLP Field Data'!K:K,B8,'SLP Field Data'!N:N,"Busy")</f>
        <v>0</v>
      </c>
      <c r="J8" s="109">
        <f>COUNTIFS('SLP Field Data'!K:K,B8,'SLP Field Data'!N:N,"Switch off")</f>
        <v>1</v>
      </c>
      <c r="K8" s="109">
        <f>COUNTIFS('SLP Field Data'!K:K,B8,'SLP Field Data'!N:N,"Wrong No.")</f>
        <v>0</v>
      </c>
      <c r="L8" s="110">
        <f>COUNTIFS('SLP Field Data'!K:K,B8,'SLP Field Data'!N:N,"Call Back Later")</f>
        <v>0</v>
      </c>
      <c r="M8" s="111"/>
      <c r="N8" s="113">
        <v>45862.0</v>
      </c>
      <c r="O8" s="63" t="s">
        <v>1831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22.5" customHeight="1">
      <c r="A9" s="111">
        <v>8.0</v>
      </c>
      <c r="B9" s="112" t="s">
        <v>1837</v>
      </c>
      <c r="C9" s="112" t="s">
        <v>1838</v>
      </c>
      <c r="D9" s="110">
        <f>COUNTIFS('SLP Field Data'!K:K,B9,'SLP Field Data'!K:K,"&lt;&gt;")</f>
        <v>58</v>
      </c>
      <c r="E9" s="109">
        <f>COUNTIFS('SLP Field Data'!K:K,B9,'SLP Field Data'!N:N,"Connected")</f>
        <v>39</v>
      </c>
      <c r="F9" s="109">
        <f>COUNTIFS('SLP Field Data'!K:K,B9,'SLP Field Data'!AA:AA,"Verified")</f>
        <v>37</v>
      </c>
      <c r="G9" s="109">
        <f>COUNTIFS('SLP Field Data'!K:K,B9,'SLP Field Data'!AA:AA,"Not Verified")</f>
        <v>0</v>
      </c>
      <c r="H9" s="109">
        <f>COUNTIFS('SLP Field Data'!K:K,B9,'SLP Field Data'!N:N,"Not Received")</f>
        <v>4</v>
      </c>
      <c r="I9" s="110">
        <f>COUNTIFS('SLP Field Data'!K:K,B9,'SLP Field Data'!N:N,"Busy")</f>
        <v>7</v>
      </c>
      <c r="J9" s="109">
        <f>COUNTIFS('SLP Field Data'!K:K,B9,'SLP Field Data'!N:N,"Switch off")</f>
        <v>6</v>
      </c>
      <c r="K9" s="109">
        <f>COUNTIFS('SLP Field Data'!K:K,B9,'SLP Field Data'!N:N,"Wrong No.")</f>
        <v>1</v>
      </c>
      <c r="L9" s="110">
        <f>COUNTIFS('SLP Field Data'!K:K,B9,'SLP Field Data'!N:N,"Call Back Later")</f>
        <v>1</v>
      </c>
      <c r="M9" s="114"/>
      <c r="N9" s="113">
        <v>45862.0</v>
      </c>
      <c r="O9" s="63" t="s">
        <v>1839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12">
        <v>9.0</v>
      </c>
      <c r="B10" s="112" t="s">
        <v>1840</v>
      </c>
      <c r="C10" s="112" t="s">
        <v>1841</v>
      </c>
      <c r="D10" s="110">
        <f>COUNTIFS('SLP Field Data'!K:K,B10,'SLP Field Data'!K:K,"&lt;&gt;")</f>
        <v>43</v>
      </c>
      <c r="E10" s="109">
        <f>COUNTIFS('SLP Field Data'!K:K,B10,'SLP Field Data'!N:N,"Connected")</f>
        <v>24</v>
      </c>
      <c r="F10" s="109">
        <f>COUNTIFS('SLP Field Data'!K:K,B10,'SLP Field Data'!AA:AA,"Verified")</f>
        <v>22</v>
      </c>
      <c r="G10" s="109">
        <f>COUNTIFS('SLP Field Data'!K:K,B10,'SLP Field Data'!AA:AA,"Not Verified")</f>
        <v>3</v>
      </c>
      <c r="H10" s="109">
        <f>COUNTIFS('SLP Field Data'!K:K,B10,'SLP Field Data'!N:N,"Not Received")</f>
        <v>7</v>
      </c>
      <c r="I10" s="110">
        <f>COUNTIFS('SLP Field Data'!K:K,B10,'SLP Field Data'!N:N,"Busy")</f>
        <v>2</v>
      </c>
      <c r="J10" s="109">
        <f>COUNTIFS('SLP Field Data'!K:K,B10,'SLP Field Data'!N:N,"Switch off")</f>
        <v>5</v>
      </c>
      <c r="K10" s="109">
        <f>COUNTIFS('SLP Field Data'!K:K,B10,'SLP Field Data'!N:N,"Wrong No.")</f>
        <v>3</v>
      </c>
      <c r="L10" s="110">
        <f>COUNTIFS('SLP Field Data'!K:K,B10,'SLP Field Data'!N:N,"Call Back Later")</f>
        <v>2</v>
      </c>
      <c r="M10" s="114"/>
      <c r="N10" s="95"/>
      <c r="O10" s="101"/>
      <c r="P10" s="19"/>
    </row>
    <row r="11">
      <c r="A11" s="112">
        <v>10.0</v>
      </c>
      <c r="B11" s="112" t="s">
        <v>1260</v>
      </c>
      <c r="C11" s="112" t="s">
        <v>1842</v>
      </c>
      <c r="D11" s="110">
        <f>COUNTIFS('SLP Field Data'!K:K,B11,'SLP Field Data'!K:K,"&lt;&gt;")</f>
        <v>42</v>
      </c>
      <c r="E11" s="109">
        <f>COUNTIFS('SLP Field Data'!K:K,B11,'SLP Field Data'!N:N,"Connected")</f>
        <v>35</v>
      </c>
      <c r="F11" s="109">
        <f>COUNTIFS('SLP Field Data'!K:K,B11,'SLP Field Data'!AA:AA,"Verified")</f>
        <v>32</v>
      </c>
      <c r="G11" s="109">
        <f>COUNTIFS('SLP Field Data'!K:K,B11,'SLP Field Data'!AA:AA,"Not Verified")</f>
        <v>3</v>
      </c>
      <c r="H11" s="109">
        <f>COUNTIFS('SLP Field Data'!K:K,B11,'SLP Field Data'!N:N,"Not Received")</f>
        <v>3</v>
      </c>
      <c r="I11" s="110">
        <f>COUNTIFS('SLP Field Data'!K:K,B11,'SLP Field Data'!N:N,"Busy")</f>
        <v>0</v>
      </c>
      <c r="J11" s="109">
        <f>COUNTIFS('SLP Field Data'!K:K,B11,'SLP Field Data'!N:N,"Switch off")</f>
        <v>2</v>
      </c>
      <c r="K11" s="109">
        <f>COUNTIFS('SLP Field Data'!K:K,B11,'SLP Field Data'!N:N,"Wrong No.")</f>
        <v>2</v>
      </c>
      <c r="L11" s="110">
        <f>COUNTIFS('SLP Field Data'!K:K,B11,'SLP Field Data'!N:N,"Call Back Later")</f>
        <v>0</v>
      </c>
      <c r="M11" s="114"/>
      <c r="N11" s="113">
        <v>45864.0</v>
      </c>
      <c r="O11" s="63" t="s">
        <v>1843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15">
        <v>11.0</v>
      </c>
      <c r="B12" s="111" t="s">
        <v>1366</v>
      </c>
      <c r="C12" s="116" t="s">
        <v>1844</v>
      </c>
      <c r="D12" s="110">
        <f>COUNTIFS('SLP Field Data'!K:K,B12,'SLP Field Data'!K:K,"&lt;&gt;")</f>
        <v>28</v>
      </c>
      <c r="E12" s="109">
        <f>COUNTIFS('SLP Field Data'!K:K,B12,'SLP Field Data'!N:N,"Connected")</f>
        <v>25</v>
      </c>
      <c r="F12" s="109">
        <f>COUNTIFS('SLP Field Data'!K:K,B12,'SLP Field Data'!AA:AA,"Verified")</f>
        <v>25</v>
      </c>
      <c r="G12" s="109">
        <f>COUNTIFS('SLP Field Data'!K:K,B12,'SLP Field Data'!AA:AA,"Not Verified")</f>
        <v>0</v>
      </c>
      <c r="H12" s="109">
        <f>COUNTIFS('SLP Field Data'!K:K,B12,'SLP Field Data'!N:N,"Not Received")</f>
        <v>1</v>
      </c>
      <c r="I12" s="110">
        <f>COUNTIFS('SLP Field Data'!K:K,B12,'SLP Field Data'!N:N,"Busy")</f>
        <v>0</v>
      </c>
      <c r="J12" s="109">
        <f>COUNTIFS('SLP Field Data'!K:K,B12,'SLP Field Data'!N:N,"Switch off")</f>
        <v>0</v>
      </c>
      <c r="K12" s="109">
        <f>COUNTIFS('SLP Field Data'!K:K,B12,'SLP Field Data'!N:N,"Wrong No.")</f>
        <v>0</v>
      </c>
      <c r="L12" s="110">
        <f>COUNTIFS('SLP Field Data'!K:K,B12,'SLP Field Data'!N:N,"Call Back Later")</f>
        <v>2</v>
      </c>
      <c r="M12" s="114"/>
      <c r="N12" s="117">
        <v>45865.0</v>
      </c>
      <c r="O12" s="87"/>
    </row>
    <row r="13">
      <c r="A13" s="54">
        <v>12.0</v>
      </c>
      <c r="B13" s="53" t="s">
        <v>1436</v>
      </c>
      <c r="C13" s="53" t="s">
        <v>1845</v>
      </c>
      <c r="D13" s="28">
        <f>COUNTIFS('SLP Field Data'!K:K,B13,'SLP Field Data'!K:K,"&lt;&gt;")</f>
        <v>30</v>
      </c>
      <c r="E13" s="17">
        <f>COUNTIFS('SLP Field Data'!K:K,B13,'SLP Field Data'!N:N,"Connected")</f>
        <v>13</v>
      </c>
      <c r="F13" s="17">
        <f>COUNTIFS('SLP Field Data'!K:K,B13,'SLP Field Data'!AA:AA,"Verified")</f>
        <v>13</v>
      </c>
      <c r="G13" s="17">
        <f>COUNTIFS('SLP Field Data'!K:K,B13,'SLP Field Data'!AA:AA,"Not Verified")</f>
        <v>0</v>
      </c>
      <c r="H13" s="17">
        <f>COUNTIFS('SLP Field Data'!K:K,B13,'SLP Field Data'!N:N,"Not Received")</f>
        <v>4</v>
      </c>
      <c r="I13" s="28">
        <f>COUNTIFS('SLP Field Data'!K:K,B13,'SLP Field Data'!N:N,"Busy")</f>
        <v>3</v>
      </c>
      <c r="J13" s="17">
        <f>COUNTIFS('SLP Field Data'!K:K,B13,'SLP Field Data'!N:N,"Switch off")</f>
        <v>6</v>
      </c>
      <c r="K13" s="17">
        <f>COUNTIFS('SLP Field Data'!K:K,B13,'SLP Field Data'!N:N,"Wrong No.")</f>
        <v>2</v>
      </c>
      <c r="L13" s="28">
        <f>COUNTIFS('SLP Field Data'!K:K,B13,'SLP Field Data'!N:N,"Call Back Later")</f>
        <v>0</v>
      </c>
      <c r="M13" s="95"/>
      <c r="N13" s="117">
        <v>38560.0</v>
      </c>
      <c r="O13" s="87"/>
    </row>
    <row r="14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87"/>
    </row>
    <row r="1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87"/>
    </row>
    <row r="16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87"/>
    </row>
    <row r="17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87"/>
    </row>
    <row r="18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87"/>
    </row>
    <row r="19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87"/>
    </row>
    <row r="20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87"/>
    </row>
    <row r="2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87"/>
    </row>
    <row r="22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87"/>
    </row>
    <row r="23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87"/>
    </row>
    <row r="24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87"/>
    </row>
    <row r="25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87"/>
    </row>
    <row r="26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87"/>
    </row>
    <row r="27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87"/>
    </row>
    <row r="28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87"/>
    </row>
    <row r="29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87"/>
    </row>
    <row r="30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87"/>
    </row>
    <row r="3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87"/>
    </row>
    <row r="32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87"/>
    </row>
    <row r="33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87"/>
    </row>
    <row r="34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87"/>
    </row>
    <row r="35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87"/>
    </row>
    <row r="36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87"/>
    </row>
    <row r="37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87"/>
    </row>
    <row r="38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87"/>
    </row>
    <row r="39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87"/>
    </row>
    <row r="40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87"/>
    </row>
    <row r="4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87"/>
    </row>
    <row r="42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87"/>
    </row>
    <row r="43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87"/>
    </row>
    <row r="44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87"/>
    </row>
    <row r="45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87"/>
    </row>
    <row r="46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87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87"/>
    </row>
    <row r="48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87"/>
    </row>
    <row r="49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87"/>
    </row>
    <row r="50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87"/>
    </row>
    <row r="5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87"/>
    </row>
    <row r="52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87"/>
    </row>
    <row r="53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87"/>
    </row>
    <row r="54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87"/>
    </row>
    <row r="55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87"/>
    </row>
    <row r="56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87"/>
    </row>
    <row r="57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87"/>
    </row>
    <row r="58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87"/>
    </row>
    <row r="59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87"/>
    </row>
    <row r="60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87"/>
    </row>
    <row r="6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87"/>
    </row>
    <row r="62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87"/>
    </row>
    <row r="63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87"/>
    </row>
    <row r="64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87"/>
    </row>
    <row r="6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87"/>
    </row>
    <row r="66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87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87"/>
    </row>
    <row r="68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87"/>
    </row>
    <row r="69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87"/>
    </row>
    <row r="70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87"/>
    </row>
    <row r="7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87"/>
    </row>
    <row r="72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87"/>
    </row>
    <row r="73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87"/>
    </row>
    <row r="74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87"/>
    </row>
    <row r="7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87"/>
    </row>
    <row r="76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87"/>
    </row>
    <row r="77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87"/>
    </row>
    <row r="78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87"/>
    </row>
    <row r="79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87"/>
    </row>
    <row r="80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87"/>
    </row>
    <row r="8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87"/>
    </row>
    <row r="82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87"/>
    </row>
    <row r="83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87"/>
    </row>
    <row r="84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87"/>
    </row>
    <row r="85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87"/>
    </row>
    <row r="86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87"/>
    </row>
    <row r="87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87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87"/>
    </row>
    <row r="89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87"/>
    </row>
    <row r="90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87"/>
    </row>
    <row r="9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87"/>
    </row>
    <row r="92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87"/>
    </row>
    <row r="93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87"/>
    </row>
    <row r="94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87"/>
    </row>
    <row r="95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87"/>
    </row>
    <row r="96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87"/>
    </row>
    <row r="97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87"/>
    </row>
    <row r="98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87"/>
    </row>
    <row r="99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87"/>
    </row>
    <row r="100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87"/>
    </row>
    <row r="10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87"/>
    </row>
    <row r="102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87"/>
    </row>
    <row r="103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87"/>
    </row>
    <row r="104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87"/>
    </row>
    <row r="105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87"/>
    </row>
    <row r="106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87"/>
    </row>
    <row r="107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87"/>
    </row>
    <row r="108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87"/>
    </row>
    <row r="109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87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87"/>
    </row>
    <row r="11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87"/>
    </row>
    <row r="11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87"/>
    </row>
    <row r="113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87"/>
    </row>
    <row r="114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87"/>
    </row>
    <row r="115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87"/>
    </row>
    <row r="116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87"/>
    </row>
    <row r="117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87"/>
    </row>
    <row r="118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87"/>
    </row>
    <row r="119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87"/>
    </row>
    <row r="120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87"/>
    </row>
    <row r="12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87"/>
    </row>
    <row r="12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87"/>
    </row>
    <row r="123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87"/>
    </row>
    <row r="124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87"/>
    </row>
    <row r="1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87"/>
    </row>
    <row r="126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87"/>
    </row>
    <row r="127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87"/>
    </row>
    <row r="128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87"/>
    </row>
    <row r="129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87"/>
    </row>
    <row r="130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87"/>
    </row>
    <row r="13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87"/>
    </row>
    <row r="13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87"/>
    </row>
    <row r="133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87"/>
    </row>
    <row r="134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87"/>
    </row>
    <row r="135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87"/>
    </row>
    <row r="136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87"/>
    </row>
    <row r="137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87"/>
    </row>
    <row r="138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87"/>
    </row>
    <row r="139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87"/>
    </row>
    <row r="140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87"/>
    </row>
    <row r="14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87"/>
    </row>
    <row r="14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87"/>
    </row>
    <row r="143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87"/>
    </row>
    <row r="144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87"/>
    </row>
    <row r="145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87"/>
    </row>
    <row r="146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87"/>
    </row>
    <row r="147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87"/>
    </row>
    <row r="148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87"/>
    </row>
    <row r="149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87"/>
    </row>
    <row r="150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87"/>
    </row>
    <row r="15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87"/>
    </row>
    <row r="15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87"/>
    </row>
    <row r="153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87"/>
    </row>
    <row r="154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87"/>
    </row>
    <row r="155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87"/>
    </row>
    <row r="156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87"/>
    </row>
    <row r="157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87"/>
    </row>
    <row r="158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87"/>
    </row>
    <row r="159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87"/>
    </row>
    <row r="160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87"/>
    </row>
    <row r="16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87"/>
    </row>
    <row r="16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87"/>
    </row>
    <row r="163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87"/>
    </row>
    <row r="164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87"/>
    </row>
    <row r="165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87"/>
    </row>
    <row r="166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87"/>
    </row>
    <row r="167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87"/>
    </row>
    <row r="168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87"/>
    </row>
    <row r="169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87"/>
    </row>
    <row r="170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87"/>
    </row>
    <row r="17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87"/>
    </row>
    <row r="17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87"/>
    </row>
    <row r="173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87"/>
    </row>
    <row r="174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87"/>
    </row>
    <row r="175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87"/>
    </row>
    <row r="176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87"/>
    </row>
    <row r="177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87"/>
    </row>
    <row r="178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87"/>
    </row>
    <row r="179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87"/>
    </row>
    <row r="180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87"/>
    </row>
    <row r="18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87"/>
    </row>
    <row r="18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87"/>
    </row>
    <row r="183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87"/>
    </row>
    <row r="184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87"/>
    </row>
    <row r="185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87"/>
    </row>
    <row r="186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87"/>
    </row>
    <row r="187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87"/>
    </row>
    <row r="188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87"/>
    </row>
    <row r="189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87"/>
    </row>
    <row r="190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87"/>
    </row>
    <row r="19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87"/>
    </row>
    <row r="19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87"/>
    </row>
    <row r="193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87"/>
    </row>
    <row r="194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87"/>
    </row>
    <row r="195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87"/>
    </row>
    <row r="196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87"/>
    </row>
    <row r="197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87"/>
    </row>
    <row r="198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87"/>
    </row>
    <row r="199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87"/>
    </row>
    <row r="200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87"/>
    </row>
    <row r="20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87"/>
    </row>
    <row r="20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87"/>
    </row>
    <row r="203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87"/>
    </row>
    <row r="204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87"/>
    </row>
    <row r="205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87"/>
    </row>
    <row r="206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87"/>
    </row>
    <row r="207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87"/>
    </row>
    <row r="208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87"/>
    </row>
    <row r="209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87"/>
    </row>
    <row r="210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87"/>
    </row>
    <row r="21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87"/>
    </row>
    <row r="21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87"/>
    </row>
    <row r="213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87"/>
    </row>
    <row r="214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87"/>
    </row>
    <row r="215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87"/>
    </row>
    <row r="216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87"/>
    </row>
    <row r="217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87"/>
    </row>
    <row r="218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87"/>
    </row>
    <row r="219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87"/>
    </row>
    <row r="220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87"/>
    </row>
    <row r="22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87"/>
    </row>
    <row r="22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87"/>
    </row>
    <row r="223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87"/>
    </row>
    <row r="224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87"/>
    </row>
    <row r="225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87"/>
    </row>
    <row r="226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87"/>
    </row>
    <row r="227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87"/>
    </row>
    <row r="228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87"/>
    </row>
    <row r="229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87"/>
    </row>
    <row r="230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87"/>
    </row>
    <row r="23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87"/>
    </row>
    <row r="23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87"/>
    </row>
    <row r="233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87"/>
    </row>
    <row r="234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87"/>
    </row>
    <row r="235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87"/>
    </row>
    <row r="236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87"/>
    </row>
    <row r="237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87"/>
    </row>
    <row r="238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87"/>
    </row>
    <row r="239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87"/>
    </row>
    <row r="240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87"/>
    </row>
    <row r="24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87"/>
    </row>
    <row r="24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87"/>
    </row>
    <row r="243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87"/>
    </row>
    <row r="244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87"/>
    </row>
    <row r="245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87"/>
    </row>
    <row r="246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87"/>
    </row>
    <row r="247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87"/>
    </row>
    <row r="248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87"/>
    </row>
    <row r="249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87"/>
    </row>
    <row r="250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87"/>
    </row>
    <row r="25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87"/>
    </row>
    <row r="25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87"/>
    </row>
    <row r="253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87"/>
    </row>
    <row r="254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87"/>
    </row>
    <row r="255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87"/>
    </row>
    <row r="256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87"/>
    </row>
    <row r="257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87"/>
    </row>
    <row r="258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87"/>
    </row>
    <row r="259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87"/>
    </row>
    <row r="260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87"/>
    </row>
    <row r="26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87"/>
    </row>
    <row r="26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87"/>
    </row>
    <row r="263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87"/>
    </row>
    <row r="264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87"/>
    </row>
    <row r="265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87"/>
    </row>
    <row r="266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87"/>
    </row>
    <row r="267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87"/>
    </row>
    <row r="268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87"/>
    </row>
    <row r="269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87"/>
    </row>
    <row r="270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87"/>
    </row>
    <row r="27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87"/>
    </row>
    <row r="27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87"/>
    </row>
    <row r="273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87"/>
    </row>
    <row r="274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87"/>
    </row>
    <row r="275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87"/>
    </row>
    <row r="276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87"/>
    </row>
    <row r="277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87"/>
    </row>
    <row r="278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87"/>
    </row>
    <row r="279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87"/>
    </row>
    <row r="280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87"/>
    </row>
    <row r="28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87"/>
    </row>
    <row r="28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87"/>
    </row>
    <row r="283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87"/>
    </row>
    <row r="284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87"/>
    </row>
    <row r="285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87"/>
    </row>
    <row r="286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87"/>
    </row>
    <row r="287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87"/>
    </row>
    <row r="288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87"/>
    </row>
    <row r="289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87"/>
    </row>
    <row r="290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87"/>
    </row>
    <row r="29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87"/>
    </row>
    <row r="29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87"/>
    </row>
    <row r="293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87"/>
    </row>
    <row r="294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87"/>
    </row>
    <row r="295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87"/>
    </row>
    <row r="296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87"/>
    </row>
    <row r="297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87"/>
    </row>
    <row r="298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87"/>
    </row>
    <row r="299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87"/>
    </row>
    <row r="300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87"/>
    </row>
    <row r="30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87"/>
    </row>
    <row r="30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87"/>
    </row>
    <row r="303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87"/>
    </row>
    <row r="304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87"/>
    </row>
    <row r="305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87"/>
    </row>
    <row r="306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87"/>
    </row>
    <row r="307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87"/>
    </row>
    <row r="308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87"/>
    </row>
    <row r="309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87"/>
    </row>
    <row r="31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87"/>
    </row>
    <row r="31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87"/>
    </row>
    <row r="31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87"/>
    </row>
    <row r="313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87"/>
    </row>
    <row r="314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87"/>
    </row>
    <row r="315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87"/>
    </row>
    <row r="316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87"/>
    </row>
    <row r="317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87"/>
    </row>
    <row r="318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87"/>
    </row>
    <row r="319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87"/>
    </row>
    <row r="32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87"/>
    </row>
    <row r="32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87"/>
    </row>
    <row r="32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87"/>
    </row>
    <row r="323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87"/>
    </row>
    <row r="324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87"/>
    </row>
    <row r="325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87"/>
    </row>
    <row r="326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87"/>
    </row>
    <row r="327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87"/>
    </row>
    <row r="328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87"/>
    </row>
    <row r="329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87"/>
    </row>
    <row r="330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87"/>
    </row>
    <row r="33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87"/>
    </row>
    <row r="33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87"/>
    </row>
    <row r="333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87"/>
    </row>
    <row r="334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87"/>
    </row>
    <row r="335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87"/>
    </row>
    <row r="336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87"/>
    </row>
    <row r="337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87"/>
    </row>
    <row r="338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87"/>
    </row>
    <row r="339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87"/>
    </row>
    <row r="34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87"/>
    </row>
    <row r="34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87"/>
    </row>
    <row r="34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87"/>
    </row>
    <row r="343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87"/>
    </row>
    <row r="344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87"/>
    </row>
    <row r="345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87"/>
    </row>
    <row r="346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87"/>
    </row>
    <row r="347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87"/>
    </row>
    <row r="348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87"/>
    </row>
    <row r="349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87"/>
    </row>
    <row r="35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87"/>
    </row>
    <row r="35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87"/>
    </row>
    <row r="35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87"/>
    </row>
    <row r="35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87"/>
    </row>
    <row r="35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87"/>
    </row>
    <row r="355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87"/>
    </row>
    <row r="356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87"/>
    </row>
    <row r="357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87"/>
    </row>
    <row r="358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87"/>
    </row>
    <row r="359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87"/>
    </row>
    <row r="36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87"/>
    </row>
    <row r="36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87"/>
    </row>
    <row r="36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87"/>
    </row>
    <row r="36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87"/>
    </row>
    <row r="364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87"/>
    </row>
    <row r="36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87"/>
    </row>
    <row r="366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87"/>
    </row>
    <row r="367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87"/>
    </row>
    <row r="368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87"/>
    </row>
    <row r="369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87"/>
    </row>
    <row r="3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87"/>
    </row>
    <row r="37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87"/>
    </row>
    <row r="37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87"/>
    </row>
    <row r="37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87"/>
    </row>
    <row r="374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87"/>
    </row>
    <row r="37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87"/>
    </row>
    <row r="376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87"/>
    </row>
    <row r="377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87"/>
    </row>
    <row r="378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87"/>
    </row>
    <row r="379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87"/>
    </row>
    <row r="38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87"/>
    </row>
    <row r="38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87"/>
    </row>
    <row r="38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87"/>
    </row>
    <row r="38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87"/>
    </row>
    <row r="384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87"/>
    </row>
    <row r="38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87"/>
    </row>
    <row r="386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87"/>
    </row>
    <row r="387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87"/>
    </row>
    <row r="388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87"/>
    </row>
    <row r="389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87"/>
    </row>
    <row r="39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87"/>
    </row>
    <row r="39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87"/>
    </row>
    <row r="39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87"/>
    </row>
    <row r="39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87"/>
    </row>
    <row r="394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87"/>
    </row>
    <row r="39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87"/>
    </row>
    <row r="396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87"/>
    </row>
    <row r="397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87"/>
    </row>
    <row r="398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87"/>
    </row>
    <row r="399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87"/>
    </row>
    <row r="40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87"/>
    </row>
    <row r="40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87"/>
    </row>
    <row r="40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87"/>
    </row>
    <row r="40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87"/>
    </row>
    <row r="40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87"/>
    </row>
    <row r="40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87"/>
    </row>
    <row r="406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87"/>
    </row>
    <row r="407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87"/>
    </row>
    <row r="408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87"/>
    </row>
    <row r="409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87"/>
    </row>
    <row r="41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87"/>
    </row>
    <row r="41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87"/>
    </row>
    <row r="41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87"/>
    </row>
    <row r="41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87"/>
    </row>
    <row r="41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87"/>
    </row>
    <row r="41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87"/>
    </row>
    <row r="416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87"/>
    </row>
    <row r="417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87"/>
    </row>
    <row r="418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87"/>
    </row>
    <row r="419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87"/>
    </row>
    <row r="4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87"/>
    </row>
    <row r="42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87"/>
    </row>
    <row r="42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87"/>
    </row>
    <row r="42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87"/>
    </row>
    <row r="42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87"/>
    </row>
    <row r="42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87"/>
    </row>
    <row r="426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87"/>
    </row>
    <row r="427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87"/>
    </row>
    <row r="428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87"/>
    </row>
    <row r="429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87"/>
    </row>
    <row r="43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87"/>
    </row>
    <row r="43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87"/>
    </row>
    <row r="43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87"/>
    </row>
    <row r="43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87"/>
    </row>
    <row r="434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87"/>
    </row>
    <row r="4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87"/>
    </row>
    <row r="436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87"/>
    </row>
    <row r="437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87"/>
    </row>
    <row r="438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87"/>
    </row>
    <row r="439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87"/>
    </row>
    <row r="44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87"/>
    </row>
    <row r="44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87"/>
    </row>
    <row r="44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87"/>
    </row>
    <row r="44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87"/>
    </row>
    <row r="444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87"/>
    </row>
    <row r="44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87"/>
    </row>
    <row r="446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87"/>
    </row>
    <row r="447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87"/>
    </row>
    <row r="448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87"/>
    </row>
    <row r="449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87"/>
    </row>
    <row r="45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87"/>
    </row>
    <row r="45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87"/>
    </row>
    <row r="45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87"/>
    </row>
    <row r="45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87"/>
    </row>
    <row r="454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87"/>
    </row>
    <row r="45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87"/>
    </row>
    <row r="456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87"/>
    </row>
    <row r="457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87"/>
    </row>
    <row r="458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87"/>
    </row>
    <row r="459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87"/>
    </row>
    <row r="46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87"/>
    </row>
    <row r="46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87"/>
    </row>
    <row r="46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87"/>
    </row>
    <row r="46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87"/>
    </row>
    <row r="464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87"/>
    </row>
    <row r="46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87"/>
    </row>
    <row r="466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87"/>
    </row>
    <row r="467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87"/>
    </row>
    <row r="468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87"/>
    </row>
    <row r="469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87"/>
    </row>
    <row r="4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87"/>
    </row>
    <row r="47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87"/>
    </row>
    <row r="47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87"/>
    </row>
    <row r="47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87"/>
    </row>
    <row r="474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87"/>
    </row>
    <row r="47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87"/>
    </row>
    <row r="476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87"/>
    </row>
    <row r="477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87"/>
    </row>
    <row r="478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87"/>
    </row>
    <row r="479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87"/>
    </row>
    <row r="48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87"/>
    </row>
    <row r="48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87"/>
    </row>
    <row r="48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87"/>
    </row>
    <row r="48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87"/>
    </row>
    <row r="484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87"/>
    </row>
    <row r="48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87"/>
    </row>
    <row r="486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87"/>
    </row>
    <row r="487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87"/>
    </row>
    <row r="488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87"/>
    </row>
    <row r="489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87"/>
    </row>
    <row r="49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87"/>
    </row>
    <row r="49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87"/>
    </row>
    <row r="49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87"/>
    </row>
    <row r="49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87"/>
    </row>
    <row r="494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87"/>
    </row>
    <row r="49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87"/>
    </row>
    <row r="496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87"/>
    </row>
    <row r="497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87"/>
    </row>
    <row r="498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87"/>
    </row>
    <row r="499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87"/>
    </row>
    <row r="50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87"/>
    </row>
    <row r="50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87"/>
    </row>
    <row r="50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87"/>
    </row>
    <row r="50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87"/>
    </row>
    <row r="504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87"/>
    </row>
    <row r="50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87"/>
    </row>
    <row r="506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87"/>
    </row>
    <row r="507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87"/>
    </row>
    <row r="508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87"/>
    </row>
    <row r="509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87"/>
    </row>
    <row r="51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87"/>
    </row>
    <row r="51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87"/>
    </row>
    <row r="51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87"/>
    </row>
    <row r="51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87"/>
    </row>
    <row r="51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87"/>
    </row>
    <row r="51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87"/>
    </row>
    <row r="516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87"/>
    </row>
    <row r="517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87"/>
    </row>
    <row r="518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87"/>
    </row>
    <row r="519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87"/>
    </row>
    <row r="5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87"/>
    </row>
    <row r="52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87"/>
    </row>
    <row r="52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87"/>
    </row>
    <row r="52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87"/>
    </row>
    <row r="524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87"/>
    </row>
    <row r="52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87"/>
    </row>
    <row r="526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87"/>
    </row>
    <row r="527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87"/>
    </row>
    <row r="528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87"/>
    </row>
    <row r="529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87"/>
    </row>
    <row r="53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87"/>
    </row>
    <row r="53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87"/>
    </row>
    <row r="53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87"/>
    </row>
    <row r="533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87"/>
    </row>
    <row r="534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87"/>
    </row>
    <row r="535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87"/>
    </row>
    <row r="536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87"/>
    </row>
    <row r="537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87"/>
    </row>
    <row r="538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87"/>
    </row>
    <row r="539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87"/>
    </row>
    <row r="54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87"/>
    </row>
    <row r="54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87"/>
    </row>
    <row r="54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87"/>
    </row>
    <row r="543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87"/>
    </row>
    <row r="544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87"/>
    </row>
    <row r="545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87"/>
    </row>
    <row r="546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87"/>
    </row>
    <row r="547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87"/>
    </row>
    <row r="548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87"/>
    </row>
    <row r="549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87"/>
    </row>
    <row r="55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87"/>
    </row>
    <row r="55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87"/>
    </row>
    <row r="55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87"/>
    </row>
    <row r="553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87"/>
    </row>
    <row r="554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87"/>
    </row>
    <row r="555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87"/>
    </row>
    <row r="556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87"/>
    </row>
    <row r="557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87"/>
    </row>
    <row r="558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87"/>
    </row>
    <row r="559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87"/>
    </row>
    <row r="56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87"/>
    </row>
    <row r="56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87"/>
    </row>
    <row r="56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87"/>
    </row>
    <row r="563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87"/>
    </row>
    <row r="564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87"/>
    </row>
    <row r="565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87"/>
    </row>
    <row r="566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87"/>
    </row>
    <row r="567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87"/>
    </row>
    <row r="568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87"/>
    </row>
    <row r="569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87"/>
    </row>
    <row r="5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87"/>
    </row>
    <row r="57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87"/>
    </row>
    <row r="57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87"/>
    </row>
    <row r="573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87"/>
    </row>
    <row r="574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87"/>
    </row>
    <row r="575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87"/>
    </row>
    <row r="576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87"/>
    </row>
    <row r="577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87"/>
    </row>
    <row r="578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87"/>
    </row>
    <row r="579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87"/>
    </row>
    <row r="58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87"/>
    </row>
    <row r="58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87"/>
    </row>
    <row r="58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87"/>
    </row>
    <row r="583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87"/>
    </row>
    <row r="584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87"/>
    </row>
    <row r="585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87"/>
    </row>
    <row r="586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87"/>
    </row>
    <row r="587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87"/>
    </row>
    <row r="588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87"/>
    </row>
    <row r="589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87"/>
    </row>
    <row r="59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87"/>
    </row>
    <row r="59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87"/>
    </row>
    <row r="59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87"/>
    </row>
    <row r="593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87"/>
    </row>
    <row r="594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87"/>
    </row>
    <row r="595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87"/>
    </row>
    <row r="596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87"/>
    </row>
    <row r="597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87"/>
    </row>
    <row r="598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87"/>
    </row>
    <row r="599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87"/>
    </row>
    <row r="60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87"/>
    </row>
    <row r="60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87"/>
    </row>
    <row r="60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87"/>
    </row>
    <row r="603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87"/>
    </row>
    <row r="604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87"/>
    </row>
    <row r="605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87"/>
    </row>
    <row r="606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87"/>
    </row>
    <row r="607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87"/>
    </row>
    <row r="608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87"/>
    </row>
    <row r="609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87"/>
    </row>
    <row r="61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87"/>
    </row>
    <row r="61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87"/>
    </row>
    <row r="61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87"/>
    </row>
    <row r="613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87"/>
    </row>
    <row r="614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87"/>
    </row>
    <row r="615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87"/>
    </row>
    <row r="616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87"/>
    </row>
    <row r="617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87"/>
    </row>
    <row r="618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87"/>
    </row>
    <row r="619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87"/>
    </row>
    <row r="62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87"/>
    </row>
    <row r="62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87"/>
    </row>
    <row r="62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87"/>
    </row>
    <row r="623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87"/>
    </row>
    <row r="624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87"/>
    </row>
    <row r="625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87"/>
    </row>
    <row r="626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87"/>
    </row>
    <row r="627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87"/>
    </row>
    <row r="628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87"/>
    </row>
    <row r="629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87"/>
    </row>
    <row r="63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87"/>
    </row>
    <row r="63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87"/>
    </row>
    <row r="63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87"/>
    </row>
    <row r="633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87"/>
    </row>
    <row r="634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87"/>
    </row>
    <row r="635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87"/>
    </row>
    <row r="636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87"/>
    </row>
    <row r="637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87"/>
    </row>
    <row r="638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87"/>
    </row>
    <row r="639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87"/>
    </row>
    <row r="64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87"/>
    </row>
    <row r="64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87"/>
    </row>
    <row r="64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87"/>
    </row>
    <row r="643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87"/>
    </row>
    <row r="644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87"/>
    </row>
    <row r="645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87"/>
    </row>
    <row r="646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87"/>
    </row>
    <row r="647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87"/>
    </row>
    <row r="648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87"/>
    </row>
    <row r="649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87"/>
    </row>
    <row r="65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87"/>
    </row>
    <row r="65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87"/>
    </row>
    <row r="65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87"/>
    </row>
    <row r="653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87"/>
    </row>
    <row r="654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87"/>
    </row>
    <row r="655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87"/>
    </row>
    <row r="656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87"/>
    </row>
    <row r="657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87"/>
    </row>
    <row r="658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87"/>
    </row>
    <row r="659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87"/>
    </row>
    <row r="66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87"/>
    </row>
    <row r="66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87"/>
    </row>
    <row r="66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87"/>
    </row>
    <row r="663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87"/>
    </row>
    <row r="664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87"/>
    </row>
    <row r="665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87"/>
    </row>
    <row r="666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87"/>
    </row>
    <row r="667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87"/>
    </row>
    <row r="668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87"/>
    </row>
    <row r="669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87"/>
    </row>
    <row r="6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87"/>
    </row>
    <row r="67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87"/>
    </row>
    <row r="67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87"/>
    </row>
    <row r="673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87"/>
    </row>
    <row r="674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87"/>
    </row>
    <row r="675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87"/>
    </row>
    <row r="676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87"/>
    </row>
    <row r="677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87"/>
    </row>
    <row r="678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87"/>
    </row>
    <row r="679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87"/>
    </row>
    <row r="68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87"/>
    </row>
    <row r="68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87"/>
    </row>
    <row r="68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87"/>
    </row>
    <row r="683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87"/>
    </row>
    <row r="684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87"/>
    </row>
    <row r="685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87"/>
    </row>
    <row r="686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87"/>
    </row>
    <row r="687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87"/>
    </row>
    <row r="688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87"/>
    </row>
    <row r="689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87"/>
    </row>
    <row r="69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87"/>
    </row>
    <row r="69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87"/>
    </row>
    <row r="69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87"/>
    </row>
    <row r="693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87"/>
    </row>
    <row r="694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87"/>
    </row>
    <row r="695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87"/>
    </row>
    <row r="696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87"/>
    </row>
    <row r="697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87"/>
    </row>
    <row r="698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87"/>
    </row>
    <row r="699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87"/>
    </row>
    <row r="70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87"/>
    </row>
    <row r="70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87"/>
    </row>
    <row r="70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87"/>
    </row>
    <row r="703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87"/>
    </row>
    <row r="704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87"/>
    </row>
    <row r="705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87"/>
    </row>
    <row r="706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87"/>
    </row>
    <row r="707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87"/>
    </row>
    <row r="708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87"/>
    </row>
    <row r="709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87"/>
    </row>
    <row r="71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87"/>
    </row>
    <row r="71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87"/>
    </row>
    <row r="71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87"/>
    </row>
    <row r="713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87"/>
    </row>
    <row r="714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87"/>
    </row>
    <row r="715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87"/>
    </row>
    <row r="716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87"/>
    </row>
    <row r="717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87"/>
    </row>
    <row r="718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87"/>
    </row>
    <row r="719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87"/>
    </row>
    <row r="72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87"/>
    </row>
    <row r="72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87"/>
    </row>
    <row r="72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87"/>
    </row>
    <row r="723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87"/>
    </row>
    <row r="724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87"/>
    </row>
    <row r="725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87"/>
    </row>
    <row r="726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87"/>
    </row>
    <row r="727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87"/>
    </row>
    <row r="728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87"/>
    </row>
    <row r="729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87"/>
    </row>
    <row r="73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87"/>
    </row>
    <row r="73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87"/>
    </row>
    <row r="73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87"/>
    </row>
    <row r="733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87"/>
    </row>
    <row r="734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87"/>
    </row>
    <row r="735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87"/>
    </row>
    <row r="736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87"/>
    </row>
    <row r="737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87"/>
    </row>
    <row r="738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87"/>
    </row>
    <row r="739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87"/>
    </row>
    <row r="74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87"/>
    </row>
    <row r="74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87"/>
    </row>
    <row r="74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87"/>
    </row>
    <row r="743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87"/>
    </row>
    <row r="744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87"/>
    </row>
    <row r="745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87"/>
    </row>
    <row r="746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87"/>
    </row>
    <row r="747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87"/>
    </row>
    <row r="748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87"/>
    </row>
    <row r="749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87"/>
    </row>
    <row r="75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87"/>
    </row>
    <row r="75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87"/>
    </row>
    <row r="75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87"/>
    </row>
    <row r="753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87"/>
    </row>
    <row r="754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87"/>
    </row>
    <row r="755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87"/>
    </row>
    <row r="756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87"/>
    </row>
    <row r="757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87"/>
    </row>
    <row r="758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87"/>
    </row>
    <row r="759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87"/>
    </row>
    <row r="76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87"/>
    </row>
    <row r="76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87"/>
    </row>
    <row r="76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87"/>
    </row>
    <row r="763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87"/>
    </row>
    <row r="764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87"/>
    </row>
    <row r="765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87"/>
    </row>
    <row r="766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87"/>
    </row>
    <row r="767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87"/>
    </row>
    <row r="768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87"/>
    </row>
    <row r="769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87"/>
    </row>
    <row r="7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87"/>
    </row>
    <row r="77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87"/>
    </row>
    <row r="77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87"/>
    </row>
    <row r="773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87"/>
    </row>
    <row r="774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87"/>
    </row>
    <row r="775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87"/>
    </row>
    <row r="776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87"/>
    </row>
    <row r="777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87"/>
    </row>
    <row r="778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87"/>
    </row>
    <row r="779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87"/>
    </row>
    <row r="78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87"/>
    </row>
    <row r="78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87"/>
    </row>
    <row r="78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87"/>
    </row>
    <row r="783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87"/>
    </row>
    <row r="784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87"/>
    </row>
    <row r="785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87"/>
    </row>
    <row r="786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87"/>
    </row>
    <row r="787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87"/>
    </row>
    <row r="788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87"/>
    </row>
    <row r="789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87"/>
    </row>
    <row r="79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87"/>
    </row>
    <row r="79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87"/>
    </row>
    <row r="79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87"/>
    </row>
    <row r="793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87"/>
    </row>
    <row r="794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87"/>
    </row>
    <row r="795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87"/>
    </row>
    <row r="796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87"/>
    </row>
    <row r="797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87"/>
    </row>
    <row r="798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87"/>
    </row>
    <row r="799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87"/>
    </row>
    <row r="80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87"/>
    </row>
    <row r="80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87"/>
    </row>
    <row r="80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87"/>
    </row>
    <row r="803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87"/>
    </row>
    <row r="804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87"/>
    </row>
    <row r="805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87"/>
    </row>
    <row r="806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87"/>
    </row>
    <row r="807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87"/>
    </row>
    <row r="808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87"/>
    </row>
    <row r="809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87"/>
    </row>
    <row r="81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87"/>
    </row>
    <row r="81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87"/>
    </row>
    <row r="81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87"/>
    </row>
    <row r="813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87"/>
    </row>
    <row r="814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87"/>
    </row>
    <row r="815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87"/>
    </row>
    <row r="816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87"/>
    </row>
    <row r="817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87"/>
    </row>
    <row r="818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87"/>
    </row>
    <row r="819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87"/>
    </row>
    <row r="82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87"/>
    </row>
    <row r="82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87"/>
    </row>
    <row r="82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87"/>
    </row>
    <row r="823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87"/>
    </row>
    <row r="824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87"/>
    </row>
    <row r="825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87"/>
    </row>
    <row r="826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87"/>
    </row>
    <row r="827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87"/>
    </row>
    <row r="828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87"/>
    </row>
    <row r="829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87"/>
    </row>
    <row r="83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87"/>
    </row>
    <row r="83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87"/>
    </row>
    <row r="83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87"/>
    </row>
    <row r="833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87"/>
    </row>
    <row r="834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87"/>
    </row>
    <row r="835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87"/>
    </row>
    <row r="836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87"/>
    </row>
    <row r="837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87"/>
    </row>
    <row r="838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87"/>
    </row>
    <row r="839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87"/>
    </row>
    <row r="84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87"/>
    </row>
    <row r="84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87"/>
    </row>
    <row r="84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87"/>
    </row>
    <row r="843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87"/>
    </row>
    <row r="844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87"/>
    </row>
    <row r="845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87"/>
    </row>
    <row r="846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87"/>
    </row>
    <row r="847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87"/>
    </row>
    <row r="848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87"/>
    </row>
    <row r="849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87"/>
    </row>
    <row r="85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87"/>
    </row>
    <row r="85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87"/>
    </row>
    <row r="85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87"/>
    </row>
    <row r="853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87"/>
    </row>
    <row r="854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87"/>
    </row>
    <row r="855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87"/>
    </row>
    <row r="856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87"/>
    </row>
    <row r="857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87"/>
    </row>
    <row r="858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87"/>
    </row>
    <row r="859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87"/>
    </row>
    <row r="86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87"/>
    </row>
    <row r="86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87"/>
    </row>
    <row r="86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87"/>
    </row>
    <row r="863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87"/>
    </row>
    <row r="864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87"/>
    </row>
    <row r="865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87"/>
    </row>
    <row r="866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87"/>
    </row>
    <row r="867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87"/>
    </row>
    <row r="868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87"/>
    </row>
    <row r="869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87"/>
    </row>
    <row r="8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87"/>
    </row>
    <row r="87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87"/>
    </row>
    <row r="87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87"/>
    </row>
    <row r="873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87"/>
    </row>
    <row r="874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87"/>
    </row>
    <row r="875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87"/>
    </row>
    <row r="876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87"/>
    </row>
    <row r="877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87"/>
    </row>
    <row r="878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87"/>
    </row>
    <row r="879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87"/>
    </row>
    <row r="88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87"/>
    </row>
    <row r="88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87"/>
    </row>
    <row r="88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87"/>
    </row>
    <row r="883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87"/>
    </row>
    <row r="884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87"/>
    </row>
    <row r="885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87"/>
    </row>
    <row r="886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87"/>
    </row>
    <row r="887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87"/>
    </row>
    <row r="888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87"/>
    </row>
    <row r="889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87"/>
    </row>
    <row r="89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87"/>
    </row>
    <row r="89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87"/>
    </row>
    <row r="89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87"/>
    </row>
    <row r="893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87"/>
    </row>
    <row r="894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87"/>
    </row>
    <row r="895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87"/>
    </row>
    <row r="896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87"/>
    </row>
    <row r="897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87"/>
    </row>
    <row r="898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87"/>
    </row>
    <row r="899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87"/>
    </row>
    <row r="90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87"/>
    </row>
    <row r="90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87"/>
    </row>
    <row r="90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87"/>
    </row>
    <row r="903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87"/>
    </row>
    <row r="904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87"/>
    </row>
    <row r="905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87"/>
    </row>
    <row r="906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87"/>
    </row>
    <row r="907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87"/>
    </row>
    <row r="908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87"/>
    </row>
    <row r="909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87"/>
    </row>
    <row r="91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87"/>
    </row>
    <row r="91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87"/>
    </row>
    <row r="91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87"/>
    </row>
    <row r="913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87"/>
    </row>
    <row r="914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87"/>
    </row>
    <row r="915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87"/>
    </row>
    <row r="916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87"/>
    </row>
    <row r="917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87"/>
    </row>
    <row r="918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87"/>
    </row>
    <row r="919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87"/>
    </row>
    <row r="92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87"/>
    </row>
    <row r="92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87"/>
    </row>
    <row r="92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87"/>
    </row>
    <row r="923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87"/>
    </row>
    <row r="924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87"/>
    </row>
    <row r="925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87"/>
    </row>
    <row r="926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87"/>
    </row>
    <row r="927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87"/>
    </row>
    <row r="928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87"/>
    </row>
    <row r="929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87"/>
    </row>
    <row r="93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87"/>
    </row>
    <row r="93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87"/>
    </row>
    <row r="93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87"/>
    </row>
    <row r="933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87"/>
    </row>
    <row r="934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87"/>
    </row>
    <row r="935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87"/>
    </row>
    <row r="936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87"/>
    </row>
    <row r="937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87"/>
    </row>
    <row r="938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87"/>
    </row>
    <row r="939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87"/>
    </row>
    <row r="940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87"/>
    </row>
    <row r="94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87"/>
    </row>
    <row r="94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87"/>
    </row>
    <row r="943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87"/>
    </row>
    <row r="944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87"/>
    </row>
    <row r="945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87"/>
    </row>
    <row r="946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87"/>
    </row>
    <row r="947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87"/>
    </row>
    <row r="948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87"/>
    </row>
    <row r="949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87"/>
    </row>
    <row r="950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87"/>
    </row>
    <row r="95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87"/>
    </row>
    <row r="95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87"/>
    </row>
    <row r="953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87"/>
    </row>
    <row r="954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87"/>
    </row>
    <row r="955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87"/>
    </row>
    <row r="956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87"/>
    </row>
    <row r="957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87"/>
    </row>
    <row r="958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87"/>
    </row>
    <row r="959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87"/>
    </row>
    <row r="960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87"/>
    </row>
    <row r="96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87"/>
    </row>
    <row r="96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87"/>
    </row>
    <row r="963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87"/>
    </row>
    <row r="964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87"/>
    </row>
    <row r="965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87"/>
    </row>
    <row r="966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87"/>
    </row>
    <row r="967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87"/>
    </row>
    <row r="968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87"/>
    </row>
    <row r="969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87"/>
    </row>
    <row r="9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87"/>
    </row>
    <row r="97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87"/>
    </row>
    <row r="97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87"/>
    </row>
    <row r="973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87"/>
    </row>
    <row r="974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87"/>
    </row>
    <row r="975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87"/>
    </row>
    <row r="976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87"/>
    </row>
    <row r="977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87"/>
    </row>
    <row r="978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87"/>
    </row>
    <row r="979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87"/>
    </row>
    <row r="98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87"/>
    </row>
    <row r="98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87"/>
    </row>
    <row r="98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87"/>
    </row>
    <row r="98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87"/>
    </row>
    <row r="984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87"/>
    </row>
    <row r="98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87"/>
    </row>
    <row r="986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87"/>
    </row>
    <row r="987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87"/>
    </row>
    <row r="988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87"/>
    </row>
    <row r="989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87"/>
    </row>
    <row r="990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87"/>
    </row>
    <row r="99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87"/>
    </row>
    <row r="99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87"/>
    </row>
    <row r="993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87"/>
    </row>
    <row r="994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87"/>
    </row>
    <row r="995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87"/>
    </row>
    <row r="996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87"/>
    </row>
    <row r="997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87"/>
    </row>
    <row r="998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87"/>
    </row>
    <row r="999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87"/>
    </row>
    <row r="1000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8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68" t="s">
        <v>1846</v>
      </c>
      <c r="D1" s="3"/>
      <c r="E1" s="3"/>
      <c r="F1" s="69"/>
    </row>
    <row r="2">
      <c r="D2" s="3"/>
      <c r="E2" s="3"/>
      <c r="F2" s="69"/>
    </row>
    <row r="3">
      <c r="D3" s="3"/>
      <c r="E3" s="3"/>
      <c r="F3" s="69"/>
    </row>
    <row r="4">
      <c r="D4" s="3"/>
      <c r="E4" s="3"/>
      <c r="F4" s="69"/>
    </row>
    <row r="5" ht="57.0" customHeight="1">
      <c r="D5" s="3"/>
      <c r="E5" s="3"/>
      <c r="F5" s="69"/>
    </row>
    <row r="6">
      <c r="A6" s="72" t="s">
        <v>5</v>
      </c>
      <c r="B6" s="72" t="s">
        <v>6</v>
      </c>
      <c r="C6" s="72" t="s">
        <v>7</v>
      </c>
      <c r="D6" s="96" t="s">
        <v>1847</v>
      </c>
      <c r="E6" s="97" t="s">
        <v>2</v>
      </c>
      <c r="F6" s="118" t="s">
        <v>3</v>
      </c>
      <c r="G6" s="70"/>
      <c r="H6" s="71"/>
      <c r="I6" s="71"/>
    </row>
    <row r="7">
      <c r="A7" s="119">
        <v>1.0</v>
      </c>
      <c r="B7" s="17" t="s">
        <v>373</v>
      </c>
      <c r="C7" s="17">
        <v>7.091332065E9</v>
      </c>
      <c r="D7" s="79" t="s">
        <v>9</v>
      </c>
      <c r="E7" s="80" t="s">
        <v>1623</v>
      </c>
      <c r="K7" s="83"/>
      <c r="N7" s="120"/>
      <c r="O7" s="3"/>
      <c r="P7" s="3"/>
      <c r="S7" s="3"/>
      <c r="U7" s="3"/>
      <c r="X7" s="3"/>
      <c r="Y7" s="3"/>
      <c r="Z7" s="3"/>
      <c r="AB7" s="121"/>
      <c r="AC7" s="24"/>
      <c r="AD7" s="24"/>
    </row>
    <row r="8">
      <c r="A8" s="119">
        <v>2.0</v>
      </c>
      <c r="B8" s="17" t="s">
        <v>613</v>
      </c>
      <c r="C8" s="17">
        <v>7.488751378E9</v>
      </c>
      <c r="D8" s="79" t="s">
        <v>9</v>
      </c>
      <c r="E8" s="80" t="s">
        <v>1623</v>
      </c>
      <c r="F8" s="39"/>
      <c r="I8" s="39"/>
      <c r="K8" s="83"/>
      <c r="L8" s="39"/>
      <c r="M8" s="39"/>
      <c r="N8" s="120"/>
      <c r="O8" s="64"/>
      <c r="P8" s="64"/>
      <c r="S8" s="64"/>
      <c r="T8" s="39"/>
      <c r="U8" s="64"/>
      <c r="W8" s="39"/>
      <c r="X8" s="64"/>
      <c r="Y8" s="64"/>
      <c r="Z8" s="64"/>
      <c r="AA8" s="39"/>
      <c r="AB8" s="33"/>
      <c r="AC8" s="24"/>
      <c r="AD8" s="24"/>
    </row>
    <row r="9">
      <c r="A9" s="119">
        <v>3.0</v>
      </c>
      <c r="B9" s="17" t="s">
        <v>173</v>
      </c>
      <c r="C9" s="17">
        <v>8.873613785E9</v>
      </c>
      <c r="D9" s="79" t="s">
        <v>9</v>
      </c>
      <c r="E9" s="80" t="s">
        <v>1623</v>
      </c>
      <c r="K9" s="83"/>
      <c r="N9" s="120"/>
      <c r="O9" s="3"/>
      <c r="P9" s="3"/>
      <c r="S9" s="3"/>
      <c r="U9" s="3"/>
      <c r="X9" s="3"/>
      <c r="Y9" s="64"/>
      <c r="Z9" s="3"/>
      <c r="AB9" s="121"/>
      <c r="AC9" s="24"/>
      <c r="AD9" s="24"/>
    </row>
    <row r="10">
      <c r="A10" s="119">
        <v>4.0</v>
      </c>
      <c r="B10" s="17" t="s">
        <v>619</v>
      </c>
      <c r="C10" s="17">
        <v>9.631229048E9</v>
      </c>
      <c r="D10" s="79" t="s">
        <v>27</v>
      </c>
      <c r="E10" s="80"/>
      <c r="F10" s="39"/>
      <c r="I10" s="39"/>
      <c r="K10" s="83"/>
      <c r="L10" s="39"/>
      <c r="M10" s="39"/>
      <c r="N10" s="120"/>
      <c r="O10" s="64"/>
      <c r="P10" s="3"/>
      <c r="S10" s="64"/>
      <c r="U10" s="64"/>
      <c r="V10" s="39"/>
      <c r="W10" s="39"/>
      <c r="X10" s="64"/>
      <c r="Y10" s="64"/>
      <c r="Z10" s="64"/>
      <c r="AA10" s="39"/>
      <c r="AB10" s="33"/>
      <c r="AC10" s="24"/>
      <c r="AD10" s="24"/>
    </row>
    <row r="11">
      <c r="A11" s="119">
        <v>5.0</v>
      </c>
      <c r="B11" s="17" t="s">
        <v>624</v>
      </c>
      <c r="C11" s="17">
        <v>7.033959812E9</v>
      </c>
      <c r="D11" s="79" t="s">
        <v>9</v>
      </c>
      <c r="E11" s="80" t="s">
        <v>1623</v>
      </c>
      <c r="F11" s="39"/>
      <c r="G11" s="39"/>
      <c r="H11" s="39"/>
      <c r="I11" s="39"/>
      <c r="J11" s="39"/>
      <c r="K11" s="83"/>
      <c r="L11" s="39"/>
      <c r="M11" s="39"/>
      <c r="N11" s="120"/>
      <c r="O11" s="64"/>
      <c r="P11" s="64"/>
      <c r="S11" s="64"/>
      <c r="U11" s="64"/>
      <c r="W11" s="39"/>
      <c r="X11" s="64"/>
      <c r="Y11" s="64"/>
      <c r="Z11" s="64"/>
      <c r="AA11" s="39"/>
      <c r="AB11" s="121"/>
      <c r="AC11" s="24"/>
      <c r="AD11" s="24"/>
    </row>
    <row r="12">
      <c r="A12" s="119">
        <v>6.0</v>
      </c>
      <c r="B12" s="17" t="s">
        <v>629</v>
      </c>
      <c r="C12" s="17">
        <v>8.757752901E9</v>
      </c>
      <c r="D12" s="79" t="s">
        <v>9</v>
      </c>
      <c r="E12" s="80" t="s">
        <v>1623</v>
      </c>
      <c r="F12" s="39"/>
      <c r="G12" s="39"/>
      <c r="H12" s="39"/>
      <c r="I12" s="39"/>
      <c r="J12" s="39"/>
      <c r="K12" s="83"/>
      <c r="L12" s="39"/>
      <c r="M12" s="39"/>
      <c r="N12" s="120"/>
      <c r="O12" s="64"/>
      <c r="P12" s="64"/>
      <c r="S12" s="64"/>
      <c r="U12" s="64"/>
      <c r="V12" s="39"/>
      <c r="W12" s="39"/>
      <c r="X12" s="64"/>
      <c r="Y12" s="64"/>
      <c r="Z12" s="64"/>
      <c r="AA12" s="39"/>
      <c r="AB12" s="33"/>
      <c r="AC12" s="24"/>
      <c r="AD12" s="24"/>
    </row>
    <row r="13">
      <c r="A13" s="119">
        <v>7.0</v>
      </c>
      <c r="B13" s="17" t="s">
        <v>631</v>
      </c>
      <c r="C13" s="17">
        <v>7.484042954E9</v>
      </c>
      <c r="D13" s="79" t="s">
        <v>9</v>
      </c>
      <c r="E13" s="80" t="s">
        <v>1623</v>
      </c>
      <c r="F13" s="39"/>
      <c r="G13" s="39"/>
      <c r="H13" s="39"/>
      <c r="I13" s="39"/>
      <c r="J13" s="39"/>
      <c r="K13" s="83"/>
      <c r="L13" s="39"/>
      <c r="M13" s="39"/>
      <c r="N13" s="120"/>
      <c r="O13" s="64"/>
      <c r="P13" s="64"/>
      <c r="S13" s="64"/>
      <c r="U13" s="64"/>
      <c r="V13" s="39"/>
      <c r="W13" s="39"/>
      <c r="X13" s="64"/>
      <c r="Y13" s="64"/>
      <c r="Z13" s="64"/>
      <c r="AA13" s="39"/>
      <c r="AB13" s="121"/>
      <c r="AC13" s="24"/>
      <c r="AD13" s="24"/>
    </row>
    <row r="14">
      <c r="A14" s="119">
        <v>8.0</v>
      </c>
      <c r="B14" s="17" t="s">
        <v>634</v>
      </c>
      <c r="C14" s="17">
        <v>9.835600213E9</v>
      </c>
      <c r="D14" s="79" t="s">
        <v>9</v>
      </c>
      <c r="E14" s="80" t="s">
        <v>1623</v>
      </c>
      <c r="F14" s="39"/>
      <c r="G14" s="39"/>
      <c r="H14" s="39"/>
      <c r="I14" s="39"/>
      <c r="J14" s="39"/>
      <c r="K14" s="83"/>
      <c r="L14" s="39"/>
      <c r="M14" s="39"/>
      <c r="N14" s="120"/>
      <c r="O14" s="64"/>
      <c r="P14" s="64"/>
      <c r="S14" s="64"/>
      <c r="U14" s="64"/>
      <c r="W14" s="39"/>
      <c r="X14" s="64"/>
      <c r="Y14" s="64"/>
      <c r="Z14" s="64"/>
      <c r="AA14" s="39"/>
      <c r="AB14" s="121"/>
      <c r="AC14" s="24"/>
      <c r="AD14" s="24"/>
    </row>
    <row r="15">
      <c r="A15" s="119">
        <v>9.0</v>
      </c>
      <c r="B15" s="17" t="s">
        <v>635</v>
      </c>
      <c r="C15" s="17">
        <v>9.504143372E9</v>
      </c>
      <c r="D15" s="79" t="s">
        <v>9</v>
      </c>
      <c r="E15" s="80" t="s">
        <v>1623</v>
      </c>
      <c r="F15" s="39"/>
      <c r="I15" s="39"/>
      <c r="K15" s="83"/>
      <c r="L15" s="39"/>
      <c r="M15" s="39"/>
      <c r="N15" s="120"/>
      <c r="O15" s="64"/>
      <c r="P15" s="64"/>
      <c r="S15" s="64"/>
      <c r="T15" s="39"/>
      <c r="U15" s="64"/>
      <c r="V15" s="39"/>
      <c r="W15" s="39"/>
      <c r="X15" s="64"/>
      <c r="Y15" s="64"/>
      <c r="Z15" s="64"/>
      <c r="AA15" s="39"/>
      <c r="AB15" s="33"/>
      <c r="AC15" s="24"/>
      <c r="AD15" s="24"/>
    </row>
    <row r="16">
      <c r="A16" s="119">
        <v>10.0</v>
      </c>
      <c r="B16" s="17" t="s">
        <v>643</v>
      </c>
      <c r="C16" s="17">
        <v>6.206365883E9</v>
      </c>
      <c r="D16" s="79" t="s">
        <v>27</v>
      </c>
      <c r="E16" s="80"/>
      <c r="F16" s="39"/>
      <c r="G16" s="39"/>
      <c r="H16" s="39"/>
      <c r="I16" s="39"/>
      <c r="J16" s="39"/>
      <c r="K16" s="83"/>
      <c r="L16" s="39"/>
      <c r="M16" s="39"/>
      <c r="N16" s="120"/>
      <c r="O16" s="64"/>
      <c r="P16" s="64"/>
      <c r="Q16" s="39"/>
      <c r="R16" s="39"/>
      <c r="S16" s="64"/>
      <c r="T16" s="39"/>
      <c r="U16" s="64"/>
      <c r="W16" s="39"/>
      <c r="X16" s="64"/>
      <c r="Y16" s="64"/>
      <c r="Z16" s="64"/>
      <c r="AA16" s="39"/>
      <c r="AB16" s="121"/>
      <c r="AC16" s="24"/>
      <c r="AD16" s="24"/>
    </row>
    <row r="17">
      <c r="A17" s="119">
        <v>11.0</v>
      </c>
      <c r="B17" s="17" t="s">
        <v>58</v>
      </c>
      <c r="C17" s="17">
        <v>9.508083254E9</v>
      </c>
      <c r="D17" s="79" t="s">
        <v>9</v>
      </c>
      <c r="E17" s="80" t="s">
        <v>1623</v>
      </c>
      <c r="K17" s="83"/>
      <c r="N17" s="120"/>
      <c r="O17" s="3"/>
      <c r="P17" s="3"/>
      <c r="S17" s="3"/>
      <c r="U17" s="3"/>
      <c r="X17" s="3"/>
      <c r="Y17" s="3"/>
      <c r="Z17" s="3"/>
      <c r="AB17" s="121"/>
      <c r="AC17" s="24"/>
      <c r="AD17" s="24"/>
    </row>
    <row r="18">
      <c r="A18" s="119">
        <v>12.0</v>
      </c>
      <c r="B18" s="17" t="s">
        <v>649</v>
      </c>
      <c r="C18" s="17">
        <v>8.002066561E9</v>
      </c>
      <c r="D18" s="79" t="s">
        <v>9</v>
      </c>
      <c r="E18" s="80" t="s">
        <v>1623</v>
      </c>
      <c r="F18" s="39"/>
      <c r="I18" s="39"/>
      <c r="K18" s="83"/>
      <c r="L18" s="39"/>
      <c r="M18" s="39"/>
      <c r="N18" s="120"/>
      <c r="O18" s="64"/>
      <c r="P18" s="64"/>
      <c r="Q18" s="39"/>
      <c r="S18" s="64"/>
      <c r="T18" s="39"/>
      <c r="U18" s="64"/>
      <c r="W18" s="39"/>
      <c r="X18" s="64"/>
      <c r="Y18" s="64"/>
      <c r="Z18" s="64"/>
      <c r="AA18" s="39"/>
      <c r="AB18" s="33"/>
      <c r="AC18" s="24"/>
      <c r="AD18" s="24"/>
    </row>
    <row r="19">
      <c r="A19" s="119">
        <v>13.0</v>
      </c>
      <c r="B19" s="17" t="s">
        <v>650</v>
      </c>
      <c r="C19" s="17">
        <v>6.204318716E9</v>
      </c>
      <c r="D19" s="79" t="s">
        <v>9</v>
      </c>
      <c r="E19" s="80" t="s">
        <v>1623</v>
      </c>
      <c r="K19" s="83"/>
      <c r="N19" s="120"/>
      <c r="O19" s="3"/>
      <c r="P19" s="3"/>
      <c r="S19" s="3"/>
      <c r="U19" s="3"/>
      <c r="X19" s="3"/>
      <c r="Y19" s="3"/>
      <c r="Z19" s="3"/>
      <c r="AB19" s="121"/>
      <c r="AC19" s="24"/>
      <c r="AD19" s="24"/>
    </row>
    <row r="20">
      <c r="A20" s="119">
        <v>14.0</v>
      </c>
      <c r="B20" s="17" t="s">
        <v>654</v>
      </c>
      <c r="C20" s="17">
        <v>8.294945134E9</v>
      </c>
      <c r="D20" s="79" t="s">
        <v>9</v>
      </c>
      <c r="E20" s="80" t="s">
        <v>1623</v>
      </c>
      <c r="K20" s="83"/>
      <c r="N20" s="120"/>
      <c r="O20" s="3"/>
      <c r="P20" s="3"/>
      <c r="S20" s="3"/>
      <c r="U20" s="3"/>
      <c r="X20" s="3"/>
      <c r="Y20" s="3"/>
      <c r="Z20" s="3"/>
      <c r="AB20" s="121"/>
      <c r="AC20" s="24"/>
      <c r="AD20" s="24"/>
    </row>
    <row r="21">
      <c r="A21" s="119">
        <v>15.0</v>
      </c>
      <c r="B21" s="17" t="s">
        <v>657</v>
      </c>
      <c r="C21" s="17">
        <v>9.771000297E9</v>
      </c>
      <c r="D21" s="79" t="s">
        <v>9</v>
      </c>
      <c r="E21" s="80" t="s">
        <v>1623</v>
      </c>
      <c r="F21" s="39"/>
      <c r="I21" s="39"/>
      <c r="K21" s="83"/>
      <c r="L21" s="39"/>
      <c r="M21" s="39"/>
      <c r="N21" s="120"/>
      <c r="O21" s="64"/>
      <c r="P21" s="64"/>
      <c r="Q21" s="39"/>
      <c r="S21" s="64"/>
      <c r="T21" s="39"/>
      <c r="U21" s="64"/>
      <c r="V21" s="39"/>
      <c r="W21" s="39"/>
      <c r="X21" s="64"/>
      <c r="Y21" s="64"/>
      <c r="Z21" s="64"/>
      <c r="AA21" s="39"/>
      <c r="AB21" s="33"/>
      <c r="AC21" s="24"/>
      <c r="AD21" s="24"/>
    </row>
    <row r="22">
      <c r="A22" s="119">
        <v>16.0</v>
      </c>
      <c r="B22" s="41" t="s">
        <v>662</v>
      </c>
      <c r="C22" s="41">
        <v>8.294946091E9</v>
      </c>
      <c r="D22" s="79" t="s">
        <v>9</v>
      </c>
      <c r="E22" s="80" t="s">
        <v>1623</v>
      </c>
      <c r="K22" s="83"/>
      <c r="N22" s="120"/>
      <c r="O22" s="3"/>
      <c r="P22" s="3"/>
      <c r="S22" s="3"/>
      <c r="U22" s="3"/>
      <c r="X22" s="3"/>
      <c r="Y22" s="3"/>
      <c r="Z22" s="3"/>
      <c r="AA22" s="39"/>
      <c r="AB22" s="121"/>
      <c r="AC22" s="24"/>
      <c r="AD22" s="24"/>
    </row>
    <row r="23">
      <c r="A23" s="119">
        <v>17.0</v>
      </c>
      <c r="B23" s="47" t="s">
        <v>665</v>
      </c>
      <c r="C23" s="47">
        <v>9.534652604E9</v>
      </c>
      <c r="D23" s="79" t="s">
        <v>9</v>
      </c>
      <c r="E23" s="80" t="s">
        <v>1623</v>
      </c>
      <c r="K23" s="83"/>
      <c r="N23" s="120"/>
      <c r="O23" s="3"/>
      <c r="P23" s="3"/>
      <c r="S23" s="3"/>
      <c r="U23" s="3"/>
      <c r="X23" s="3"/>
      <c r="Y23" s="3"/>
      <c r="Z23" s="3"/>
      <c r="AB23" s="121"/>
      <c r="AC23" s="24"/>
      <c r="AD23" s="24"/>
    </row>
    <row r="24">
      <c r="A24" s="119">
        <v>18.0</v>
      </c>
      <c r="B24" s="17" t="s">
        <v>667</v>
      </c>
      <c r="C24" s="17">
        <v>9.102776486E9</v>
      </c>
      <c r="D24" s="79" t="s">
        <v>9</v>
      </c>
      <c r="E24" s="80" t="s">
        <v>1623</v>
      </c>
      <c r="F24" s="39"/>
      <c r="G24" s="39"/>
      <c r="H24" s="39"/>
      <c r="I24" s="39"/>
      <c r="J24" s="39"/>
      <c r="K24" s="83"/>
      <c r="L24" s="39"/>
      <c r="M24" s="39"/>
      <c r="N24" s="120"/>
      <c r="O24" s="64"/>
      <c r="P24" s="3"/>
      <c r="S24" s="64"/>
      <c r="U24" s="64"/>
      <c r="W24" s="39"/>
      <c r="X24" s="64"/>
      <c r="Y24" s="64"/>
      <c r="Z24" s="64"/>
      <c r="AA24" s="39"/>
      <c r="AB24" s="121"/>
      <c r="AC24" s="24"/>
      <c r="AD24" s="24"/>
    </row>
    <row r="25">
      <c r="A25" s="119">
        <v>19.0</v>
      </c>
      <c r="B25" s="17" t="s">
        <v>24</v>
      </c>
      <c r="C25" s="17">
        <v>7.06199243E9</v>
      </c>
      <c r="D25" s="79" t="s">
        <v>9</v>
      </c>
      <c r="E25" s="80" t="s">
        <v>1623</v>
      </c>
      <c r="K25" s="34"/>
      <c r="N25" s="34"/>
      <c r="AB25" s="33"/>
      <c r="AC25" s="24"/>
      <c r="AD25" s="24"/>
    </row>
    <row r="26">
      <c r="A26" s="119">
        <v>20.0</v>
      </c>
      <c r="B26" s="17" t="s">
        <v>653</v>
      </c>
      <c r="C26" s="17">
        <v>8.310324048E9</v>
      </c>
      <c r="D26" s="79" t="s">
        <v>9</v>
      </c>
      <c r="E26" s="80" t="s">
        <v>1623</v>
      </c>
      <c r="F26" s="39"/>
      <c r="I26" s="39"/>
      <c r="K26" s="83"/>
      <c r="L26" s="39"/>
      <c r="M26" s="39"/>
      <c r="N26" s="120"/>
      <c r="O26" s="64"/>
      <c r="P26" s="64"/>
      <c r="S26" s="64"/>
      <c r="U26" s="64"/>
      <c r="W26" s="39"/>
      <c r="X26" s="64"/>
      <c r="Y26" s="64"/>
      <c r="Z26" s="64"/>
      <c r="AA26" s="39"/>
      <c r="AB26" s="33"/>
      <c r="AC26" s="24"/>
      <c r="AD26" s="24"/>
    </row>
    <row r="27">
      <c r="A27" s="119">
        <v>21.0</v>
      </c>
      <c r="B27" s="17" t="s">
        <v>671</v>
      </c>
      <c r="C27" s="17">
        <v>7.257812106E9</v>
      </c>
      <c r="D27" s="79" t="s">
        <v>9</v>
      </c>
      <c r="E27" s="80" t="s">
        <v>1623</v>
      </c>
      <c r="F27" s="39"/>
      <c r="I27" s="39"/>
      <c r="K27" s="83"/>
      <c r="L27" s="39"/>
      <c r="M27" s="39"/>
      <c r="N27" s="120"/>
      <c r="O27" s="64"/>
      <c r="P27" s="64"/>
      <c r="S27" s="64"/>
      <c r="T27" s="39"/>
      <c r="U27" s="64"/>
      <c r="V27" s="39"/>
      <c r="W27" s="39"/>
      <c r="X27" s="64"/>
      <c r="Y27" s="64"/>
      <c r="Z27" s="64"/>
      <c r="AA27" s="39"/>
      <c r="AB27" s="33"/>
      <c r="AC27" s="24"/>
      <c r="AD27" s="24"/>
    </row>
    <row r="28">
      <c r="A28" s="119">
        <v>22.0</v>
      </c>
      <c r="B28" s="17" t="s">
        <v>276</v>
      </c>
      <c r="C28" s="17">
        <v>7.762887398E9</v>
      </c>
      <c r="D28" s="79" t="s">
        <v>23</v>
      </c>
      <c r="E28" s="80"/>
      <c r="F28" s="39"/>
      <c r="I28" s="39"/>
      <c r="K28" s="83"/>
      <c r="L28" s="39"/>
      <c r="M28" s="39"/>
      <c r="N28" s="120"/>
      <c r="O28" s="3"/>
      <c r="P28" s="64"/>
      <c r="S28" s="64"/>
      <c r="U28" s="64"/>
      <c r="W28" s="39"/>
      <c r="X28" s="64"/>
      <c r="Y28" s="64"/>
      <c r="Z28" s="64"/>
      <c r="AA28" s="39"/>
      <c r="AB28" s="33"/>
      <c r="AC28" s="24"/>
      <c r="AD28" s="24"/>
    </row>
    <row r="29">
      <c r="A29" s="119">
        <v>23.0</v>
      </c>
      <c r="B29" s="17" t="s">
        <v>674</v>
      </c>
      <c r="C29" s="17">
        <v>8.298775638E9</v>
      </c>
      <c r="D29" s="79" t="s">
        <v>23</v>
      </c>
      <c r="E29" s="80"/>
      <c r="F29" s="39"/>
      <c r="G29" s="39"/>
      <c r="H29" s="39"/>
      <c r="I29" s="39"/>
      <c r="J29" s="39"/>
      <c r="K29" s="83"/>
      <c r="L29" s="39"/>
      <c r="M29" s="39"/>
      <c r="N29" s="120"/>
      <c r="O29" s="64"/>
      <c r="P29" s="64"/>
      <c r="Q29" s="39"/>
      <c r="R29" s="39"/>
      <c r="S29" s="64"/>
      <c r="U29" s="64"/>
      <c r="W29" s="39"/>
      <c r="X29" s="64"/>
      <c r="Y29" s="64"/>
      <c r="Z29" s="64"/>
      <c r="AA29" s="39"/>
      <c r="AB29" s="121"/>
      <c r="AC29" s="24"/>
      <c r="AD29" s="24"/>
    </row>
    <row r="30">
      <c r="A30" s="119">
        <v>24.0</v>
      </c>
      <c r="B30" s="17" t="s">
        <v>677</v>
      </c>
      <c r="C30" s="17">
        <v>6.203893706E9</v>
      </c>
      <c r="D30" s="79" t="s">
        <v>9</v>
      </c>
      <c r="E30" s="80" t="s">
        <v>1623</v>
      </c>
      <c r="F30" s="39"/>
      <c r="K30" s="83"/>
      <c r="N30" s="120"/>
      <c r="O30" s="3"/>
      <c r="P30" s="3"/>
      <c r="S30" s="3"/>
      <c r="U30" s="3"/>
      <c r="X30" s="3"/>
      <c r="Y30" s="3"/>
      <c r="Z30" s="3"/>
      <c r="AB30" s="33"/>
      <c r="AC30" s="24"/>
      <c r="AD30" s="24"/>
    </row>
    <row r="31">
      <c r="A31" s="119">
        <v>25.0</v>
      </c>
      <c r="B31" s="17" t="s">
        <v>53</v>
      </c>
      <c r="C31" s="17">
        <v>9.065585658E9</v>
      </c>
      <c r="D31" s="79" t="s">
        <v>9</v>
      </c>
      <c r="E31" s="80" t="s">
        <v>1623</v>
      </c>
      <c r="F31" s="39"/>
      <c r="I31" s="39"/>
      <c r="K31" s="83"/>
      <c r="L31" s="39"/>
      <c r="M31" s="39"/>
      <c r="N31" s="120"/>
      <c r="O31" s="64"/>
      <c r="P31" s="64"/>
      <c r="Q31" s="39"/>
      <c r="S31" s="64"/>
      <c r="T31" s="39"/>
      <c r="U31" s="64"/>
      <c r="V31" s="39"/>
      <c r="W31" s="39"/>
      <c r="X31" s="64"/>
      <c r="Y31" s="64"/>
      <c r="Z31" s="64"/>
      <c r="AA31" s="39"/>
      <c r="AB31" s="33"/>
      <c r="AC31" s="24"/>
      <c r="AD31" s="24"/>
    </row>
    <row r="32">
      <c r="A32" s="122"/>
      <c r="B32" s="121"/>
      <c r="C32" s="121"/>
      <c r="E32" s="3"/>
      <c r="K32" s="83"/>
      <c r="N32" s="120"/>
      <c r="O32" s="3"/>
      <c r="P32" s="3"/>
      <c r="S32" s="3"/>
      <c r="U32" s="3"/>
      <c r="X32" s="3"/>
      <c r="Y32" s="3"/>
      <c r="Z32" s="3"/>
      <c r="AB32" s="121"/>
      <c r="AC32" s="24"/>
      <c r="AD32" s="24"/>
    </row>
    <row r="33">
      <c r="A33" s="122"/>
      <c r="B33" s="121"/>
      <c r="C33" s="121"/>
      <c r="D33" s="39"/>
      <c r="E33" s="3"/>
      <c r="F33" s="39"/>
      <c r="I33" s="39"/>
      <c r="K33" s="83"/>
      <c r="L33" s="39"/>
      <c r="M33" s="39"/>
      <c r="N33" s="120"/>
      <c r="O33" s="64"/>
      <c r="P33" s="64"/>
      <c r="Q33" s="39"/>
      <c r="S33" s="64"/>
      <c r="T33" s="39"/>
      <c r="U33" s="64"/>
      <c r="W33" s="39"/>
      <c r="X33" s="64"/>
      <c r="Y33" s="64"/>
      <c r="Z33" s="64"/>
      <c r="AA33" s="39"/>
      <c r="AB33" s="33"/>
      <c r="AC33" s="24"/>
      <c r="AD33" s="24"/>
    </row>
    <row r="34">
      <c r="A34" s="119"/>
      <c r="B34" s="17" t="s">
        <v>58</v>
      </c>
      <c r="C34" s="17">
        <v>7.543966608E9</v>
      </c>
      <c r="E34" s="3"/>
      <c r="K34" s="83"/>
      <c r="N34" s="120"/>
      <c r="O34" s="3"/>
      <c r="P34" s="3"/>
      <c r="S34" s="3"/>
      <c r="U34" s="3"/>
      <c r="X34" s="3"/>
      <c r="Y34" s="3"/>
      <c r="Z34" s="3"/>
      <c r="AB34" s="121"/>
      <c r="AC34" s="24"/>
      <c r="AD34" s="24"/>
    </row>
    <row r="35">
      <c r="A35" s="119"/>
      <c r="B35" s="17" t="s">
        <v>49</v>
      </c>
      <c r="C35" s="17">
        <v>8.340511206E9</v>
      </c>
      <c r="E35" s="3"/>
      <c r="K35" s="83"/>
      <c r="N35" s="120"/>
      <c r="O35" s="3"/>
      <c r="P35" s="3"/>
      <c r="S35" s="3"/>
      <c r="U35" s="3"/>
      <c r="X35" s="3"/>
      <c r="Y35" s="3"/>
      <c r="Z35" s="3"/>
      <c r="AB35" s="121"/>
      <c r="AC35" s="24"/>
      <c r="AD35" s="24"/>
    </row>
    <row r="36">
      <c r="A36" s="119"/>
      <c r="B36" s="17" t="s">
        <v>653</v>
      </c>
      <c r="C36" s="17">
        <v>8.79756424E9</v>
      </c>
      <c r="E36" s="3"/>
      <c r="K36" s="83"/>
      <c r="N36" s="120"/>
      <c r="O36" s="3"/>
      <c r="P36" s="3"/>
      <c r="S36" s="3"/>
      <c r="U36" s="3"/>
      <c r="X36" s="3"/>
      <c r="Y36" s="3"/>
      <c r="Z36" s="3"/>
      <c r="AB36" s="33"/>
      <c r="AC36" s="24"/>
      <c r="AD36" s="24"/>
    </row>
    <row r="37">
      <c r="A37" s="119"/>
      <c r="B37" s="17" t="s">
        <v>655</v>
      </c>
      <c r="C37" s="17">
        <v>8.80419021E9</v>
      </c>
      <c r="D37" s="39"/>
      <c r="E37" s="64"/>
      <c r="F37" s="39"/>
      <c r="I37" s="39"/>
      <c r="K37" s="83"/>
      <c r="L37" s="39"/>
      <c r="M37" s="39"/>
      <c r="N37" s="120"/>
      <c r="O37" s="64"/>
      <c r="P37" s="64"/>
      <c r="S37" s="64"/>
      <c r="T37" s="39"/>
      <c r="U37" s="64"/>
      <c r="X37" s="3"/>
      <c r="Y37" s="3"/>
      <c r="Z37" s="3"/>
      <c r="AB37" s="33"/>
      <c r="AC37" s="24"/>
      <c r="AD37" s="24"/>
    </row>
    <row r="38">
      <c r="A38" s="119"/>
      <c r="B38" s="17" t="s">
        <v>656</v>
      </c>
      <c r="C38" s="17">
        <v>9.199540939E9</v>
      </c>
      <c r="D38" s="39"/>
      <c r="E38" s="64"/>
      <c r="F38" s="39"/>
      <c r="I38" s="39"/>
      <c r="K38" s="83"/>
      <c r="L38" s="39"/>
      <c r="M38" s="39"/>
      <c r="N38" s="120"/>
      <c r="O38" s="64"/>
      <c r="P38" s="64"/>
      <c r="S38" s="64"/>
      <c r="T38" s="39"/>
      <c r="U38" s="3"/>
      <c r="V38" s="39"/>
      <c r="W38" s="39"/>
      <c r="X38" s="64"/>
      <c r="Y38" s="64"/>
      <c r="Z38" s="64"/>
      <c r="AA38" s="39"/>
      <c r="AB38" s="33"/>
      <c r="AC38" s="24"/>
      <c r="AD38" s="24"/>
    </row>
    <row r="39">
      <c r="A39" s="119"/>
      <c r="B39" s="17" t="s">
        <v>661</v>
      </c>
      <c r="C39" s="17">
        <v>6.207930631E9</v>
      </c>
      <c r="E39" s="3"/>
      <c r="K39" s="83"/>
      <c r="N39" s="120"/>
      <c r="O39" s="3"/>
      <c r="P39" s="3"/>
      <c r="S39" s="3"/>
      <c r="U39" s="3"/>
      <c r="X39" s="3"/>
      <c r="Y39" s="3"/>
      <c r="Z39" s="3"/>
      <c r="AB39" s="33"/>
      <c r="AC39" s="24"/>
      <c r="AD39" s="24"/>
    </row>
    <row r="40">
      <c r="A40" s="119"/>
      <c r="B40" s="17" t="s">
        <v>629</v>
      </c>
      <c r="C40" s="17">
        <v>6.207930631E9</v>
      </c>
      <c r="D40" s="39"/>
      <c r="E40" s="64"/>
      <c r="F40" s="39"/>
      <c r="G40" s="39"/>
      <c r="H40" s="39"/>
      <c r="I40" s="39"/>
      <c r="J40" s="39"/>
      <c r="K40" s="83"/>
      <c r="L40" s="39"/>
      <c r="M40" s="39"/>
      <c r="N40" s="120"/>
      <c r="O40" s="64"/>
      <c r="P40" s="64"/>
      <c r="S40" s="64"/>
      <c r="U40" s="64"/>
      <c r="W40" s="39"/>
      <c r="X40" s="64"/>
      <c r="Y40" s="64"/>
      <c r="Z40" s="64"/>
      <c r="AA40" s="39"/>
      <c r="AB40" s="121"/>
      <c r="AC40" s="24"/>
      <c r="AD40" s="24"/>
    </row>
    <row r="41">
      <c r="A41" s="119"/>
      <c r="B41" s="123" t="s">
        <v>575</v>
      </c>
      <c r="C41" s="124"/>
      <c r="D41" s="39"/>
      <c r="E41" s="3"/>
      <c r="F41" s="39"/>
      <c r="I41" s="39"/>
      <c r="K41" s="83"/>
      <c r="L41" s="39"/>
      <c r="M41" s="39"/>
      <c r="N41" s="120"/>
      <c r="O41" s="3"/>
      <c r="P41" s="3"/>
      <c r="S41" s="3"/>
      <c r="U41" s="3"/>
      <c r="X41" s="3"/>
      <c r="Y41" s="3"/>
      <c r="Z41" s="3"/>
      <c r="AB41" s="33"/>
      <c r="AC41" s="24"/>
      <c r="AD41" s="24"/>
    </row>
    <row r="42">
      <c r="A42" s="119"/>
      <c r="B42" s="125"/>
      <c r="C42" s="126"/>
      <c r="E42" s="3"/>
      <c r="K42" s="83"/>
      <c r="N42" s="120"/>
      <c r="O42" s="3"/>
      <c r="P42" s="3"/>
      <c r="S42" s="3"/>
      <c r="U42" s="3"/>
      <c r="X42" s="3"/>
      <c r="Y42" s="3"/>
      <c r="Z42" s="3"/>
      <c r="AB42" s="33"/>
      <c r="AC42" s="24"/>
      <c r="AD42" s="24"/>
    </row>
    <row r="43">
      <c r="A43" s="119"/>
      <c r="B43" s="17" t="s">
        <v>670</v>
      </c>
      <c r="C43" s="17">
        <v>7.654158771E9</v>
      </c>
      <c r="E43" s="3"/>
      <c r="K43" s="83"/>
      <c r="N43" s="120"/>
      <c r="O43" s="3"/>
      <c r="P43" s="3"/>
      <c r="S43" s="3"/>
      <c r="U43" s="3"/>
      <c r="X43" s="3"/>
      <c r="Y43" s="3"/>
      <c r="Z43" s="3"/>
      <c r="AB43" s="121"/>
      <c r="AC43" s="24"/>
      <c r="AD43" s="24"/>
    </row>
    <row r="44">
      <c r="A44" s="119"/>
      <c r="B44" s="17" t="s">
        <v>239</v>
      </c>
      <c r="C44" s="17">
        <v>9.065589656E9</v>
      </c>
    </row>
    <row r="45">
      <c r="A45" s="119"/>
      <c r="B45" s="17" t="s">
        <v>673</v>
      </c>
      <c r="C45" s="17">
        <v>8.905077729E9</v>
      </c>
    </row>
    <row r="46">
      <c r="A46" s="119"/>
      <c r="B46" s="17" t="s">
        <v>276</v>
      </c>
      <c r="C46" s="17">
        <v>9.525781036E9</v>
      </c>
    </row>
    <row r="47">
      <c r="A47" s="119"/>
      <c r="B47" s="17" t="s">
        <v>670</v>
      </c>
      <c r="C47" s="17">
        <v>8.873195113E9</v>
      </c>
    </row>
    <row r="48">
      <c r="A48" s="119"/>
      <c r="B48" s="17" t="s">
        <v>679</v>
      </c>
      <c r="C48" s="17">
        <v>9.973524417E9</v>
      </c>
    </row>
    <row r="49">
      <c r="A49" s="119"/>
      <c r="B49" s="17" t="s">
        <v>680</v>
      </c>
      <c r="C49" s="17">
        <v>7.782069133E9</v>
      </c>
    </row>
    <row r="50">
      <c r="A50" s="119"/>
      <c r="B50" s="17" t="s">
        <v>681</v>
      </c>
      <c r="C50" s="17">
        <v>9955.0</v>
      </c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28.5" customHeight="1">
      <c r="A51" s="119"/>
      <c r="B51" s="17" t="s">
        <v>284</v>
      </c>
      <c r="C51" s="17">
        <v>7.939896002E9</v>
      </c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</row>
    <row r="53" ht="84.75" customHeight="1">
      <c r="A53" s="10" t="s">
        <v>339</v>
      </c>
      <c r="B53" s="11" t="s">
        <v>340</v>
      </c>
      <c r="C53" s="12" t="s">
        <v>341</v>
      </c>
      <c r="D53" s="11" t="s">
        <v>342</v>
      </c>
      <c r="E53" s="11" t="s">
        <v>343</v>
      </c>
      <c r="F53" s="11" t="s">
        <v>344</v>
      </c>
      <c r="G53" s="11" t="s">
        <v>345</v>
      </c>
      <c r="H53" s="11" t="s">
        <v>346</v>
      </c>
      <c r="I53" s="11" t="s">
        <v>347</v>
      </c>
      <c r="J53" s="12" t="s">
        <v>348</v>
      </c>
      <c r="K53" s="12" t="s">
        <v>349</v>
      </c>
      <c r="L53" s="11" t="s">
        <v>350</v>
      </c>
      <c r="M53" s="11" t="s">
        <v>351</v>
      </c>
      <c r="N53" s="11" t="s">
        <v>1</v>
      </c>
      <c r="O53" s="11" t="s">
        <v>352</v>
      </c>
      <c r="P53" s="11" t="s">
        <v>353</v>
      </c>
      <c r="Q53" s="11" t="s">
        <v>354</v>
      </c>
      <c r="R53" s="11" t="s">
        <v>355</v>
      </c>
      <c r="S53" s="11" t="s">
        <v>356</v>
      </c>
      <c r="T53" s="11" t="s">
        <v>357</v>
      </c>
      <c r="U53" s="11" t="s">
        <v>358</v>
      </c>
      <c r="V53" s="11" t="s">
        <v>359</v>
      </c>
      <c r="W53" s="11" t="s">
        <v>360</v>
      </c>
      <c r="X53" s="11" t="s">
        <v>361</v>
      </c>
      <c r="Y53" s="11" t="s">
        <v>362</v>
      </c>
      <c r="Z53" s="11" t="s">
        <v>363</v>
      </c>
      <c r="AA53" s="13" t="s">
        <v>364</v>
      </c>
      <c r="AB53" s="14" t="s">
        <v>3</v>
      </c>
      <c r="AC53" s="15"/>
      <c r="AD53" s="15"/>
    </row>
    <row r="54">
      <c r="A54" s="40" t="s">
        <v>606</v>
      </c>
      <c r="B54" s="17" t="s">
        <v>373</v>
      </c>
      <c r="C54" s="17">
        <v>7.091332065E9</v>
      </c>
      <c r="D54" s="26">
        <v>31.0</v>
      </c>
      <c r="E54" s="20" t="s">
        <v>367</v>
      </c>
      <c r="F54" s="26" t="s">
        <v>429</v>
      </c>
      <c r="G54" s="19"/>
      <c r="H54" s="26"/>
      <c r="I54" s="26" t="s">
        <v>607</v>
      </c>
      <c r="J54" s="19"/>
      <c r="K54" s="18" t="s">
        <v>608</v>
      </c>
      <c r="L54" s="26" t="s">
        <v>609</v>
      </c>
      <c r="M54" s="26" t="s">
        <v>610</v>
      </c>
      <c r="N54" s="21" t="s">
        <v>9</v>
      </c>
      <c r="O54" s="20" t="s">
        <v>4</v>
      </c>
      <c r="P54" s="20" t="s">
        <v>4</v>
      </c>
      <c r="Q54" s="19"/>
      <c r="R54" s="19"/>
      <c r="S54" s="20" t="s">
        <v>4</v>
      </c>
      <c r="T54" s="26" t="s">
        <v>611</v>
      </c>
      <c r="U54" s="20" t="s">
        <v>4</v>
      </c>
      <c r="V54" s="26"/>
      <c r="W54" s="26" t="s">
        <v>612</v>
      </c>
      <c r="X54" s="20" t="s">
        <v>4</v>
      </c>
      <c r="Y54" s="20" t="s">
        <v>4</v>
      </c>
      <c r="Z54" s="20" t="s">
        <v>4</v>
      </c>
      <c r="AA54" s="26" t="s">
        <v>391</v>
      </c>
      <c r="AB54" s="28"/>
      <c r="AC54" s="24"/>
      <c r="AD54" s="24"/>
    </row>
    <row r="55">
      <c r="A55" s="25"/>
      <c r="B55" s="17" t="s">
        <v>613</v>
      </c>
      <c r="C55" s="17">
        <v>7.488751378E9</v>
      </c>
      <c r="D55" s="26">
        <v>31.0</v>
      </c>
      <c r="E55" s="20" t="s">
        <v>367</v>
      </c>
      <c r="F55" s="26" t="s">
        <v>441</v>
      </c>
      <c r="G55" s="26" t="s">
        <v>375</v>
      </c>
      <c r="H55" s="26" t="s">
        <v>383</v>
      </c>
      <c r="I55" s="26" t="s">
        <v>377</v>
      </c>
      <c r="J55" s="26" t="s">
        <v>614</v>
      </c>
      <c r="K55" s="18" t="s">
        <v>608</v>
      </c>
      <c r="L55" s="26" t="s">
        <v>614</v>
      </c>
      <c r="M55" s="26" t="s">
        <v>615</v>
      </c>
      <c r="N55" s="21" t="s">
        <v>9</v>
      </c>
      <c r="O55" s="20" t="s">
        <v>4</v>
      </c>
      <c r="P55" s="20" t="s">
        <v>4</v>
      </c>
      <c r="Q55" s="19"/>
      <c r="R55" s="19"/>
      <c r="S55" s="20" t="s">
        <v>4</v>
      </c>
      <c r="T55" s="19"/>
      <c r="U55" s="20" t="s">
        <v>4</v>
      </c>
      <c r="V55" s="26"/>
      <c r="W55" s="26" t="s">
        <v>616</v>
      </c>
      <c r="X55" s="20" t="s">
        <v>4</v>
      </c>
      <c r="Y55" s="20" t="s">
        <v>4</v>
      </c>
      <c r="Z55" s="20" t="s">
        <v>4</v>
      </c>
      <c r="AA55" s="26" t="s">
        <v>391</v>
      </c>
      <c r="AB55" s="17"/>
      <c r="AC55" s="24"/>
      <c r="AD55" s="24"/>
    </row>
    <row r="56">
      <c r="A56" s="25"/>
      <c r="B56" s="17" t="s">
        <v>173</v>
      </c>
      <c r="C56" s="17">
        <v>8.873613785E9</v>
      </c>
      <c r="D56" s="26">
        <v>25.0</v>
      </c>
      <c r="E56" s="20" t="s">
        <v>367</v>
      </c>
      <c r="F56" s="26" t="s">
        <v>554</v>
      </c>
      <c r="G56" s="19"/>
      <c r="H56" s="19"/>
      <c r="I56" s="26" t="s">
        <v>544</v>
      </c>
      <c r="J56" s="19"/>
      <c r="K56" s="18" t="s">
        <v>608</v>
      </c>
      <c r="L56" s="26" t="s">
        <v>609</v>
      </c>
      <c r="M56" s="26" t="s">
        <v>617</v>
      </c>
      <c r="N56" s="21" t="s">
        <v>9</v>
      </c>
      <c r="O56" s="20" t="s">
        <v>4</v>
      </c>
      <c r="P56" s="20" t="s">
        <v>380</v>
      </c>
      <c r="Q56" s="19"/>
      <c r="R56" s="19"/>
      <c r="S56" s="20" t="s">
        <v>4</v>
      </c>
      <c r="T56" s="26" t="s">
        <v>561</v>
      </c>
      <c r="U56" s="20" t="s">
        <v>4</v>
      </c>
      <c r="V56" s="26" t="s">
        <v>618</v>
      </c>
      <c r="W56" s="26" t="s">
        <v>616</v>
      </c>
      <c r="X56" s="20" t="s">
        <v>4</v>
      </c>
      <c r="Y56" s="20" t="s">
        <v>4</v>
      </c>
      <c r="Z56" s="20" t="s">
        <v>4</v>
      </c>
      <c r="AA56" s="26" t="s">
        <v>391</v>
      </c>
      <c r="AB56" s="28"/>
      <c r="AC56" s="24"/>
      <c r="AD56" s="24"/>
    </row>
    <row r="57">
      <c r="A57" s="25"/>
      <c r="B57" s="17" t="s">
        <v>619</v>
      </c>
      <c r="C57" s="17">
        <v>9.631229048E9</v>
      </c>
      <c r="D57" s="26">
        <v>65.0</v>
      </c>
      <c r="E57" s="20" t="s">
        <v>367</v>
      </c>
      <c r="F57" s="26" t="s">
        <v>577</v>
      </c>
      <c r="G57" s="26" t="s">
        <v>371</v>
      </c>
      <c r="H57" s="26" t="s">
        <v>383</v>
      </c>
      <c r="I57" s="26" t="s">
        <v>383</v>
      </c>
      <c r="J57" s="26" t="s">
        <v>620</v>
      </c>
      <c r="K57" s="18" t="s">
        <v>608</v>
      </c>
      <c r="L57" s="26" t="s">
        <v>621</v>
      </c>
      <c r="M57" s="26" t="s">
        <v>622</v>
      </c>
      <c r="N57" s="21" t="s">
        <v>9</v>
      </c>
      <c r="O57" s="20" t="s">
        <v>4</v>
      </c>
      <c r="P57" s="20" t="s">
        <v>4</v>
      </c>
      <c r="Q57" s="26" t="s">
        <v>580</v>
      </c>
      <c r="R57" s="26" t="s">
        <v>587</v>
      </c>
      <c r="S57" s="20" t="s">
        <v>4</v>
      </c>
      <c r="T57" s="26" t="s">
        <v>540</v>
      </c>
      <c r="U57" s="20" t="s">
        <v>4</v>
      </c>
      <c r="V57" s="26" t="s">
        <v>623</v>
      </c>
      <c r="W57" s="26" t="s">
        <v>616</v>
      </c>
      <c r="X57" s="20" t="s">
        <v>4</v>
      </c>
      <c r="Y57" s="20" t="s">
        <v>4</v>
      </c>
      <c r="Z57" s="20" t="s">
        <v>4</v>
      </c>
      <c r="AA57" s="26" t="s">
        <v>391</v>
      </c>
      <c r="AB57" s="17"/>
      <c r="AC57" s="24"/>
      <c r="AD57" s="24"/>
    </row>
    <row r="58">
      <c r="A58" s="25"/>
      <c r="B58" s="17" t="s">
        <v>624</v>
      </c>
      <c r="C58" s="17">
        <v>7.033959812E9</v>
      </c>
      <c r="D58" s="26">
        <v>23.0</v>
      </c>
      <c r="E58" s="20" t="s">
        <v>367</v>
      </c>
      <c r="F58" s="26" t="s">
        <v>382</v>
      </c>
      <c r="G58" s="26" t="s">
        <v>625</v>
      </c>
      <c r="H58" s="26" t="s">
        <v>383</v>
      </c>
      <c r="I58" s="26" t="s">
        <v>626</v>
      </c>
      <c r="J58" s="26" t="s">
        <v>627</v>
      </c>
      <c r="K58" s="18" t="s">
        <v>608</v>
      </c>
      <c r="L58" s="26" t="s">
        <v>627</v>
      </c>
      <c r="M58" s="26" t="s">
        <v>628</v>
      </c>
      <c r="N58" s="21" t="s">
        <v>9</v>
      </c>
      <c r="O58" s="20" t="s">
        <v>4</v>
      </c>
      <c r="P58" s="20" t="s">
        <v>4</v>
      </c>
      <c r="Q58" s="26" t="s">
        <v>580</v>
      </c>
      <c r="R58" s="19"/>
      <c r="S58" s="20" t="s">
        <v>380</v>
      </c>
      <c r="T58" s="19"/>
      <c r="U58" s="20" t="s">
        <v>380</v>
      </c>
      <c r="V58" s="26"/>
      <c r="W58" s="26" t="s">
        <v>616</v>
      </c>
      <c r="X58" s="20" t="s">
        <v>4</v>
      </c>
      <c r="Y58" s="20" t="s">
        <v>380</v>
      </c>
      <c r="Z58" s="20" t="s">
        <v>4</v>
      </c>
      <c r="AA58" s="26" t="s">
        <v>391</v>
      </c>
      <c r="AB58" s="17"/>
      <c r="AC58" s="24"/>
      <c r="AD58" s="24"/>
    </row>
    <row r="59">
      <c r="A59" s="25"/>
      <c r="B59" s="17" t="s">
        <v>58</v>
      </c>
      <c r="C59" s="17">
        <v>7.543966608E9</v>
      </c>
      <c r="D59" s="26">
        <v>25.0</v>
      </c>
      <c r="E59" s="20" t="s">
        <v>367</v>
      </c>
      <c r="F59" s="19"/>
      <c r="G59" s="19"/>
      <c r="H59" s="19"/>
      <c r="I59" s="19"/>
      <c r="J59" s="19"/>
      <c r="K59" s="18" t="s">
        <v>608</v>
      </c>
      <c r="L59" s="19"/>
      <c r="M59" s="19"/>
      <c r="N59" s="21" t="s">
        <v>13</v>
      </c>
      <c r="O59" s="22"/>
      <c r="P59" s="22"/>
      <c r="Q59" s="19"/>
      <c r="R59" s="19"/>
      <c r="S59" s="22"/>
      <c r="T59" s="19"/>
      <c r="U59" s="22"/>
      <c r="V59" s="19"/>
      <c r="W59" s="19"/>
      <c r="X59" s="22"/>
      <c r="Y59" s="22"/>
      <c r="Z59" s="22"/>
      <c r="AA59" s="19"/>
      <c r="AB59" s="28"/>
      <c r="AC59" s="24"/>
      <c r="AD59" s="24"/>
    </row>
    <row r="60">
      <c r="A60" s="25"/>
      <c r="B60" s="17" t="s">
        <v>629</v>
      </c>
      <c r="C60" s="17">
        <v>8.757752901E9</v>
      </c>
      <c r="D60" s="26">
        <v>24.0</v>
      </c>
      <c r="E60" s="20" t="s">
        <v>367</v>
      </c>
      <c r="F60" s="26" t="s">
        <v>600</v>
      </c>
      <c r="G60" s="19"/>
      <c r="H60" s="19"/>
      <c r="I60" s="26" t="s">
        <v>384</v>
      </c>
      <c r="J60" s="19"/>
      <c r="K60" s="18" t="s">
        <v>608</v>
      </c>
      <c r="L60" s="26" t="s">
        <v>609</v>
      </c>
      <c r="M60" s="26" t="s">
        <v>610</v>
      </c>
      <c r="N60" s="21" t="s">
        <v>9</v>
      </c>
      <c r="O60" s="20" t="s">
        <v>4</v>
      </c>
      <c r="P60" s="20" t="s">
        <v>380</v>
      </c>
      <c r="Q60" s="19"/>
      <c r="R60" s="19"/>
      <c r="S60" s="20" t="s">
        <v>4</v>
      </c>
      <c r="T60" s="26" t="s">
        <v>630</v>
      </c>
      <c r="U60" s="20" t="s">
        <v>380</v>
      </c>
      <c r="V60" s="19"/>
      <c r="W60" s="26" t="s">
        <v>616</v>
      </c>
      <c r="X60" s="20" t="s">
        <v>4</v>
      </c>
      <c r="Y60" s="20" t="s">
        <v>4</v>
      </c>
      <c r="Z60" s="20" t="s">
        <v>4</v>
      </c>
      <c r="AA60" s="26" t="s">
        <v>391</v>
      </c>
      <c r="AB60" s="28"/>
      <c r="AC60" s="24"/>
      <c r="AD60" s="24"/>
    </row>
    <row r="61">
      <c r="A61" s="25"/>
      <c r="B61" s="17" t="s">
        <v>49</v>
      </c>
      <c r="C61" s="17">
        <v>8.340511206E9</v>
      </c>
      <c r="D61" s="19"/>
      <c r="E61" s="22"/>
      <c r="F61" s="19"/>
      <c r="G61" s="19"/>
      <c r="H61" s="19"/>
      <c r="I61" s="19"/>
      <c r="J61" s="19"/>
      <c r="K61" s="18" t="s">
        <v>608</v>
      </c>
      <c r="L61" s="19"/>
      <c r="M61" s="19"/>
      <c r="N61" s="21" t="s">
        <v>27</v>
      </c>
      <c r="O61" s="22"/>
      <c r="P61" s="22"/>
      <c r="Q61" s="19"/>
      <c r="R61" s="19"/>
      <c r="S61" s="22"/>
      <c r="T61" s="19"/>
      <c r="U61" s="22"/>
      <c r="V61" s="19"/>
      <c r="W61" s="19"/>
      <c r="X61" s="22"/>
      <c r="Y61" s="20"/>
      <c r="Z61" s="22"/>
      <c r="AA61" s="19"/>
      <c r="AB61" s="17"/>
      <c r="AC61" s="24"/>
      <c r="AD61" s="24"/>
    </row>
    <row r="62">
      <c r="A62" s="25"/>
      <c r="B62" s="17" t="s">
        <v>631</v>
      </c>
      <c r="C62" s="17">
        <v>7.484042954E9</v>
      </c>
      <c r="D62" s="26">
        <v>47.0</v>
      </c>
      <c r="E62" s="22"/>
      <c r="F62" s="26" t="s">
        <v>429</v>
      </c>
      <c r="G62" s="19"/>
      <c r="H62" s="19"/>
      <c r="I62" s="26" t="s">
        <v>632</v>
      </c>
      <c r="J62" s="19"/>
      <c r="K62" s="18" t="s">
        <v>608</v>
      </c>
      <c r="L62" s="26" t="s">
        <v>609</v>
      </c>
      <c r="M62" s="26" t="s">
        <v>610</v>
      </c>
      <c r="N62" s="21" t="s">
        <v>9</v>
      </c>
      <c r="O62" s="20" t="s">
        <v>4</v>
      </c>
      <c r="P62" s="22"/>
      <c r="Q62" s="19"/>
      <c r="R62" s="19"/>
      <c r="S62" s="20" t="s">
        <v>380</v>
      </c>
      <c r="T62" s="19"/>
      <c r="U62" s="20" t="s">
        <v>4</v>
      </c>
      <c r="V62" s="26" t="s">
        <v>633</v>
      </c>
      <c r="W62" s="26" t="s">
        <v>612</v>
      </c>
      <c r="X62" s="20" t="s">
        <v>4</v>
      </c>
      <c r="Y62" s="20" t="s">
        <v>4</v>
      </c>
      <c r="Z62" s="20" t="s">
        <v>4</v>
      </c>
      <c r="AA62" s="26" t="s">
        <v>391</v>
      </c>
      <c r="AB62" s="28"/>
      <c r="AC62" s="24"/>
      <c r="AD62" s="24"/>
    </row>
    <row r="63">
      <c r="A63" s="25"/>
      <c r="B63" s="17" t="s">
        <v>634</v>
      </c>
      <c r="C63" s="17">
        <v>9.835600213E9</v>
      </c>
      <c r="D63" s="26">
        <v>34.0</v>
      </c>
      <c r="E63" s="20" t="s">
        <v>405</v>
      </c>
      <c r="F63" s="26" t="s">
        <v>429</v>
      </c>
      <c r="G63" s="26" t="s">
        <v>371</v>
      </c>
      <c r="H63" s="26" t="s">
        <v>383</v>
      </c>
      <c r="I63" s="26" t="s">
        <v>384</v>
      </c>
      <c r="J63" s="26" t="s">
        <v>627</v>
      </c>
      <c r="K63" s="18" t="s">
        <v>608</v>
      </c>
      <c r="L63" s="26" t="s">
        <v>609</v>
      </c>
      <c r="M63" s="26" t="s">
        <v>610</v>
      </c>
      <c r="N63" s="21" t="s">
        <v>9</v>
      </c>
      <c r="O63" s="20" t="s">
        <v>4</v>
      </c>
      <c r="P63" s="20" t="s">
        <v>380</v>
      </c>
      <c r="Q63" s="19"/>
      <c r="R63" s="19"/>
      <c r="S63" s="20" t="s">
        <v>380</v>
      </c>
      <c r="T63" s="19"/>
      <c r="U63" s="20" t="s">
        <v>380</v>
      </c>
      <c r="V63" s="19"/>
      <c r="W63" s="26" t="s">
        <v>616</v>
      </c>
      <c r="X63" s="20" t="s">
        <v>4</v>
      </c>
      <c r="Y63" s="20" t="s">
        <v>380</v>
      </c>
      <c r="Z63" s="20" t="s">
        <v>380</v>
      </c>
      <c r="AA63" s="26" t="s">
        <v>391</v>
      </c>
      <c r="AB63" s="17"/>
      <c r="AC63" s="24"/>
      <c r="AD63" s="24"/>
    </row>
    <row r="64">
      <c r="A64" s="25"/>
      <c r="B64" s="17" t="s">
        <v>635</v>
      </c>
      <c r="C64" s="17">
        <v>9.504143372E9</v>
      </c>
      <c r="D64" s="26">
        <v>35.0</v>
      </c>
      <c r="E64" s="20" t="s">
        <v>405</v>
      </c>
      <c r="F64" s="26" t="s">
        <v>636</v>
      </c>
      <c r="G64" s="26" t="s">
        <v>375</v>
      </c>
      <c r="H64" s="26" t="s">
        <v>637</v>
      </c>
      <c r="I64" s="26" t="s">
        <v>638</v>
      </c>
      <c r="J64" s="26" t="s">
        <v>639</v>
      </c>
      <c r="K64" s="18" t="s">
        <v>608</v>
      </c>
      <c r="L64" s="26" t="s">
        <v>640</v>
      </c>
      <c r="M64" s="26" t="s">
        <v>641</v>
      </c>
      <c r="N64" s="21" t="s">
        <v>9</v>
      </c>
      <c r="O64" s="20" t="s">
        <v>4</v>
      </c>
      <c r="P64" s="20" t="s">
        <v>4</v>
      </c>
      <c r="Q64" s="19"/>
      <c r="R64" s="19"/>
      <c r="S64" s="20" t="s">
        <v>4</v>
      </c>
      <c r="T64" s="19"/>
      <c r="U64" s="20" t="s">
        <v>4</v>
      </c>
      <c r="V64" s="26" t="s">
        <v>642</v>
      </c>
      <c r="W64" s="26" t="s">
        <v>616</v>
      </c>
      <c r="X64" s="20" t="s">
        <v>4</v>
      </c>
      <c r="Y64" s="20" t="s">
        <v>380</v>
      </c>
      <c r="Z64" s="20" t="s">
        <v>4</v>
      </c>
      <c r="AA64" s="26" t="s">
        <v>391</v>
      </c>
      <c r="AB64" s="28"/>
      <c r="AC64" s="24"/>
      <c r="AD64" s="24"/>
    </row>
    <row r="65">
      <c r="A65" s="25"/>
      <c r="B65" s="17" t="s">
        <v>643</v>
      </c>
      <c r="C65" s="17">
        <v>6.206365883E9</v>
      </c>
      <c r="D65" s="26">
        <v>21.0</v>
      </c>
      <c r="E65" s="20" t="s">
        <v>367</v>
      </c>
      <c r="F65" s="26" t="s">
        <v>441</v>
      </c>
      <c r="G65" s="26" t="s">
        <v>375</v>
      </c>
      <c r="H65" s="26" t="s">
        <v>407</v>
      </c>
      <c r="I65" s="26" t="s">
        <v>544</v>
      </c>
      <c r="J65" s="26" t="s">
        <v>639</v>
      </c>
      <c r="K65" s="18" t="s">
        <v>608</v>
      </c>
      <c r="L65" s="26" t="s">
        <v>644</v>
      </c>
      <c r="M65" s="26" t="s">
        <v>645</v>
      </c>
      <c r="N65" s="21" t="s">
        <v>9</v>
      </c>
      <c r="O65" s="20" t="s">
        <v>4</v>
      </c>
      <c r="P65" s="20" t="s">
        <v>380</v>
      </c>
      <c r="Q65" s="19"/>
      <c r="R65" s="19"/>
      <c r="S65" s="20" t="s">
        <v>4</v>
      </c>
      <c r="T65" s="19"/>
      <c r="U65" s="20" t="s">
        <v>4</v>
      </c>
      <c r="V65" s="26" t="s">
        <v>646</v>
      </c>
      <c r="W65" s="26" t="s">
        <v>616</v>
      </c>
      <c r="X65" s="20" t="s">
        <v>4</v>
      </c>
      <c r="Y65" s="20" t="s">
        <v>4</v>
      </c>
      <c r="Z65" s="20" t="s">
        <v>4</v>
      </c>
      <c r="AA65" s="26" t="s">
        <v>391</v>
      </c>
      <c r="AB65" s="17"/>
      <c r="AC65" s="24"/>
      <c r="AD65" s="24"/>
    </row>
    <row r="66">
      <c r="A66" s="25"/>
      <c r="B66" s="17" t="s">
        <v>58</v>
      </c>
      <c r="C66" s="17">
        <v>9.508083254E9</v>
      </c>
      <c r="D66" s="26">
        <v>26.0</v>
      </c>
      <c r="E66" s="20" t="s">
        <v>367</v>
      </c>
      <c r="F66" s="26" t="s">
        <v>374</v>
      </c>
      <c r="G66" s="26" t="s">
        <v>647</v>
      </c>
      <c r="H66" s="26" t="s">
        <v>418</v>
      </c>
      <c r="I66" s="26" t="s">
        <v>648</v>
      </c>
      <c r="J66" s="26" t="s">
        <v>639</v>
      </c>
      <c r="K66" s="18" t="s">
        <v>608</v>
      </c>
      <c r="L66" s="26" t="s">
        <v>644</v>
      </c>
      <c r="M66" s="26" t="s">
        <v>645</v>
      </c>
      <c r="N66" s="21" t="s">
        <v>9</v>
      </c>
      <c r="O66" s="20" t="s">
        <v>4</v>
      </c>
      <c r="P66" s="20" t="s">
        <v>4</v>
      </c>
      <c r="Q66" s="19"/>
      <c r="R66" s="19"/>
      <c r="S66" s="20" t="s">
        <v>380</v>
      </c>
      <c r="T66" s="19"/>
      <c r="U66" s="20" t="s">
        <v>380</v>
      </c>
      <c r="V66" s="19"/>
      <c r="W66" s="26" t="s">
        <v>612</v>
      </c>
      <c r="X66" s="20" t="s">
        <v>4</v>
      </c>
      <c r="Y66" s="20" t="s">
        <v>4</v>
      </c>
      <c r="Z66" s="20" t="s">
        <v>4</v>
      </c>
      <c r="AA66" s="26" t="s">
        <v>391</v>
      </c>
      <c r="AB66" s="17"/>
      <c r="AC66" s="24"/>
      <c r="AD66" s="24"/>
    </row>
    <row r="67">
      <c r="A67" s="25"/>
      <c r="B67" s="17" t="s">
        <v>649</v>
      </c>
      <c r="C67" s="17">
        <v>8.002066561E9</v>
      </c>
      <c r="D67" s="26">
        <v>24.0</v>
      </c>
      <c r="E67" s="22"/>
      <c r="F67" s="26" t="s">
        <v>370</v>
      </c>
      <c r="G67" s="19"/>
      <c r="H67" s="19"/>
      <c r="I67" s="26" t="s">
        <v>384</v>
      </c>
      <c r="J67" s="19"/>
      <c r="K67" s="18" t="s">
        <v>608</v>
      </c>
      <c r="L67" s="26" t="s">
        <v>609</v>
      </c>
      <c r="M67" s="26" t="s">
        <v>610</v>
      </c>
      <c r="N67" s="21" t="s">
        <v>9</v>
      </c>
      <c r="O67" s="20" t="s">
        <v>4</v>
      </c>
      <c r="P67" s="20" t="s">
        <v>380</v>
      </c>
      <c r="Q67" s="19"/>
      <c r="R67" s="19"/>
      <c r="S67" s="20" t="s">
        <v>4</v>
      </c>
      <c r="T67" s="26" t="s">
        <v>611</v>
      </c>
      <c r="U67" s="20" t="s">
        <v>4</v>
      </c>
      <c r="V67" s="26" t="s">
        <v>561</v>
      </c>
      <c r="W67" s="26" t="s">
        <v>612</v>
      </c>
      <c r="X67" s="20" t="s">
        <v>4</v>
      </c>
      <c r="Y67" s="20" t="s">
        <v>4</v>
      </c>
      <c r="Z67" s="20" t="s">
        <v>4</v>
      </c>
      <c r="AA67" s="26" t="s">
        <v>391</v>
      </c>
      <c r="AB67" s="28"/>
      <c r="AC67" s="24"/>
      <c r="AD67" s="24"/>
    </row>
    <row r="68">
      <c r="A68" s="25"/>
      <c r="B68" s="17" t="s">
        <v>650</v>
      </c>
      <c r="C68" s="17">
        <v>6.204318716E9</v>
      </c>
      <c r="D68" s="26">
        <v>45.0</v>
      </c>
      <c r="E68" s="20" t="s">
        <v>367</v>
      </c>
      <c r="F68" s="26" t="s">
        <v>577</v>
      </c>
      <c r="G68" s="26" t="s">
        <v>371</v>
      </c>
      <c r="H68" s="26" t="s">
        <v>383</v>
      </c>
      <c r="I68" s="26" t="s">
        <v>384</v>
      </c>
      <c r="J68" s="26" t="s">
        <v>627</v>
      </c>
      <c r="K68" s="18" t="s">
        <v>608</v>
      </c>
      <c r="L68" s="26" t="s">
        <v>609</v>
      </c>
      <c r="M68" s="26" t="s">
        <v>610</v>
      </c>
      <c r="N68" s="21" t="s">
        <v>9</v>
      </c>
      <c r="O68" s="20" t="s">
        <v>4</v>
      </c>
      <c r="P68" s="20" t="s">
        <v>4</v>
      </c>
      <c r="Q68" s="26" t="s">
        <v>651</v>
      </c>
      <c r="R68" s="26" t="s">
        <v>652</v>
      </c>
      <c r="S68" s="20" t="s">
        <v>4</v>
      </c>
      <c r="T68" s="26" t="s">
        <v>540</v>
      </c>
      <c r="U68" s="20" t="s">
        <v>380</v>
      </c>
      <c r="V68" s="19"/>
      <c r="W68" s="26" t="s">
        <v>616</v>
      </c>
      <c r="X68" s="20" t="s">
        <v>4</v>
      </c>
      <c r="Y68" s="20" t="s">
        <v>380</v>
      </c>
      <c r="Z68" s="20" t="s">
        <v>4</v>
      </c>
      <c r="AA68" s="26" t="s">
        <v>391</v>
      </c>
      <c r="AB68" s="17"/>
      <c r="AC68" s="24"/>
      <c r="AD68" s="24"/>
    </row>
    <row r="69">
      <c r="A69" s="25"/>
      <c r="B69" s="17" t="s">
        <v>653</v>
      </c>
      <c r="C69" s="17">
        <v>8.79756424E9</v>
      </c>
      <c r="D69" s="19"/>
      <c r="E69" s="22"/>
      <c r="F69" s="19"/>
      <c r="G69" s="19"/>
      <c r="H69" s="19"/>
      <c r="I69" s="19"/>
      <c r="J69" s="19"/>
      <c r="K69" s="18" t="s">
        <v>608</v>
      </c>
      <c r="L69" s="19"/>
      <c r="M69" s="19"/>
      <c r="N69" s="21" t="s">
        <v>13</v>
      </c>
      <c r="O69" s="22"/>
      <c r="P69" s="22"/>
      <c r="Q69" s="19"/>
      <c r="R69" s="19"/>
      <c r="S69" s="22"/>
      <c r="T69" s="19"/>
      <c r="U69" s="22"/>
      <c r="V69" s="19"/>
      <c r="W69" s="19"/>
      <c r="X69" s="22"/>
      <c r="Y69" s="22"/>
      <c r="Z69" s="22"/>
      <c r="AA69" s="19"/>
      <c r="AB69" s="17"/>
      <c r="AC69" s="24"/>
      <c r="AD69" s="24"/>
    </row>
    <row r="70">
      <c r="A70" s="25"/>
      <c r="B70" s="17" t="s">
        <v>654</v>
      </c>
      <c r="C70" s="17">
        <v>8.294945134E9</v>
      </c>
      <c r="D70" s="26">
        <v>40.0</v>
      </c>
      <c r="E70" s="20" t="s">
        <v>367</v>
      </c>
      <c r="F70" s="26" t="s">
        <v>499</v>
      </c>
      <c r="G70" s="19"/>
      <c r="H70" s="19"/>
      <c r="I70" s="26" t="s">
        <v>648</v>
      </c>
      <c r="J70" s="19"/>
      <c r="K70" s="18" t="s">
        <v>608</v>
      </c>
      <c r="L70" s="26" t="s">
        <v>609</v>
      </c>
      <c r="M70" s="26" t="s">
        <v>610</v>
      </c>
      <c r="N70" s="21" t="s">
        <v>9</v>
      </c>
      <c r="O70" s="20" t="s">
        <v>4</v>
      </c>
      <c r="P70" s="20" t="s">
        <v>4</v>
      </c>
      <c r="Q70" s="26" t="s">
        <v>499</v>
      </c>
      <c r="R70" s="19"/>
      <c r="S70" s="20" t="s">
        <v>4</v>
      </c>
      <c r="T70" s="26" t="s">
        <v>611</v>
      </c>
      <c r="U70" s="20" t="s">
        <v>4</v>
      </c>
      <c r="V70" s="19"/>
      <c r="W70" s="26" t="s">
        <v>612</v>
      </c>
      <c r="X70" s="20" t="s">
        <v>4</v>
      </c>
      <c r="Y70" s="20" t="s">
        <v>4</v>
      </c>
      <c r="Z70" s="20" t="s">
        <v>4</v>
      </c>
      <c r="AA70" s="26" t="s">
        <v>391</v>
      </c>
      <c r="AB70" s="28"/>
      <c r="AC70" s="24"/>
      <c r="AD70" s="24"/>
    </row>
    <row r="71">
      <c r="A71" s="25"/>
      <c r="B71" s="17" t="s">
        <v>655</v>
      </c>
      <c r="C71" s="17">
        <v>8.80419021E9</v>
      </c>
      <c r="D71" s="19"/>
      <c r="E71" s="22"/>
      <c r="F71" s="19"/>
      <c r="G71" s="19"/>
      <c r="H71" s="19"/>
      <c r="I71" s="19"/>
      <c r="J71" s="19"/>
      <c r="K71" s="18" t="s">
        <v>608</v>
      </c>
      <c r="L71" s="19"/>
      <c r="M71" s="19"/>
      <c r="N71" s="21" t="s">
        <v>13</v>
      </c>
      <c r="O71" s="22"/>
      <c r="P71" s="22"/>
      <c r="Q71" s="19"/>
      <c r="R71" s="19"/>
      <c r="S71" s="22"/>
      <c r="T71" s="19"/>
      <c r="U71" s="22"/>
      <c r="V71" s="19"/>
      <c r="W71" s="19"/>
      <c r="X71" s="22"/>
      <c r="Y71" s="22"/>
      <c r="Z71" s="22"/>
      <c r="AA71" s="19"/>
      <c r="AB71" s="17"/>
      <c r="AC71" s="24"/>
      <c r="AD71" s="24"/>
    </row>
    <row r="72">
      <c r="A72" s="25"/>
      <c r="B72" s="17" t="s">
        <v>656</v>
      </c>
      <c r="C72" s="17">
        <v>9.199540939E9</v>
      </c>
      <c r="D72" s="19"/>
      <c r="E72" s="22"/>
      <c r="F72" s="19"/>
      <c r="G72" s="19"/>
      <c r="H72" s="19"/>
      <c r="I72" s="19"/>
      <c r="J72" s="19"/>
      <c r="K72" s="18" t="s">
        <v>608</v>
      </c>
      <c r="L72" s="19"/>
      <c r="M72" s="19"/>
      <c r="N72" s="21" t="s">
        <v>54</v>
      </c>
      <c r="O72" s="22"/>
      <c r="P72" s="22"/>
      <c r="Q72" s="19"/>
      <c r="R72" s="19"/>
      <c r="S72" s="22"/>
      <c r="T72" s="19"/>
      <c r="U72" s="22"/>
      <c r="V72" s="19"/>
      <c r="W72" s="19"/>
      <c r="X72" s="22"/>
      <c r="Y72" s="22"/>
      <c r="Z72" s="22"/>
      <c r="AA72" s="19"/>
      <c r="AB72" s="17"/>
      <c r="AC72" s="24"/>
      <c r="AD72" s="24"/>
    </row>
    <row r="73">
      <c r="A73" s="25"/>
      <c r="B73" s="17" t="s">
        <v>657</v>
      </c>
      <c r="C73" s="17">
        <v>9.771000297E9</v>
      </c>
      <c r="D73" s="26">
        <v>34.0</v>
      </c>
      <c r="E73" s="22"/>
      <c r="F73" s="26" t="s">
        <v>600</v>
      </c>
      <c r="G73" s="19"/>
      <c r="H73" s="19"/>
      <c r="I73" s="26" t="s">
        <v>384</v>
      </c>
      <c r="J73" s="19"/>
      <c r="K73" s="18" t="s">
        <v>608</v>
      </c>
      <c r="L73" s="26" t="s">
        <v>609</v>
      </c>
      <c r="M73" s="26" t="s">
        <v>658</v>
      </c>
      <c r="N73" s="21" t="s">
        <v>9</v>
      </c>
      <c r="O73" s="20" t="s">
        <v>4</v>
      </c>
      <c r="P73" s="20" t="s">
        <v>4</v>
      </c>
      <c r="Q73" s="26" t="s">
        <v>659</v>
      </c>
      <c r="R73" s="19"/>
      <c r="S73" s="20" t="s">
        <v>4</v>
      </c>
      <c r="T73" s="26" t="s">
        <v>660</v>
      </c>
      <c r="U73" s="20" t="s">
        <v>4</v>
      </c>
      <c r="V73" s="26" t="s">
        <v>618</v>
      </c>
      <c r="W73" s="26" t="s">
        <v>612</v>
      </c>
      <c r="X73" s="20" t="s">
        <v>4</v>
      </c>
      <c r="Y73" s="20" t="s">
        <v>4</v>
      </c>
      <c r="Z73" s="20" t="s">
        <v>4</v>
      </c>
      <c r="AA73" s="26" t="s">
        <v>391</v>
      </c>
      <c r="AB73" s="28"/>
      <c r="AC73" s="24"/>
      <c r="AD73" s="24"/>
    </row>
    <row r="74">
      <c r="A74" s="25"/>
      <c r="B74" s="17" t="s">
        <v>661</v>
      </c>
      <c r="C74" s="17">
        <v>6.207930631E9</v>
      </c>
      <c r="D74" s="19"/>
      <c r="E74" s="22"/>
      <c r="F74" s="19"/>
      <c r="G74" s="19"/>
      <c r="H74" s="19"/>
      <c r="I74" s="19"/>
      <c r="J74" s="19"/>
      <c r="K74" s="18" t="s">
        <v>608</v>
      </c>
      <c r="L74" s="19"/>
      <c r="M74" s="19"/>
      <c r="N74" s="21" t="s">
        <v>27</v>
      </c>
      <c r="O74" s="22"/>
      <c r="P74" s="22"/>
      <c r="Q74" s="19"/>
      <c r="R74" s="19"/>
      <c r="S74" s="22"/>
      <c r="T74" s="19"/>
      <c r="U74" s="22"/>
      <c r="V74" s="19"/>
      <c r="W74" s="19"/>
      <c r="X74" s="22"/>
      <c r="Y74" s="22"/>
      <c r="Z74" s="22"/>
      <c r="AA74" s="26"/>
      <c r="AB74" s="17"/>
      <c r="AC74" s="24"/>
      <c r="AD74" s="24"/>
    </row>
    <row r="75">
      <c r="A75" s="25"/>
      <c r="B75" s="17" t="s">
        <v>629</v>
      </c>
      <c r="C75" s="17">
        <v>6.207930631E9</v>
      </c>
      <c r="D75" s="19"/>
      <c r="E75" s="22"/>
      <c r="F75" s="19"/>
      <c r="G75" s="19"/>
      <c r="H75" s="19"/>
      <c r="I75" s="19"/>
      <c r="J75" s="19"/>
      <c r="K75" s="18" t="s">
        <v>608</v>
      </c>
      <c r="L75" s="19"/>
      <c r="M75" s="19"/>
      <c r="N75" s="21" t="s">
        <v>23</v>
      </c>
      <c r="O75" s="22"/>
      <c r="P75" s="22"/>
      <c r="Q75" s="19"/>
      <c r="R75" s="19"/>
      <c r="S75" s="22"/>
      <c r="T75" s="19"/>
      <c r="U75" s="22"/>
      <c r="V75" s="19"/>
      <c r="W75" s="19"/>
      <c r="X75" s="22"/>
      <c r="Y75" s="22"/>
      <c r="Z75" s="22"/>
      <c r="AA75" s="19"/>
      <c r="AB75" s="17"/>
      <c r="AC75" s="24"/>
      <c r="AD75" s="24"/>
    </row>
    <row r="76">
      <c r="A76" s="31"/>
      <c r="B76" s="41" t="s">
        <v>662</v>
      </c>
      <c r="C76" s="41">
        <v>8.294946091E9</v>
      </c>
      <c r="D76" s="42">
        <v>40.0</v>
      </c>
      <c r="E76" s="43" t="s">
        <v>367</v>
      </c>
      <c r="F76" s="42" t="s">
        <v>374</v>
      </c>
      <c r="G76" s="42" t="s">
        <v>375</v>
      </c>
      <c r="H76" s="42" t="s">
        <v>663</v>
      </c>
      <c r="I76" s="42" t="s">
        <v>377</v>
      </c>
      <c r="J76" s="42" t="s">
        <v>639</v>
      </c>
      <c r="K76" s="18" t="s">
        <v>608</v>
      </c>
      <c r="L76" s="42" t="s">
        <v>644</v>
      </c>
      <c r="M76" s="42" t="s">
        <v>664</v>
      </c>
      <c r="N76" s="44" t="s">
        <v>9</v>
      </c>
      <c r="O76" s="43" t="s">
        <v>4</v>
      </c>
      <c r="P76" s="45"/>
      <c r="Q76" s="46"/>
      <c r="R76" s="46"/>
      <c r="S76" s="43" t="s">
        <v>4</v>
      </c>
      <c r="T76" s="46"/>
      <c r="U76" s="43" t="s">
        <v>4</v>
      </c>
      <c r="V76" s="46"/>
      <c r="W76" s="42" t="s">
        <v>616</v>
      </c>
      <c r="X76" s="43" t="s">
        <v>4</v>
      </c>
      <c r="Y76" s="43" t="s">
        <v>4</v>
      </c>
      <c r="Z76" s="43" t="s">
        <v>4</v>
      </c>
      <c r="AA76" s="42" t="s">
        <v>391</v>
      </c>
      <c r="AB76" s="41"/>
      <c r="AC76" s="24"/>
      <c r="AD76" s="24"/>
    </row>
    <row r="77">
      <c r="A77" s="40" t="s">
        <v>606</v>
      </c>
      <c r="B77" s="36" t="s">
        <v>575</v>
      </c>
      <c r="K77" s="34"/>
      <c r="N77" s="34"/>
      <c r="AB77" s="33"/>
      <c r="AC77" s="24"/>
      <c r="AD77" s="24"/>
    </row>
    <row r="78">
      <c r="A78" s="25"/>
      <c r="K78" s="34"/>
      <c r="N78" s="34"/>
      <c r="AB78" s="33"/>
      <c r="AC78" s="24"/>
      <c r="AD78" s="24"/>
    </row>
    <row r="79">
      <c r="A79" s="25"/>
      <c r="B79" s="47" t="s">
        <v>665</v>
      </c>
      <c r="C79" s="47">
        <v>9.534652604E9</v>
      </c>
      <c r="D79" s="48">
        <v>17.0</v>
      </c>
      <c r="E79" s="43" t="s">
        <v>367</v>
      </c>
      <c r="F79" s="48" t="s">
        <v>370</v>
      </c>
      <c r="G79" s="49"/>
      <c r="H79" s="49"/>
      <c r="I79" s="48" t="s">
        <v>666</v>
      </c>
      <c r="J79" s="49"/>
      <c r="K79" s="18" t="s">
        <v>608</v>
      </c>
      <c r="L79" s="48" t="s">
        <v>609</v>
      </c>
      <c r="M79" s="48" t="s">
        <v>610</v>
      </c>
      <c r="N79" s="44" t="s">
        <v>9</v>
      </c>
      <c r="O79" s="43" t="s">
        <v>4</v>
      </c>
      <c r="P79" s="43" t="s">
        <v>380</v>
      </c>
      <c r="Q79" s="49"/>
      <c r="R79" s="49"/>
      <c r="S79" s="43" t="s">
        <v>380</v>
      </c>
      <c r="T79" s="49"/>
      <c r="U79" s="43" t="s">
        <v>380</v>
      </c>
      <c r="V79" s="49"/>
      <c r="W79" s="42" t="s">
        <v>612</v>
      </c>
      <c r="X79" s="43" t="s">
        <v>4</v>
      </c>
      <c r="Y79" s="43" t="s">
        <v>4</v>
      </c>
      <c r="Z79" s="43" t="s">
        <v>4</v>
      </c>
      <c r="AA79" s="42" t="s">
        <v>391</v>
      </c>
      <c r="AB79" s="50"/>
      <c r="AC79" s="24"/>
      <c r="AD79" s="24"/>
    </row>
    <row r="80">
      <c r="A80" s="25"/>
      <c r="B80" s="17" t="s">
        <v>667</v>
      </c>
      <c r="C80" s="17">
        <v>9.102776486E9</v>
      </c>
      <c r="D80" s="26">
        <v>35.0</v>
      </c>
      <c r="E80" s="43" t="s">
        <v>367</v>
      </c>
      <c r="F80" s="26" t="s">
        <v>668</v>
      </c>
      <c r="G80" s="19"/>
      <c r="H80" s="19"/>
      <c r="I80" s="26" t="s">
        <v>544</v>
      </c>
      <c r="J80" s="19"/>
      <c r="K80" s="18" t="s">
        <v>608</v>
      </c>
      <c r="L80" s="26" t="s">
        <v>609</v>
      </c>
      <c r="M80" s="26" t="s">
        <v>610</v>
      </c>
      <c r="N80" s="44" t="s">
        <v>9</v>
      </c>
      <c r="O80" s="43" t="s">
        <v>4</v>
      </c>
      <c r="P80" s="43" t="s">
        <v>380</v>
      </c>
      <c r="Q80" s="19"/>
      <c r="R80" s="19"/>
      <c r="S80" s="43" t="s">
        <v>4</v>
      </c>
      <c r="T80" s="26" t="s">
        <v>660</v>
      </c>
      <c r="U80" s="43" t="s">
        <v>4</v>
      </c>
      <c r="V80" s="26" t="s">
        <v>618</v>
      </c>
      <c r="W80" s="42" t="s">
        <v>616</v>
      </c>
      <c r="X80" s="43" t="s">
        <v>4</v>
      </c>
      <c r="Y80" s="43" t="s">
        <v>4</v>
      </c>
      <c r="Z80" s="43" t="s">
        <v>4</v>
      </c>
      <c r="AA80" s="42" t="s">
        <v>391</v>
      </c>
      <c r="AB80" s="28"/>
      <c r="AC80" s="24"/>
      <c r="AD80" s="24"/>
    </row>
    <row r="81">
      <c r="A81" s="25"/>
      <c r="B81" s="17" t="s">
        <v>24</v>
      </c>
      <c r="C81" s="17">
        <v>7.06199243E9</v>
      </c>
      <c r="D81" s="26">
        <v>52.0</v>
      </c>
      <c r="E81" s="45"/>
      <c r="F81" s="26" t="s">
        <v>557</v>
      </c>
      <c r="G81" s="19"/>
      <c r="H81" s="19"/>
      <c r="I81" s="26" t="s">
        <v>669</v>
      </c>
      <c r="J81" s="19"/>
      <c r="K81" s="18" t="s">
        <v>608</v>
      </c>
      <c r="L81" s="26" t="s">
        <v>609</v>
      </c>
      <c r="M81" s="26" t="s">
        <v>610</v>
      </c>
      <c r="N81" s="44" t="s">
        <v>9</v>
      </c>
      <c r="O81" s="45"/>
      <c r="P81" s="43" t="s">
        <v>380</v>
      </c>
      <c r="Q81" s="19"/>
      <c r="R81" s="19"/>
      <c r="S81" s="43" t="s">
        <v>380</v>
      </c>
      <c r="T81" s="19"/>
      <c r="U81" s="43" t="s">
        <v>380</v>
      </c>
      <c r="V81" s="19"/>
      <c r="W81" s="42" t="s">
        <v>612</v>
      </c>
      <c r="X81" s="43" t="s">
        <v>4</v>
      </c>
      <c r="Y81" s="43" t="s">
        <v>4</v>
      </c>
      <c r="Z81" s="43" t="s">
        <v>4</v>
      </c>
      <c r="AA81" s="42" t="s">
        <v>391</v>
      </c>
      <c r="AB81" s="28"/>
      <c r="AC81" s="24"/>
      <c r="AD81" s="24"/>
    </row>
    <row r="82">
      <c r="A82" s="25"/>
      <c r="B82" s="17" t="s">
        <v>653</v>
      </c>
      <c r="C82" s="17">
        <v>8.310324048E9</v>
      </c>
      <c r="D82" s="26">
        <v>32.0</v>
      </c>
      <c r="E82" s="43" t="s">
        <v>367</v>
      </c>
      <c r="F82" s="26" t="s">
        <v>441</v>
      </c>
      <c r="G82" s="26" t="s">
        <v>371</v>
      </c>
      <c r="H82" s="26" t="s">
        <v>383</v>
      </c>
      <c r="I82" s="26" t="s">
        <v>384</v>
      </c>
      <c r="J82" s="26" t="s">
        <v>627</v>
      </c>
      <c r="K82" s="18" t="s">
        <v>608</v>
      </c>
      <c r="L82" s="26" t="s">
        <v>609</v>
      </c>
      <c r="M82" s="26" t="s">
        <v>658</v>
      </c>
      <c r="N82" s="44" t="s">
        <v>9</v>
      </c>
      <c r="O82" s="43" t="s">
        <v>4</v>
      </c>
      <c r="P82" s="43" t="s">
        <v>4</v>
      </c>
      <c r="Q82" s="26" t="s">
        <v>659</v>
      </c>
      <c r="R82" s="26" t="s">
        <v>652</v>
      </c>
      <c r="S82" s="43" t="s">
        <v>380</v>
      </c>
      <c r="T82" s="19"/>
      <c r="U82" s="43" t="s">
        <v>380</v>
      </c>
      <c r="V82" s="19"/>
      <c r="W82" s="42" t="s">
        <v>616</v>
      </c>
      <c r="X82" s="43" t="s">
        <v>4</v>
      </c>
      <c r="Y82" s="43" t="s">
        <v>4</v>
      </c>
      <c r="Z82" s="43" t="s">
        <v>4</v>
      </c>
      <c r="AA82" s="42" t="s">
        <v>391</v>
      </c>
      <c r="AB82" s="17"/>
      <c r="AC82" s="24"/>
      <c r="AD82" s="24"/>
    </row>
    <row r="83">
      <c r="A83" s="25"/>
      <c r="B83" s="17" t="s">
        <v>670</v>
      </c>
      <c r="C83" s="17">
        <v>7.654158771E9</v>
      </c>
      <c r="D83" s="26">
        <v>35.0</v>
      </c>
      <c r="E83" s="43" t="s">
        <v>367</v>
      </c>
      <c r="F83" s="26" t="s">
        <v>557</v>
      </c>
      <c r="G83" s="19"/>
      <c r="H83" s="19"/>
      <c r="I83" s="19"/>
      <c r="J83" s="19"/>
      <c r="K83" s="18" t="s">
        <v>608</v>
      </c>
      <c r="L83" s="19"/>
      <c r="M83" s="19"/>
      <c r="N83" s="44" t="s">
        <v>27</v>
      </c>
      <c r="O83" s="45"/>
      <c r="P83" s="45"/>
      <c r="Q83" s="19"/>
      <c r="R83" s="19"/>
      <c r="S83" s="45"/>
      <c r="T83" s="19"/>
      <c r="U83" s="45"/>
      <c r="V83" s="19"/>
      <c r="W83" s="46"/>
      <c r="X83" s="45"/>
      <c r="Y83" s="45"/>
      <c r="Z83" s="45"/>
      <c r="AA83" s="46"/>
      <c r="AB83" s="28"/>
      <c r="AC83" s="24"/>
      <c r="AD83" s="24"/>
    </row>
    <row r="84">
      <c r="A84" s="25"/>
      <c r="B84" s="17" t="s">
        <v>671</v>
      </c>
      <c r="C84" s="17">
        <v>7.257812106E9</v>
      </c>
      <c r="D84" s="26">
        <v>36.0</v>
      </c>
      <c r="E84" s="45"/>
      <c r="F84" s="26" t="s">
        <v>557</v>
      </c>
      <c r="G84" s="19"/>
      <c r="H84" s="19"/>
      <c r="I84" s="26" t="s">
        <v>384</v>
      </c>
      <c r="J84" s="19"/>
      <c r="K84" s="18" t="s">
        <v>608</v>
      </c>
      <c r="L84" s="26" t="s">
        <v>609</v>
      </c>
      <c r="M84" s="26" t="s">
        <v>658</v>
      </c>
      <c r="N84" s="44" t="s">
        <v>9</v>
      </c>
      <c r="O84" s="43" t="s">
        <v>4</v>
      </c>
      <c r="P84" s="43" t="s">
        <v>4</v>
      </c>
      <c r="Q84" s="26" t="s">
        <v>388</v>
      </c>
      <c r="R84" s="19"/>
      <c r="S84" s="43" t="s">
        <v>4</v>
      </c>
      <c r="T84" s="26" t="s">
        <v>611</v>
      </c>
      <c r="U84" s="43" t="s">
        <v>4</v>
      </c>
      <c r="V84" s="26" t="s">
        <v>618</v>
      </c>
      <c r="W84" s="42" t="s">
        <v>616</v>
      </c>
      <c r="X84" s="43" t="s">
        <v>4</v>
      </c>
      <c r="Y84" s="43" t="s">
        <v>4</v>
      </c>
      <c r="Z84" s="43" t="s">
        <v>4</v>
      </c>
      <c r="AA84" s="42" t="s">
        <v>391</v>
      </c>
      <c r="AB84" s="28"/>
      <c r="AC84" s="24"/>
      <c r="AD84" s="24"/>
    </row>
    <row r="85">
      <c r="A85" s="25"/>
      <c r="B85" s="17" t="s">
        <v>239</v>
      </c>
      <c r="C85" s="17">
        <v>9.065589656E9</v>
      </c>
      <c r="D85" s="19"/>
      <c r="E85" s="45"/>
      <c r="F85" s="19"/>
      <c r="G85" s="19"/>
      <c r="H85" s="19"/>
      <c r="I85" s="19"/>
      <c r="J85" s="19"/>
      <c r="K85" s="18" t="s">
        <v>608</v>
      </c>
      <c r="L85" s="19"/>
      <c r="M85" s="19"/>
      <c r="N85" s="44" t="s">
        <v>13</v>
      </c>
      <c r="O85" s="45"/>
      <c r="P85" s="45"/>
      <c r="Q85" s="19"/>
      <c r="R85" s="19"/>
      <c r="S85" s="45"/>
      <c r="T85" s="19"/>
      <c r="U85" s="45"/>
      <c r="V85" s="19"/>
      <c r="W85" s="46"/>
      <c r="X85" s="45"/>
      <c r="Y85" s="45"/>
      <c r="Z85" s="45"/>
      <c r="AA85" s="46"/>
      <c r="AB85" s="17"/>
      <c r="AC85" s="24"/>
      <c r="AD85" s="24"/>
    </row>
    <row r="86">
      <c r="A86" s="25"/>
      <c r="B86" s="17" t="s">
        <v>276</v>
      </c>
      <c r="C86" s="17">
        <v>7.762887398E9</v>
      </c>
      <c r="D86" s="26">
        <v>34.0</v>
      </c>
      <c r="E86" s="45"/>
      <c r="F86" s="26" t="s">
        <v>557</v>
      </c>
      <c r="G86" s="19"/>
      <c r="H86" s="19"/>
      <c r="I86" s="26" t="s">
        <v>384</v>
      </c>
      <c r="J86" s="19"/>
      <c r="K86" s="18" t="s">
        <v>608</v>
      </c>
      <c r="L86" s="26" t="s">
        <v>609</v>
      </c>
      <c r="M86" s="26" t="s">
        <v>658</v>
      </c>
      <c r="N86" s="44" t="s">
        <v>9</v>
      </c>
      <c r="O86" s="43" t="s">
        <v>4</v>
      </c>
      <c r="P86" s="43" t="s">
        <v>4</v>
      </c>
      <c r="Q86" s="26" t="s">
        <v>388</v>
      </c>
      <c r="R86" s="19"/>
      <c r="S86" s="43" t="s">
        <v>4</v>
      </c>
      <c r="T86" s="26" t="s">
        <v>672</v>
      </c>
      <c r="U86" s="43" t="s">
        <v>4</v>
      </c>
      <c r="V86" s="19"/>
      <c r="W86" s="42" t="s">
        <v>612</v>
      </c>
      <c r="X86" s="43" t="s">
        <v>4</v>
      </c>
      <c r="Y86" s="43" t="s">
        <v>4</v>
      </c>
      <c r="Z86" s="43" t="s">
        <v>4</v>
      </c>
      <c r="AA86" s="42" t="s">
        <v>391</v>
      </c>
      <c r="AB86" s="28"/>
      <c r="AC86" s="24"/>
      <c r="AD86" s="24"/>
    </row>
    <row r="87">
      <c r="A87" s="25"/>
      <c r="B87" s="17" t="s">
        <v>673</v>
      </c>
      <c r="C87" s="17">
        <v>8.905077729E9</v>
      </c>
      <c r="D87" s="19"/>
      <c r="E87" s="45"/>
      <c r="F87" s="19"/>
      <c r="G87" s="19"/>
      <c r="H87" s="19"/>
      <c r="I87" s="19"/>
      <c r="J87" s="19"/>
      <c r="K87" s="18" t="s">
        <v>608</v>
      </c>
      <c r="L87" s="19"/>
      <c r="M87" s="19"/>
      <c r="N87" s="44" t="s">
        <v>13</v>
      </c>
      <c r="O87" s="45"/>
      <c r="P87" s="45"/>
      <c r="Q87" s="19"/>
      <c r="R87" s="19"/>
      <c r="S87" s="45"/>
      <c r="T87" s="19"/>
      <c r="U87" s="45"/>
      <c r="V87" s="19"/>
      <c r="W87" s="46"/>
      <c r="X87" s="45"/>
      <c r="Y87" s="45"/>
      <c r="Z87" s="45"/>
      <c r="AA87" s="46"/>
      <c r="AB87" s="17"/>
      <c r="AC87" s="24"/>
      <c r="AD87" s="24"/>
    </row>
    <row r="88">
      <c r="A88" s="25"/>
      <c r="B88" s="17" t="s">
        <v>276</v>
      </c>
      <c r="C88" s="17">
        <v>9.525781036E9</v>
      </c>
      <c r="D88" s="19"/>
      <c r="E88" s="45"/>
      <c r="F88" s="19"/>
      <c r="G88" s="19"/>
      <c r="H88" s="19"/>
      <c r="I88" s="19"/>
      <c r="J88" s="19"/>
      <c r="K88" s="18" t="s">
        <v>608</v>
      </c>
      <c r="L88" s="19"/>
      <c r="M88" s="19"/>
      <c r="N88" s="44" t="s">
        <v>27</v>
      </c>
      <c r="O88" s="45"/>
      <c r="P88" s="45"/>
      <c r="Q88" s="19"/>
      <c r="R88" s="19"/>
      <c r="S88" s="45"/>
      <c r="T88" s="19"/>
      <c r="U88" s="45"/>
      <c r="V88" s="19"/>
      <c r="W88" s="46"/>
      <c r="X88" s="45"/>
      <c r="Y88" s="45"/>
      <c r="Z88" s="45"/>
      <c r="AA88" s="46"/>
      <c r="AB88" s="17"/>
      <c r="AC88" s="24"/>
      <c r="AD88" s="24"/>
    </row>
    <row r="89">
      <c r="A89" s="25"/>
      <c r="B89" s="17" t="s">
        <v>670</v>
      </c>
      <c r="C89" s="17">
        <v>8.873195113E9</v>
      </c>
      <c r="D89" s="19"/>
      <c r="E89" s="45"/>
      <c r="F89" s="19"/>
      <c r="G89" s="19"/>
      <c r="H89" s="19"/>
      <c r="I89" s="19"/>
      <c r="J89" s="19"/>
      <c r="K89" s="18" t="s">
        <v>608</v>
      </c>
      <c r="L89" s="19"/>
      <c r="M89" s="19"/>
      <c r="N89" s="44" t="s">
        <v>13</v>
      </c>
      <c r="O89" s="45"/>
      <c r="P89" s="45"/>
      <c r="Q89" s="19"/>
      <c r="R89" s="19"/>
      <c r="S89" s="45"/>
      <c r="T89" s="19"/>
      <c r="U89" s="45"/>
      <c r="V89" s="19"/>
      <c r="W89" s="46"/>
      <c r="X89" s="45"/>
      <c r="Y89" s="45"/>
      <c r="Z89" s="45"/>
      <c r="AA89" s="46"/>
      <c r="AB89" s="28"/>
      <c r="AC89" s="24"/>
      <c r="AD89" s="24"/>
    </row>
    <row r="90">
      <c r="A90" s="25"/>
      <c r="B90" s="17" t="s">
        <v>674</v>
      </c>
      <c r="C90" s="17">
        <v>8.298775638E9</v>
      </c>
      <c r="D90" s="26">
        <v>55.0</v>
      </c>
      <c r="E90" s="43" t="s">
        <v>367</v>
      </c>
      <c r="F90" s="26" t="s">
        <v>429</v>
      </c>
      <c r="G90" s="19"/>
      <c r="H90" s="19"/>
      <c r="I90" s="26" t="s">
        <v>675</v>
      </c>
      <c r="J90" s="19"/>
      <c r="K90" s="18" t="s">
        <v>608</v>
      </c>
      <c r="L90" s="26" t="s">
        <v>676</v>
      </c>
      <c r="M90" s="26" t="s">
        <v>658</v>
      </c>
      <c r="N90" s="44" t="s">
        <v>9</v>
      </c>
      <c r="O90" s="43" t="s">
        <v>4</v>
      </c>
      <c r="P90" s="43" t="s">
        <v>4</v>
      </c>
      <c r="Q90" s="19"/>
      <c r="R90" s="19"/>
      <c r="S90" s="43" t="s">
        <v>4</v>
      </c>
      <c r="T90" s="26" t="s">
        <v>672</v>
      </c>
      <c r="U90" s="43" t="s">
        <v>4</v>
      </c>
      <c r="V90" s="19"/>
      <c r="W90" s="42" t="s">
        <v>616</v>
      </c>
      <c r="X90" s="43" t="s">
        <v>4</v>
      </c>
      <c r="Y90" s="43" t="s">
        <v>4</v>
      </c>
      <c r="Z90" s="43" t="s">
        <v>4</v>
      </c>
      <c r="AA90" s="42" t="s">
        <v>391</v>
      </c>
      <c r="AB90" s="28"/>
      <c r="AC90" s="24"/>
      <c r="AD90" s="24"/>
    </row>
    <row r="91">
      <c r="A91" s="25"/>
      <c r="B91" s="17" t="s">
        <v>677</v>
      </c>
      <c r="C91" s="17">
        <v>6.203893706E9</v>
      </c>
      <c r="D91" s="26">
        <v>18.0</v>
      </c>
      <c r="E91" s="43" t="s">
        <v>367</v>
      </c>
      <c r="F91" s="26" t="s">
        <v>370</v>
      </c>
      <c r="G91" s="19"/>
      <c r="H91" s="19"/>
      <c r="I91" s="26" t="s">
        <v>384</v>
      </c>
      <c r="J91" s="19"/>
      <c r="K91" s="18" t="s">
        <v>608</v>
      </c>
      <c r="L91" s="26" t="s">
        <v>609</v>
      </c>
      <c r="M91" s="26" t="s">
        <v>658</v>
      </c>
      <c r="N91" s="44" t="s">
        <v>9</v>
      </c>
      <c r="O91" s="43" t="s">
        <v>4</v>
      </c>
      <c r="P91" s="43" t="s">
        <v>380</v>
      </c>
      <c r="Q91" s="19"/>
      <c r="R91" s="19"/>
      <c r="S91" s="43" t="s">
        <v>4</v>
      </c>
      <c r="T91" s="26" t="s">
        <v>611</v>
      </c>
      <c r="U91" s="45"/>
      <c r="V91" s="26" t="s">
        <v>678</v>
      </c>
      <c r="W91" s="42" t="s">
        <v>616</v>
      </c>
      <c r="X91" s="43" t="s">
        <v>4</v>
      </c>
      <c r="Y91" s="43" t="s">
        <v>4</v>
      </c>
      <c r="Z91" s="43" t="s">
        <v>4</v>
      </c>
      <c r="AA91" s="42" t="s">
        <v>391</v>
      </c>
      <c r="AB91" s="28"/>
      <c r="AC91" s="24"/>
      <c r="AD91" s="24"/>
    </row>
    <row r="92">
      <c r="A92" s="25"/>
      <c r="B92" s="17" t="s">
        <v>679</v>
      </c>
      <c r="C92" s="17">
        <v>9.973524417E9</v>
      </c>
      <c r="D92" s="19"/>
      <c r="E92" s="45"/>
      <c r="F92" s="19"/>
      <c r="G92" s="19"/>
      <c r="H92" s="19"/>
      <c r="I92" s="19"/>
      <c r="J92" s="19"/>
      <c r="K92" s="18" t="s">
        <v>608</v>
      </c>
      <c r="L92" s="19"/>
      <c r="M92" s="19"/>
      <c r="N92" s="44" t="s">
        <v>27</v>
      </c>
      <c r="O92" s="45"/>
      <c r="P92" s="45"/>
      <c r="Q92" s="19"/>
      <c r="R92" s="19"/>
      <c r="S92" s="45"/>
      <c r="T92" s="19"/>
      <c r="U92" s="45"/>
      <c r="V92" s="19"/>
      <c r="W92" s="46"/>
      <c r="X92" s="45"/>
      <c r="Y92" s="45"/>
      <c r="Z92" s="45"/>
      <c r="AA92" s="46"/>
      <c r="AB92" s="28"/>
      <c r="AC92" s="24"/>
      <c r="AD92" s="24"/>
    </row>
    <row r="93">
      <c r="A93" s="25"/>
      <c r="B93" s="17" t="s">
        <v>680</v>
      </c>
      <c r="C93" s="17">
        <v>7.782069133E9</v>
      </c>
      <c r="D93" s="19"/>
      <c r="E93" s="45"/>
      <c r="F93" s="19"/>
      <c r="G93" s="19"/>
      <c r="H93" s="19"/>
      <c r="I93" s="19"/>
      <c r="J93" s="19"/>
      <c r="K93" s="18" t="s">
        <v>608</v>
      </c>
      <c r="L93" s="19"/>
      <c r="M93" s="19"/>
      <c r="N93" s="44" t="s">
        <v>13</v>
      </c>
      <c r="O93" s="45"/>
      <c r="P93" s="45"/>
      <c r="Q93" s="19"/>
      <c r="R93" s="19"/>
      <c r="S93" s="45"/>
      <c r="T93" s="19"/>
      <c r="U93" s="45"/>
      <c r="V93" s="19"/>
      <c r="W93" s="46"/>
      <c r="X93" s="45"/>
      <c r="Y93" s="45"/>
      <c r="Z93" s="45"/>
      <c r="AA93" s="46"/>
      <c r="AB93" s="17"/>
      <c r="AC93" s="24"/>
      <c r="AD93" s="24"/>
    </row>
    <row r="94">
      <c r="A94" s="25"/>
      <c r="B94" s="17" t="s">
        <v>53</v>
      </c>
      <c r="C94" s="17">
        <v>9.065585658E9</v>
      </c>
      <c r="D94" s="26">
        <v>25.0</v>
      </c>
      <c r="E94" s="45"/>
      <c r="F94" s="26" t="s">
        <v>370</v>
      </c>
      <c r="G94" s="19"/>
      <c r="H94" s="19"/>
      <c r="I94" s="26" t="s">
        <v>377</v>
      </c>
      <c r="J94" s="19"/>
      <c r="K94" s="18" t="s">
        <v>608</v>
      </c>
      <c r="L94" s="26" t="s">
        <v>609</v>
      </c>
      <c r="M94" s="26" t="s">
        <v>610</v>
      </c>
      <c r="N94" s="44" t="s">
        <v>9</v>
      </c>
      <c r="O94" s="43" t="s">
        <v>4</v>
      </c>
      <c r="P94" s="45"/>
      <c r="Q94" s="19"/>
      <c r="R94" s="19"/>
      <c r="S94" s="43" t="s">
        <v>380</v>
      </c>
      <c r="T94" s="19"/>
      <c r="U94" s="43" t="s">
        <v>4</v>
      </c>
      <c r="V94" s="19"/>
      <c r="W94" s="42" t="s">
        <v>616</v>
      </c>
      <c r="X94" s="43" t="s">
        <v>4</v>
      </c>
      <c r="Y94" s="43" t="s">
        <v>4</v>
      </c>
      <c r="Z94" s="43" t="s">
        <v>4</v>
      </c>
      <c r="AA94" s="42" t="s">
        <v>391</v>
      </c>
      <c r="AB94" s="28"/>
      <c r="AC94" s="24"/>
      <c r="AD94" s="24"/>
    </row>
    <row r="95">
      <c r="A95" s="25"/>
      <c r="B95" s="17" t="s">
        <v>681</v>
      </c>
      <c r="C95" s="17">
        <v>9955.0</v>
      </c>
      <c r="D95" s="19"/>
      <c r="E95" s="45"/>
      <c r="F95" s="19"/>
      <c r="G95" s="19"/>
      <c r="H95" s="19"/>
      <c r="I95" s="19"/>
      <c r="J95" s="19"/>
      <c r="K95" s="18" t="s">
        <v>608</v>
      </c>
      <c r="L95" s="19"/>
      <c r="M95" s="19"/>
      <c r="N95" s="44" t="s">
        <v>30</v>
      </c>
      <c r="O95" s="45"/>
      <c r="P95" s="45"/>
      <c r="Q95" s="19"/>
      <c r="R95" s="19"/>
      <c r="S95" s="45"/>
      <c r="T95" s="19"/>
      <c r="U95" s="45"/>
      <c r="V95" s="19"/>
      <c r="W95" s="46"/>
      <c r="X95" s="45"/>
      <c r="Y95" s="45"/>
      <c r="Z95" s="45"/>
      <c r="AA95" s="46"/>
      <c r="AB95" s="28"/>
      <c r="AC95" s="24"/>
      <c r="AD95" s="24"/>
    </row>
    <row r="96">
      <c r="A96" s="31"/>
      <c r="B96" s="17" t="s">
        <v>284</v>
      </c>
      <c r="C96" s="17">
        <v>7.939896002E9</v>
      </c>
      <c r="D96" s="19"/>
      <c r="E96" s="45"/>
      <c r="F96" s="19"/>
      <c r="G96" s="19"/>
      <c r="H96" s="19"/>
      <c r="I96" s="19"/>
      <c r="J96" s="19"/>
      <c r="K96" s="18" t="s">
        <v>608</v>
      </c>
      <c r="L96" s="19"/>
      <c r="M96" s="19"/>
      <c r="N96" s="44" t="s">
        <v>30</v>
      </c>
      <c r="O96" s="45"/>
      <c r="P96" s="45"/>
      <c r="Q96" s="19"/>
      <c r="R96" s="19"/>
      <c r="S96" s="45"/>
      <c r="T96" s="19"/>
      <c r="U96" s="45"/>
      <c r="V96" s="19"/>
      <c r="W96" s="46"/>
      <c r="X96" s="45"/>
      <c r="Y96" s="45"/>
      <c r="Z96" s="45"/>
      <c r="AA96" s="46"/>
      <c r="AB96" s="17"/>
      <c r="AC96" s="24"/>
      <c r="AD96" s="24"/>
    </row>
    <row r="98">
      <c r="B98" s="105" t="s">
        <v>1822</v>
      </c>
      <c r="C98" s="105" t="s">
        <v>1823</v>
      </c>
      <c r="D98" s="105" t="s">
        <v>1824</v>
      </c>
      <c r="E98" s="105" t="s">
        <v>1825</v>
      </c>
      <c r="F98" s="105" t="s">
        <v>391</v>
      </c>
      <c r="G98" s="105" t="s">
        <v>1826</v>
      </c>
      <c r="H98" s="105" t="s">
        <v>23</v>
      </c>
      <c r="I98" s="105" t="s">
        <v>13</v>
      </c>
      <c r="J98" s="105" t="s">
        <v>1827</v>
      </c>
      <c r="K98" s="105" t="s">
        <v>1828</v>
      </c>
      <c r="L98" s="105" t="s">
        <v>54</v>
      </c>
      <c r="M98" s="105" t="s">
        <v>3</v>
      </c>
      <c r="N98" s="128" t="s">
        <v>1829</v>
      </c>
    </row>
    <row r="99">
      <c r="B99" s="17" t="s">
        <v>608</v>
      </c>
      <c r="C99" s="17" t="s">
        <v>1833</v>
      </c>
      <c r="D99" s="28">
        <v>41.0</v>
      </c>
      <c r="E99" s="17">
        <v>25.0</v>
      </c>
      <c r="F99" s="17">
        <v>25.0</v>
      </c>
      <c r="G99" s="17">
        <v>0.0</v>
      </c>
      <c r="H99" s="17">
        <v>1.0</v>
      </c>
      <c r="I99" s="28">
        <v>7.0</v>
      </c>
      <c r="J99" s="17">
        <v>5.0</v>
      </c>
      <c r="K99" s="17">
        <v>2.0</v>
      </c>
      <c r="L99" s="28">
        <v>1.0</v>
      </c>
      <c r="M99" s="17"/>
      <c r="N99" s="107">
        <v>45865.0</v>
      </c>
    </row>
  </sheetData>
  <mergeCells count="5">
    <mergeCell ref="A1:C5"/>
    <mergeCell ref="B41:C42"/>
    <mergeCell ref="A54:A76"/>
    <mergeCell ref="A77:A96"/>
    <mergeCell ref="B77:C78"/>
  </mergeCells>
  <dataValidations>
    <dataValidation type="list" allowBlank="1" showErrorMessage="1" sqref="O54:P76 S54:S76 U54:U76 X54:Z76 O79:P96 S79:S96 U79:U96 X79:Z96">
      <formula1>"Yes,NO"</formula1>
    </dataValidation>
    <dataValidation type="list" allowBlank="1" showErrorMessage="1" sqref="W54:W76 W79:W96">
      <formula1>"Bahut,Kuch Had Tak,Nahi"</formula1>
    </dataValidation>
    <dataValidation type="list" allowBlank="1" showErrorMessage="1" sqref="E54:E76 E79:E96">
      <formula1>"Male,Female"</formula1>
    </dataValidation>
    <dataValidation type="list" allowBlank="1" showErrorMessage="1" sqref="D7:D31 N54:N76 N79:N96">
      <formula1>"Connected,Call Back Later,Busy,Switch off,Not Received,Wrong No."</formula1>
    </dataValidation>
    <dataValidation type="list" allowBlank="1" showErrorMessage="1" sqref="E7:E31">
      <formula1>"CONFIRMED,NOT CONFIRMED"</formula1>
    </dataValidation>
    <dataValidation type="list" allowBlank="1" showErrorMessage="1" sqref="AA54:AA76 AA79:AA96">
      <formula1>"Verified,Not Verified"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</cols>
  <sheetData>
    <row r="1">
      <c r="A1" s="68" t="s">
        <v>1848</v>
      </c>
      <c r="D1" s="4"/>
      <c r="E1" s="3"/>
      <c r="F1" s="3"/>
    </row>
    <row r="2">
      <c r="D2" s="4"/>
      <c r="E2" s="3"/>
      <c r="F2" s="3"/>
    </row>
    <row r="3">
      <c r="D3" s="4"/>
      <c r="E3" s="3"/>
      <c r="F3" s="3"/>
    </row>
    <row r="4">
      <c r="D4" s="4"/>
      <c r="E4" s="3"/>
      <c r="F4" s="3"/>
    </row>
    <row r="5">
      <c r="D5" s="4"/>
      <c r="E5" s="3"/>
      <c r="F5" s="3"/>
    </row>
    <row r="6" ht="18.75" customHeight="1">
      <c r="D6" s="4"/>
      <c r="E6" s="3"/>
      <c r="F6" s="3"/>
    </row>
    <row r="7" ht="18.75" customHeight="1">
      <c r="D7" s="4"/>
      <c r="E7" s="3"/>
      <c r="F7" s="3"/>
    </row>
    <row r="8">
      <c r="A8" s="72" t="s">
        <v>5</v>
      </c>
      <c r="B8" s="72" t="s">
        <v>6</v>
      </c>
      <c r="C8" s="72" t="s">
        <v>7</v>
      </c>
      <c r="D8" s="73" t="s">
        <v>1738</v>
      </c>
      <c r="E8" s="74" t="s">
        <v>2</v>
      </c>
      <c r="F8" s="91" t="s">
        <v>3</v>
      </c>
      <c r="G8" s="92"/>
      <c r="H8" s="92"/>
    </row>
    <row r="9">
      <c r="A9" s="54">
        <v>1.0</v>
      </c>
      <c r="B9" s="53" t="s">
        <v>81</v>
      </c>
      <c r="C9" s="53">
        <v>7.3199605E9</v>
      </c>
      <c r="D9" s="20" t="s">
        <v>13</v>
      </c>
      <c r="E9" s="22"/>
    </row>
    <row r="10">
      <c r="A10" s="54">
        <v>2.0</v>
      </c>
      <c r="B10" s="53" t="s">
        <v>1441</v>
      </c>
      <c r="C10" s="53">
        <v>9.798263918E9</v>
      </c>
      <c r="D10" s="20" t="s">
        <v>27</v>
      </c>
      <c r="E10" s="22"/>
    </row>
    <row r="11">
      <c r="A11" s="54">
        <v>3.0</v>
      </c>
      <c r="B11" s="53" t="s">
        <v>1119</v>
      </c>
      <c r="C11" s="53">
        <v>9.097937103E9</v>
      </c>
      <c r="D11" s="20" t="s">
        <v>9</v>
      </c>
      <c r="E11" s="20" t="s">
        <v>1623</v>
      </c>
    </row>
    <row r="12">
      <c r="A12" s="54">
        <v>4.0</v>
      </c>
      <c r="B12" s="53" t="s">
        <v>1442</v>
      </c>
      <c r="C12" s="53">
        <v>9.060365941E9</v>
      </c>
      <c r="D12" s="20" t="s">
        <v>9</v>
      </c>
      <c r="E12" s="20" t="s">
        <v>1623</v>
      </c>
    </row>
    <row r="13">
      <c r="A13" s="54">
        <v>5.0</v>
      </c>
      <c r="B13" s="53" t="s">
        <v>1231</v>
      </c>
      <c r="C13" s="53">
        <v>6.203490074E9</v>
      </c>
      <c r="D13" s="20" t="s">
        <v>9</v>
      </c>
      <c r="E13" s="20" t="s">
        <v>1623</v>
      </c>
    </row>
    <row r="14">
      <c r="A14" s="54">
        <v>6.0</v>
      </c>
      <c r="B14" s="53" t="s">
        <v>1451</v>
      </c>
      <c r="C14" s="53">
        <v>9.631649075E9</v>
      </c>
      <c r="D14" s="20" t="s">
        <v>9</v>
      </c>
      <c r="E14" s="20" t="s">
        <v>1623</v>
      </c>
    </row>
    <row r="15">
      <c r="A15" s="54">
        <v>7.0</v>
      </c>
      <c r="B15" s="53" t="s">
        <v>1452</v>
      </c>
      <c r="C15" s="53">
        <v>9.608783425E9</v>
      </c>
      <c r="D15" s="20" t="s">
        <v>23</v>
      </c>
      <c r="E15" s="22"/>
    </row>
    <row r="16">
      <c r="A16" s="54">
        <v>8.0</v>
      </c>
      <c r="B16" s="53" t="s">
        <v>1453</v>
      </c>
      <c r="C16" s="53">
        <v>8.78996473E8</v>
      </c>
      <c r="D16" s="20" t="s">
        <v>27</v>
      </c>
      <c r="E16" s="22"/>
    </row>
    <row r="17">
      <c r="A17" s="54">
        <v>9.0</v>
      </c>
      <c r="B17" s="53" t="s">
        <v>1454</v>
      </c>
      <c r="C17" s="53">
        <v>9.431292623E9</v>
      </c>
      <c r="D17" s="20" t="s">
        <v>23</v>
      </c>
      <c r="E17" s="22"/>
    </row>
    <row r="18">
      <c r="A18" s="54">
        <v>10.0</v>
      </c>
      <c r="B18" s="53" t="s">
        <v>1455</v>
      </c>
      <c r="C18" s="53">
        <v>9.006491194E9</v>
      </c>
      <c r="D18" s="20" t="s">
        <v>23</v>
      </c>
      <c r="E18" s="22"/>
    </row>
    <row r="19">
      <c r="A19" s="54">
        <v>11.0</v>
      </c>
      <c r="B19" s="53" t="s">
        <v>1456</v>
      </c>
      <c r="C19" s="53">
        <v>6.204192749E9</v>
      </c>
      <c r="D19" s="20" t="s">
        <v>9</v>
      </c>
      <c r="E19" s="20" t="s">
        <v>1624</v>
      </c>
    </row>
    <row r="20">
      <c r="A20" s="54">
        <v>12.0</v>
      </c>
      <c r="B20" s="53" t="s">
        <v>90</v>
      </c>
      <c r="C20" s="53">
        <v>8.709532549E9</v>
      </c>
      <c r="D20" s="20" t="s">
        <v>23</v>
      </c>
      <c r="E20" s="20"/>
    </row>
    <row r="21">
      <c r="A21" s="54">
        <v>13.0</v>
      </c>
      <c r="B21" s="53" t="s">
        <v>1212</v>
      </c>
      <c r="C21" s="53">
        <v>6.203208472E9</v>
      </c>
      <c r="D21" s="20" t="s">
        <v>9</v>
      </c>
      <c r="E21" s="20" t="s">
        <v>1624</v>
      </c>
      <c r="F21" s="39" t="s">
        <v>1849</v>
      </c>
    </row>
    <row r="22">
      <c r="A22" s="54">
        <v>14.0</v>
      </c>
      <c r="B22" s="53" t="s">
        <v>1459</v>
      </c>
      <c r="C22" s="53">
        <v>9.279038472E9</v>
      </c>
      <c r="D22" s="20" t="s">
        <v>9</v>
      </c>
      <c r="E22" s="20" t="s">
        <v>1623</v>
      </c>
    </row>
    <row r="23">
      <c r="A23" s="54">
        <v>15.0</v>
      </c>
      <c r="B23" s="53" t="s">
        <v>1463</v>
      </c>
      <c r="C23" s="53">
        <v>7.667730455E9</v>
      </c>
      <c r="D23" s="20" t="s">
        <v>9</v>
      </c>
      <c r="E23" s="20" t="s">
        <v>1623</v>
      </c>
    </row>
    <row r="24">
      <c r="A24" s="54">
        <v>16.0</v>
      </c>
      <c r="B24" s="53" t="s">
        <v>1466</v>
      </c>
      <c r="C24" s="53">
        <v>6.203303043E9</v>
      </c>
      <c r="D24" s="20" t="s">
        <v>27</v>
      </c>
      <c r="E24" s="20"/>
    </row>
    <row r="25">
      <c r="A25" s="54">
        <v>17.0</v>
      </c>
      <c r="B25" s="53" t="s">
        <v>1467</v>
      </c>
      <c r="C25" s="53">
        <v>6.200141584E9</v>
      </c>
      <c r="D25" s="20" t="s">
        <v>23</v>
      </c>
      <c r="E25" s="22"/>
    </row>
    <row r="26">
      <c r="A26" s="54">
        <v>18.0</v>
      </c>
      <c r="B26" s="53" t="s">
        <v>1468</v>
      </c>
      <c r="C26" s="53">
        <v>9.241697868E9</v>
      </c>
      <c r="D26" s="20" t="s">
        <v>13</v>
      </c>
      <c r="E26" s="22"/>
    </row>
    <row r="27">
      <c r="A27" s="54">
        <v>19.0</v>
      </c>
      <c r="B27" s="53" t="s">
        <v>1469</v>
      </c>
      <c r="C27" s="53">
        <v>7.480929489E9</v>
      </c>
      <c r="D27" s="20" t="s">
        <v>9</v>
      </c>
      <c r="E27" s="20" t="s">
        <v>1623</v>
      </c>
    </row>
    <row r="28">
      <c r="A28" s="54">
        <v>20.0</v>
      </c>
      <c r="B28" s="53" t="s">
        <v>1472</v>
      </c>
      <c r="C28" s="53">
        <v>8.797639217E9</v>
      </c>
      <c r="D28" s="20" t="s">
        <v>23</v>
      </c>
      <c r="E28" s="22"/>
    </row>
    <row r="29">
      <c r="A29" s="54">
        <v>21.0</v>
      </c>
      <c r="B29" s="53" t="s">
        <v>1473</v>
      </c>
      <c r="C29" s="53">
        <v>6.205340964E9</v>
      </c>
      <c r="D29" s="20" t="s">
        <v>23</v>
      </c>
      <c r="E29" s="22"/>
    </row>
    <row r="30">
      <c r="A30" s="54">
        <v>22.0</v>
      </c>
      <c r="B30" s="53" t="s">
        <v>1475</v>
      </c>
      <c r="C30" s="53">
        <v>8.791639217E9</v>
      </c>
      <c r="D30" s="20" t="s">
        <v>27</v>
      </c>
      <c r="E30" s="22"/>
    </row>
    <row r="31">
      <c r="A31" s="54">
        <v>23.0</v>
      </c>
      <c r="B31" s="53" t="s">
        <v>1153</v>
      </c>
      <c r="C31" s="53">
        <v>9.122244868E9</v>
      </c>
      <c r="D31" s="20" t="s">
        <v>9</v>
      </c>
      <c r="E31" s="20" t="s">
        <v>1623</v>
      </c>
    </row>
    <row r="32">
      <c r="A32" s="54">
        <v>24.0</v>
      </c>
      <c r="B32" s="53" t="s">
        <v>188</v>
      </c>
      <c r="C32" s="53">
        <v>9.693404461E9</v>
      </c>
      <c r="D32" s="20" t="s">
        <v>9</v>
      </c>
      <c r="E32" s="20" t="s">
        <v>1623</v>
      </c>
    </row>
    <row r="33">
      <c r="A33" s="54">
        <v>25.0</v>
      </c>
      <c r="B33" s="53" t="s">
        <v>1480</v>
      </c>
      <c r="C33" s="53">
        <v>6.204731272E9</v>
      </c>
      <c r="D33" s="20" t="s">
        <v>9</v>
      </c>
      <c r="E33" s="20" t="s">
        <v>1623</v>
      </c>
    </row>
    <row r="34">
      <c r="A34" s="54">
        <v>26.0</v>
      </c>
      <c r="B34" s="53" t="s">
        <v>1484</v>
      </c>
      <c r="C34" s="53">
        <v>7.541031168E9</v>
      </c>
      <c r="D34" s="20" t="s">
        <v>54</v>
      </c>
      <c r="E34" s="22"/>
    </row>
    <row r="35">
      <c r="A35" s="54">
        <v>27.0</v>
      </c>
      <c r="B35" s="53" t="s">
        <v>1486</v>
      </c>
      <c r="C35" s="53">
        <v>9.80188133E8</v>
      </c>
      <c r="D35" s="20" t="s">
        <v>27</v>
      </c>
      <c r="E35" s="22"/>
    </row>
    <row r="36">
      <c r="A36" s="54">
        <v>28.0</v>
      </c>
      <c r="B36" s="53" t="s">
        <v>1487</v>
      </c>
      <c r="C36" s="53">
        <v>9.77129737E9</v>
      </c>
      <c r="D36" s="20" t="s">
        <v>9</v>
      </c>
      <c r="E36" s="20" t="s">
        <v>1623</v>
      </c>
    </row>
    <row r="37">
      <c r="A37" s="54">
        <v>29.0</v>
      </c>
      <c r="B37" s="53" t="s">
        <v>1492</v>
      </c>
      <c r="C37" s="53">
        <v>7.766875105E9</v>
      </c>
      <c r="D37" s="20" t="s">
        <v>9</v>
      </c>
      <c r="E37" s="20" t="s">
        <v>1623</v>
      </c>
    </row>
    <row r="38">
      <c r="A38" s="54">
        <v>30.0</v>
      </c>
      <c r="B38" s="53" t="s">
        <v>1493</v>
      </c>
      <c r="C38" s="53">
        <v>7.488308839E9</v>
      </c>
      <c r="D38" s="20" t="s">
        <v>9</v>
      </c>
      <c r="E38" s="20" t="s">
        <v>1624</v>
      </c>
    </row>
    <row r="39">
      <c r="A39" s="94"/>
      <c r="B39" s="94"/>
      <c r="C39" s="94"/>
      <c r="D39" s="94"/>
    </row>
    <row r="40">
      <c r="A40" s="94"/>
      <c r="B40" s="94"/>
      <c r="C40" s="94"/>
      <c r="D40" s="94"/>
    </row>
    <row r="41">
      <c r="A41" s="94"/>
      <c r="B41" s="94"/>
      <c r="C41" s="94"/>
      <c r="D41" s="94"/>
    </row>
    <row r="42">
      <c r="A42" s="94"/>
      <c r="B42" s="94"/>
      <c r="C42" s="94"/>
      <c r="D42" s="94"/>
    </row>
    <row r="43" ht="84.75" customHeight="1">
      <c r="A43" s="10" t="s">
        <v>339</v>
      </c>
      <c r="B43" s="11" t="s">
        <v>340</v>
      </c>
      <c r="C43" s="12" t="s">
        <v>341</v>
      </c>
      <c r="D43" s="11" t="s">
        <v>342</v>
      </c>
      <c r="E43" s="11" t="s">
        <v>343</v>
      </c>
      <c r="F43" s="11" t="s">
        <v>344</v>
      </c>
      <c r="G43" s="11" t="s">
        <v>345</v>
      </c>
      <c r="H43" s="11" t="s">
        <v>346</v>
      </c>
      <c r="I43" s="11" t="s">
        <v>347</v>
      </c>
      <c r="J43" s="12" t="s">
        <v>348</v>
      </c>
      <c r="K43" s="12" t="s">
        <v>349</v>
      </c>
      <c r="L43" s="11" t="s">
        <v>350</v>
      </c>
      <c r="M43" s="11" t="s">
        <v>351</v>
      </c>
      <c r="N43" s="11" t="s">
        <v>1</v>
      </c>
      <c r="O43" s="11" t="s">
        <v>352</v>
      </c>
      <c r="P43" s="11" t="s">
        <v>353</v>
      </c>
      <c r="Q43" s="11" t="s">
        <v>354</v>
      </c>
      <c r="R43" s="11" t="s">
        <v>355</v>
      </c>
      <c r="S43" s="11" t="s">
        <v>356</v>
      </c>
      <c r="T43" s="11" t="s">
        <v>357</v>
      </c>
      <c r="U43" s="11" t="s">
        <v>358</v>
      </c>
      <c r="V43" s="11" t="s">
        <v>359</v>
      </c>
      <c r="W43" s="11" t="s">
        <v>360</v>
      </c>
      <c r="X43" s="11" t="s">
        <v>361</v>
      </c>
      <c r="Y43" s="11" t="s">
        <v>362</v>
      </c>
      <c r="Z43" s="11" t="s">
        <v>363</v>
      </c>
      <c r="AA43" s="13" t="s">
        <v>364</v>
      </c>
      <c r="AB43" s="14" t="s">
        <v>3</v>
      </c>
      <c r="AC43" s="15"/>
      <c r="AD43" s="15"/>
    </row>
    <row r="44">
      <c r="A44" s="16" t="s">
        <v>1432</v>
      </c>
      <c r="B44" s="53" t="s">
        <v>81</v>
      </c>
      <c r="C44" s="53">
        <v>7.3199605E9</v>
      </c>
      <c r="D44" s="53">
        <v>35.0</v>
      </c>
      <c r="E44" s="20" t="s">
        <v>367</v>
      </c>
      <c r="F44" s="26" t="s">
        <v>1433</v>
      </c>
      <c r="G44" s="26" t="s">
        <v>458</v>
      </c>
      <c r="H44" s="26" t="s">
        <v>1310</v>
      </c>
      <c r="I44" s="26" t="s">
        <v>1434</v>
      </c>
      <c r="J44" s="26" t="s">
        <v>1435</v>
      </c>
      <c r="K44" s="18" t="s">
        <v>1436</v>
      </c>
      <c r="L44" s="26" t="s">
        <v>1437</v>
      </c>
      <c r="M44" s="26" t="s">
        <v>1365</v>
      </c>
      <c r="N44" s="21" t="s">
        <v>9</v>
      </c>
      <c r="O44" s="20" t="s">
        <v>4</v>
      </c>
      <c r="P44" s="20" t="s">
        <v>4</v>
      </c>
      <c r="Q44" s="26" t="s">
        <v>388</v>
      </c>
      <c r="R44" s="26" t="s">
        <v>1438</v>
      </c>
      <c r="S44" s="20" t="s">
        <v>4</v>
      </c>
      <c r="T44" s="26" t="s">
        <v>1439</v>
      </c>
      <c r="U44" s="20" t="s">
        <v>4</v>
      </c>
      <c r="V44" s="26" t="s">
        <v>1440</v>
      </c>
      <c r="W44" s="26" t="s">
        <v>616</v>
      </c>
      <c r="X44" s="20" t="s">
        <v>4</v>
      </c>
      <c r="Y44" s="20" t="s">
        <v>4</v>
      </c>
      <c r="Z44" s="20" t="s">
        <v>4</v>
      </c>
      <c r="AA44" s="26" t="s">
        <v>391</v>
      </c>
      <c r="AB44" s="28"/>
      <c r="AC44" s="24"/>
      <c r="AD44" s="24"/>
    </row>
    <row r="45">
      <c r="A45" s="25"/>
      <c r="B45" s="53" t="s">
        <v>1441</v>
      </c>
      <c r="C45" s="53">
        <v>9.798263918E9</v>
      </c>
      <c r="D45" s="95"/>
      <c r="E45" s="20"/>
      <c r="F45" s="26"/>
      <c r="G45" s="26"/>
      <c r="H45" s="26"/>
      <c r="I45" s="19"/>
      <c r="J45" s="53" t="s">
        <v>1435</v>
      </c>
      <c r="K45" s="18" t="s">
        <v>1436</v>
      </c>
      <c r="L45" s="26"/>
      <c r="M45" s="26"/>
      <c r="N45" s="21" t="s">
        <v>27</v>
      </c>
      <c r="O45" s="20"/>
      <c r="P45" s="20"/>
      <c r="Q45" s="26"/>
      <c r="R45" s="26"/>
      <c r="S45" s="20"/>
      <c r="T45" s="26"/>
      <c r="U45" s="20"/>
      <c r="V45" s="26"/>
      <c r="W45" s="26"/>
      <c r="X45" s="20"/>
      <c r="Y45" s="20"/>
      <c r="Z45" s="20"/>
      <c r="AA45" s="26"/>
      <c r="AB45" s="28"/>
      <c r="AC45" s="24"/>
      <c r="AD45" s="24"/>
    </row>
    <row r="46">
      <c r="A46" s="25"/>
      <c r="B46" s="53" t="s">
        <v>1119</v>
      </c>
      <c r="C46" s="53">
        <v>9.097937103E9</v>
      </c>
      <c r="D46" s="95"/>
      <c r="E46" s="20"/>
      <c r="F46" s="26"/>
      <c r="G46" s="26"/>
      <c r="H46" s="26"/>
      <c r="I46" s="19"/>
      <c r="J46" s="53" t="s">
        <v>1435</v>
      </c>
      <c r="K46" s="18" t="s">
        <v>1436</v>
      </c>
      <c r="L46" s="26"/>
      <c r="M46" s="26"/>
      <c r="N46" s="21" t="s">
        <v>23</v>
      </c>
      <c r="O46" s="20"/>
      <c r="P46" s="20"/>
      <c r="Q46" s="26"/>
      <c r="R46" s="26"/>
      <c r="S46" s="20"/>
      <c r="T46" s="26"/>
      <c r="U46" s="20"/>
      <c r="V46" s="26"/>
      <c r="W46" s="26"/>
      <c r="X46" s="20"/>
      <c r="Y46" s="20"/>
      <c r="Z46" s="20"/>
      <c r="AA46" s="26"/>
      <c r="AB46" s="28"/>
      <c r="AC46" s="24"/>
      <c r="AD46" s="24"/>
    </row>
    <row r="47">
      <c r="A47" s="25"/>
      <c r="B47" s="53" t="s">
        <v>1442</v>
      </c>
      <c r="C47" s="53">
        <v>9.060365941E9</v>
      </c>
      <c r="D47" s="53">
        <v>40.0</v>
      </c>
      <c r="E47" s="20" t="s">
        <v>367</v>
      </c>
      <c r="F47" s="26" t="s">
        <v>1443</v>
      </c>
      <c r="G47" s="26" t="s">
        <v>647</v>
      </c>
      <c r="H47" s="26" t="s">
        <v>376</v>
      </c>
      <c r="I47" s="26" t="s">
        <v>1444</v>
      </c>
      <c r="J47" s="53" t="s">
        <v>1435</v>
      </c>
      <c r="K47" s="18" t="s">
        <v>1436</v>
      </c>
      <c r="L47" s="26" t="s">
        <v>1445</v>
      </c>
      <c r="M47" s="26" t="s">
        <v>1446</v>
      </c>
      <c r="N47" s="21" t="s">
        <v>9</v>
      </c>
      <c r="O47" s="20" t="s">
        <v>4</v>
      </c>
      <c r="P47" s="20" t="s">
        <v>380</v>
      </c>
      <c r="Q47" s="26"/>
      <c r="R47" s="26"/>
      <c r="S47" s="20" t="s">
        <v>4</v>
      </c>
      <c r="T47" s="26" t="s">
        <v>462</v>
      </c>
      <c r="U47" s="20" t="s">
        <v>4</v>
      </c>
      <c r="V47" s="26" t="s">
        <v>1447</v>
      </c>
      <c r="W47" s="26" t="s">
        <v>616</v>
      </c>
      <c r="X47" s="20" t="s">
        <v>4</v>
      </c>
      <c r="Y47" s="20" t="s">
        <v>380</v>
      </c>
      <c r="Z47" s="20" t="s">
        <v>4</v>
      </c>
      <c r="AA47" s="26" t="s">
        <v>391</v>
      </c>
      <c r="AB47" s="28"/>
      <c r="AC47" s="24"/>
      <c r="AD47" s="24"/>
    </row>
    <row r="48">
      <c r="A48" s="25"/>
      <c r="B48" s="53" t="s">
        <v>1231</v>
      </c>
      <c r="C48" s="53">
        <v>6.203490074E9</v>
      </c>
      <c r="D48" s="53">
        <v>25.0</v>
      </c>
      <c r="E48" s="20" t="s">
        <v>367</v>
      </c>
      <c r="F48" s="26" t="s">
        <v>1448</v>
      </c>
      <c r="G48" s="26" t="s">
        <v>647</v>
      </c>
      <c r="H48" s="26" t="s">
        <v>376</v>
      </c>
      <c r="I48" s="26" t="s">
        <v>1280</v>
      </c>
      <c r="J48" s="53" t="s">
        <v>1435</v>
      </c>
      <c r="K48" s="18" t="s">
        <v>1436</v>
      </c>
      <c r="L48" s="26" t="s">
        <v>1449</v>
      </c>
      <c r="M48" s="26" t="s">
        <v>1450</v>
      </c>
      <c r="N48" s="21" t="s">
        <v>9</v>
      </c>
      <c r="O48" s="20" t="s">
        <v>4</v>
      </c>
      <c r="P48" s="20" t="s">
        <v>4</v>
      </c>
      <c r="Q48" s="26" t="s">
        <v>703</v>
      </c>
      <c r="R48" s="26"/>
      <c r="S48" s="20" t="s">
        <v>380</v>
      </c>
      <c r="T48" s="26"/>
      <c r="U48" s="20" t="s">
        <v>380</v>
      </c>
      <c r="V48" s="26"/>
      <c r="W48" s="26" t="s">
        <v>616</v>
      </c>
      <c r="X48" s="20" t="s">
        <v>4</v>
      </c>
      <c r="Y48" s="20" t="s">
        <v>4</v>
      </c>
      <c r="Z48" s="20" t="s">
        <v>4</v>
      </c>
      <c r="AA48" s="26" t="s">
        <v>391</v>
      </c>
      <c r="AB48" s="28"/>
      <c r="AC48" s="24"/>
      <c r="AD48" s="24"/>
    </row>
    <row r="49">
      <c r="A49" s="25"/>
      <c r="B49" s="53" t="s">
        <v>1451</v>
      </c>
      <c r="C49" s="53">
        <v>9.631649075E9</v>
      </c>
      <c r="D49" s="95"/>
      <c r="E49" s="20"/>
      <c r="F49" s="26"/>
      <c r="G49" s="26"/>
      <c r="H49" s="26"/>
      <c r="I49" s="19"/>
      <c r="J49" s="53" t="s">
        <v>1435</v>
      </c>
      <c r="K49" s="18" t="s">
        <v>1436</v>
      </c>
      <c r="L49" s="26"/>
      <c r="M49" s="26"/>
      <c r="N49" s="21" t="s">
        <v>27</v>
      </c>
      <c r="O49" s="20"/>
      <c r="P49" s="20"/>
      <c r="Q49" s="26"/>
      <c r="R49" s="26"/>
      <c r="S49" s="20"/>
      <c r="T49" s="26"/>
      <c r="U49" s="20"/>
      <c r="V49" s="26"/>
      <c r="W49" s="26"/>
      <c r="X49" s="20"/>
      <c r="Y49" s="20"/>
      <c r="Z49" s="20"/>
      <c r="AA49" s="26"/>
      <c r="AB49" s="28"/>
      <c r="AC49" s="24"/>
      <c r="AD49" s="24"/>
    </row>
    <row r="50">
      <c r="A50" s="25"/>
      <c r="B50" s="53" t="s">
        <v>1452</v>
      </c>
      <c r="C50" s="53">
        <v>9.608783425E9</v>
      </c>
      <c r="D50" s="95"/>
      <c r="E50" s="20"/>
      <c r="F50" s="26"/>
      <c r="G50" s="26"/>
      <c r="H50" s="26"/>
      <c r="I50" s="19"/>
      <c r="J50" s="53" t="s">
        <v>1435</v>
      </c>
      <c r="K50" s="18" t="s">
        <v>1436</v>
      </c>
      <c r="L50" s="26"/>
      <c r="M50" s="26"/>
      <c r="N50" s="21" t="s">
        <v>23</v>
      </c>
      <c r="O50" s="20"/>
      <c r="P50" s="20"/>
      <c r="Q50" s="26"/>
      <c r="R50" s="26"/>
      <c r="S50" s="20"/>
      <c r="T50" s="26"/>
      <c r="U50" s="20"/>
      <c r="V50" s="26"/>
      <c r="W50" s="26"/>
      <c r="X50" s="20"/>
      <c r="Y50" s="20"/>
      <c r="Z50" s="20"/>
      <c r="AA50" s="26"/>
      <c r="AB50" s="28"/>
      <c r="AC50" s="24"/>
      <c r="AD50" s="24"/>
    </row>
    <row r="51">
      <c r="A51" s="25"/>
      <c r="B51" s="53" t="s">
        <v>1453</v>
      </c>
      <c r="C51" s="53">
        <v>8.78996473E8</v>
      </c>
      <c r="D51" s="95"/>
      <c r="E51" s="20"/>
      <c r="F51" s="26"/>
      <c r="G51" s="26"/>
      <c r="H51" s="26"/>
      <c r="I51" s="19"/>
      <c r="J51" s="53" t="s">
        <v>1435</v>
      </c>
      <c r="K51" s="18" t="s">
        <v>1436</v>
      </c>
      <c r="L51" s="26"/>
      <c r="M51" s="26"/>
      <c r="N51" s="21" t="s">
        <v>27</v>
      </c>
      <c r="O51" s="20"/>
      <c r="P51" s="20"/>
      <c r="Q51" s="26"/>
      <c r="R51" s="26"/>
      <c r="S51" s="20"/>
      <c r="T51" s="26"/>
      <c r="U51" s="20"/>
      <c r="V51" s="26"/>
      <c r="W51" s="26"/>
      <c r="X51" s="20"/>
      <c r="Y51" s="20"/>
      <c r="Z51" s="20"/>
      <c r="AA51" s="26"/>
      <c r="AB51" s="28"/>
      <c r="AC51" s="24"/>
      <c r="AD51" s="24"/>
    </row>
    <row r="52">
      <c r="A52" s="25"/>
      <c r="B52" s="53" t="s">
        <v>1454</v>
      </c>
      <c r="C52" s="53">
        <v>9.431292623E9</v>
      </c>
      <c r="D52" s="95"/>
      <c r="E52" s="20"/>
      <c r="F52" s="26"/>
      <c r="G52" s="26"/>
      <c r="H52" s="26"/>
      <c r="I52" s="19"/>
      <c r="J52" s="53" t="s">
        <v>1435</v>
      </c>
      <c r="K52" s="18" t="s">
        <v>1436</v>
      </c>
      <c r="L52" s="26"/>
      <c r="M52" s="26"/>
      <c r="N52" s="21" t="s">
        <v>23</v>
      </c>
      <c r="O52" s="20"/>
      <c r="P52" s="20"/>
      <c r="Q52" s="26"/>
      <c r="R52" s="26"/>
      <c r="S52" s="20"/>
      <c r="T52" s="26"/>
      <c r="U52" s="20"/>
      <c r="V52" s="26"/>
      <c r="W52" s="26"/>
      <c r="X52" s="20"/>
      <c r="Y52" s="20"/>
      <c r="Z52" s="20"/>
      <c r="AA52" s="26"/>
      <c r="AB52" s="28"/>
      <c r="AC52" s="24"/>
      <c r="AD52" s="24"/>
    </row>
    <row r="53">
      <c r="A53" s="25"/>
      <c r="B53" s="53" t="s">
        <v>1455</v>
      </c>
      <c r="C53" s="53">
        <v>9.006491194E9</v>
      </c>
      <c r="D53" s="95"/>
      <c r="E53" s="20"/>
      <c r="F53" s="26"/>
      <c r="G53" s="26"/>
      <c r="H53" s="26"/>
      <c r="I53" s="19"/>
      <c r="J53" s="53" t="s">
        <v>1435</v>
      </c>
      <c r="K53" s="18" t="s">
        <v>1436</v>
      </c>
      <c r="L53" s="26"/>
      <c r="M53" s="26"/>
      <c r="N53" s="21" t="s">
        <v>27</v>
      </c>
      <c r="O53" s="20"/>
      <c r="P53" s="20"/>
      <c r="Q53" s="26"/>
      <c r="R53" s="26"/>
      <c r="S53" s="20"/>
      <c r="T53" s="26"/>
      <c r="U53" s="20"/>
      <c r="V53" s="26"/>
      <c r="W53" s="26"/>
      <c r="X53" s="20"/>
      <c r="Y53" s="20"/>
      <c r="Z53" s="20"/>
      <c r="AA53" s="26"/>
      <c r="AB53" s="28"/>
      <c r="AC53" s="24"/>
      <c r="AD53" s="24"/>
    </row>
    <row r="54">
      <c r="A54" s="25"/>
      <c r="B54" s="53" t="s">
        <v>1456</v>
      </c>
      <c r="C54" s="53">
        <v>6.204192749E9</v>
      </c>
      <c r="D54" s="53">
        <v>28.0</v>
      </c>
      <c r="E54" s="20" t="s">
        <v>367</v>
      </c>
      <c r="F54" s="26" t="s">
        <v>1457</v>
      </c>
      <c r="G54" s="26" t="s">
        <v>647</v>
      </c>
      <c r="H54" s="26" t="s">
        <v>1266</v>
      </c>
      <c r="I54" s="26" t="s">
        <v>1267</v>
      </c>
      <c r="J54" s="53" t="s">
        <v>1435</v>
      </c>
      <c r="K54" s="18" t="s">
        <v>1436</v>
      </c>
      <c r="L54" s="26" t="s">
        <v>1449</v>
      </c>
      <c r="M54" s="26" t="s">
        <v>1458</v>
      </c>
      <c r="N54" s="21" t="s">
        <v>9</v>
      </c>
      <c r="O54" s="20" t="s">
        <v>4</v>
      </c>
      <c r="P54" s="20" t="s">
        <v>4</v>
      </c>
      <c r="Q54" s="26" t="s">
        <v>444</v>
      </c>
      <c r="R54" s="26"/>
      <c r="S54" s="20" t="s">
        <v>380</v>
      </c>
      <c r="T54" s="26"/>
      <c r="U54" s="20" t="s">
        <v>380</v>
      </c>
      <c r="V54" s="26"/>
      <c r="W54" s="26" t="s">
        <v>616</v>
      </c>
      <c r="X54" s="20" t="s">
        <v>4</v>
      </c>
      <c r="Y54" s="20" t="s">
        <v>4</v>
      </c>
      <c r="Z54" s="20" t="s">
        <v>4</v>
      </c>
      <c r="AA54" s="26" t="s">
        <v>391</v>
      </c>
      <c r="AB54" s="28"/>
      <c r="AC54" s="24"/>
      <c r="AD54" s="24"/>
    </row>
    <row r="55">
      <c r="A55" s="25"/>
      <c r="B55" s="53" t="s">
        <v>90</v>
      </c>
      <c r="C55" s="53">
        <v>8.709532549E9</v>
      </c>
      <c r="D55" s="95"/>
      <c r="E55" s="20" t="s">
        <v>367</v>
      </c>
      <c r="F55" s="26"/>
      <c r="G55" s="26"/>
      <c r="H55" s="26"/>
      <c r="I55" s="19"/>
      <c r="J55" s="53" t="s">
        <v>1435</v>
      </c>
      <c r="K55" s="18" t="s">
        <v>1436</v>
      </c>
      <c r="L55" s="26"/>
      <c r="M55" s="26"/>
      <c r="N55" s="21" t="s">
        <v>30</v>
      </c>
      <c r="O55" s="20"/>
      <c r="P55" s="20"/>
      <c r="Q55" s="26"/>
      <c r="R55" s="26"/>
      <c r="S55" s="20"/>
      <c r="T55" s="26"/>
      <c r="U55" s="20"/>
      <c r="V55" s="26"/>
      <c r="W55" s="26"/>
      <c r="X55" s="20"/>
      <c r="Y55" s="20"/>
      <c r="Z55" s="20"/>
      <c r="AA55" s="26"/>
      <c r="AB55" s="28"/>
      <c r="AC55" s="24"/>
      <c r="AD55" s="24"/>
    </row>
    <row r="56">
      <c r="A56" s="25"/>
      <c r="B56" s="53" t="s">
        <v>1212</v>
      </c>
      <c r="C56" s="53">
        <v>6.203208472E9</v>
      </c>
      <c r="D56" s="95"/>
      <c r="E56" s="20"/>
      <c r="F56" s="26"/>
      <c r="G56" s="26"/>
      <c r="H56" s="26"/>
      <c r="I56" s="19"/>
      <c r="J56" s="53" t="s">
        <v>1435</v>
      </c>
      <c r="K56" s="18" t="s">
        <v>1436</v>
      </c>
      <c r="L56" s="26"/>
      <c r="M56" s="26"/>
      <c r="N56" s="21" t="s">
        <v>30</v>
      </c>
      <c r="O56" s="20"/>
      <c r="P56" s="20"/>
      <c r="Q56" s="26"/>
      <c r="R56" s="26"/>
      <c r="S56" s="20"/>
      <c r="T56" s="26"/>
      <c r="U56" s="20"/>
      <c r="V56" s="26"/>
      <c r="W56" s="26"/>
      <c r="X56" s="20"/>
      <c r="Y56" s="20"/>
      <c r="Z56" s="20"/>
      <c r="AA56" s="26"/>
      <c r="AB56" s="28"/>
      <c r="AC56" s="24"/>
      <c r="AD56" s="24"/>
    </row>
    <row r="57">
      <c r="A57" s="25"/>
      <c r="B57" s="53" t="s">
        <v>1459</v>
      </c>
      <c r="C57" s="53">
        <v>9.279038472E9</v>
      </c>
      <c r="D57" s="53">
        <v>20.0</v>
      </c>
      <c r="E57" s="20" t="s">
        <v>367</v>
      </c>
      <c r="F57" s="26" t="s">
        <v>382</v>
      </c>
      <c r="G57" s="26" t="s">
        <v>375</v>
      </c>
      <c r="H57" s="26" t="s">
        <v>383</v>
      </c>
      <c r="I57" s="26" t="s">
        <v>1460</v>
      </c>
      <c r="J57" s="53" t="s">
        <v>1435</v>
      </c>
      <c r="K57" s="18" t="s">
        <v>1436</v>
      </c>
      <c r="L57" s="26" t="s">
        <v>1461</v>
      </c>
      <c r="M57" s="26" t="s">
        <v>1462</v>
      </c>
      <c r="N57" s="21" t="s">
        <v>9</v>
      </c>
      <c r="O57" s="20" t="s">
        <v>4</v>
      </c>
      <c r="P57" s="20" t="s">
        <v>4</v>
      </c>
      <c r="Q57" s="26" t="s">
        <v>444</v>
      </c>
      <c r="R57" s="26"/>
      <c r="S57" s="20" t="s">
        <v>380</v>
      </c>
      <c r="T57" s="26"/>
      <c r="U57" s="20" t="s">
        <v>380</v>
      </c>
      <c r="V57" s="26"/>
      <c r="W57" s="26" t="s">
        <v>616</v>
      </c>
      <c r="X57" s="20" t="s">
        <v>4</v>
      </c>
      <c r="Y57" s="20" t="s">
        <v>4</v>
      </c>
      <c r="Z57" s="20" t="s">
        <v>4</v>
      </c>
      <c r="AA57" s="26" t="s">
        <v>391</v>
      </c>
      <c r="AB57" s="28"/>
      <c r="AC57" s="24"/>
      <c r="AD57" s="24"/>
    </row>
    <row r="58">
      <c r="A58" s="25"/>
      <c r="B58" s="53" t="s">
        <v>1463</v>
      </c>
      <c r="C58" s="53">
        <v>7.667730455E9</v>
      </c>
      <c r="D58" s="53">
        <v>20.0</v>
      </c>
      <c r="E58" s="20" t="s">
        <v>367</v>
      </c>
      <c r="F58" s="26" t="s">
        <v>382</v>
      </c>
      <c r="G58" s="26" t="s">
        <v>375</v>
      </c>
      <c r="H58" s="26" t="s">
        <v>512</v>
      </c>
      <c r="I58" s="26" t="s">
        <v>1464</v>
      </c>
      <c r="J58" s="53" t="s">
        <v>1435</v>
      </c>
      <c r="K58" s="18" t="s">
        <v>1436</v>
      </c>
      <c r="L58" s="26" t="s">
        <v>1461</v>
      </c>
      <c r="M58" s="26" t="s">
        <v>1465</v>
      </c>
      <c r="N58" s="21" t="s">
        <v>9</v>
      </c>
      <c r="O58" s="20" t="s">
        <v>4</v>
      </c>
      <c r="P58" s="20" t="s">
        <v>4</v>
      </c>
      <c r="Q58" s="26" t="s">
        <v>444</v>
      </c>
      <c r="R58" s="26"/>
      <c r="S58" s="20" t="s">
        <v>380</v>
      </c>
      <c r="T58" s="26"/>
      <c r="U58" s="20" t="s">
        <v>380</v>
      </c>
      <c r="V58" s="26"/>
      <c r="W58" s="26" t="s">
        <v>616</v>
      </c>
      <c r="X58" s="20" t="s">
        <v>4</v>
      </c>
      <c r="Y58" s="20" t="s">
        <v>4</v>
      </c>
      <c r="Z58" s="20" t="s">
        <v>4</v>
      </c>
      <c r="AA58" s="26" t="s">
        <v>391</v>
      </c>
      <c r="AB58" s="28"/>
      <c r="AC58" s="24"/>
      <c r="AD58" s="24"/>
    </row>
    <row r="59">
      <c r="A59" s="25"/>
      <c r="B59" s="53" t="s">
        <v>1466</v>
      </c>
      <c r="C59" s="53">
        <v>6.203303043E9</v>
      </c>
      <c r="D59" s="95"/>
      <c r="E59" s="20"/>
      <c r="F59" s="26"/>
      <c r="G59" s="26"/>
      <c r="H59" s="26"/>
      <c r="I59" s="19"/>
      <c r="J59" s="53" t="s">
        <v>1435</v>
      </c>
      <c r="K59" s="18" t="s">
        <v>1436</v>
      </c>
      <c r="L59" s="26"/>
      <c r="M59" s="26"/>
      <c r="N59" s="21" t="s">
        <v>23</v>
      </c>
      <c r="O59" s="20"/>
      <c r="P59" s="20"/>
      <c r="Q59" s="26"/>
      <c r="R59" s="26"/>
      <c r="S59" s="20"/>
      <c r="T59" s="26"/>
      <c r="U59" s="20"/>
      <c r="V59" s="26"/>
      <c r="W59" s="26"/>
      <c r="X59" s="20"/>
      <c r="Y59" s="20"/>
      <c r="Z59" s="20"/>
      <c r="AA59" s="26"/>
      <c r="AB59" s="28"/>
      <c r="AC59" s="24"/>
      <c r="AD59" s="24"/>
    </row>
    <row r="60">
      <c r="A60" s="25"/>
      <c r="B60" s="53" t="s">
        <v>1467</v>
      </c>
      <c r="C60" s="53">
        <v>6.200141584E9</v>
      </c>
      <c r="D60" s="95"/>
      <c r="E60" s="20"/>
      <c r="F60" s="26"/>
      <c r="G60" s="26"/>
      <c r="H60" s="26"/>
      <c r="I60" s="19"/>
      <c r="J60" s="53" t="s">
        <v>1435</v>
      </c>
      <c r="K60" s="18" t="s">
        <v>1436</v>
      </c>
      <c r="L60" s="26"/>
      <c r="M60" s="26"/>
      <c r="N60" s="21" t="s">
        <v>13</v>
      </c>
      <c r="O60" s="20"/>
      <c r="P60" s="20"/>
      <c r="Q60" s="26"/>
      <c r="R60" s="26"/>
      <c r="S60" s="20"/>
      <c r="T60" s="26"/>
      <c r="U60" s="20"/>
      <c r="V60" s="26"/>
      <c r="W60" s="26"/>
      <c r="X60" s="20"/>
      <c r="Y60" s="20"/>
      <c r="Z60" s="20"/>
      <c r="AA60" s="26"/>
      <c r="AB60" s="28"/>
      <c r="AC60" s="24"/>
      <c r="AD60" s="24"/>
    </row>
    <row r="61">
      <c r="A61" s="25"/>
      <c r="B61" s="53" t="s">
        <v>1468</v>
      </c>
      <c r="C61" s="53">
        <v>9.241697868E9</v>
      </c>
      <c r="D61" s="95"/>
      <c r="E61" s="20"/>
      <c r="F61" s="26"/>
      <c r="G61" s="26"/>
      <c r="H61" s="26"/>
      <c r="I61" s="19"/>
      <c r="J61" s="53" t="s">
        <v>1435</v>
      </c>
      <c r="K61" s="18" t="s">
        <v>1436</v>
      </c>
      <c r="L61" s="26"/>
      <c r="M61" s="26"/>
      <c r="N61" s="21" t="s">
        <v>13</v>
      </c>
      <c r="O61" s="20"/>
      <c r="P61" s="20"/>
      <c r="Q61" s="26"/>
      <c r="R61" s="26"/>
      <c r="S61" s="20"/>
      <c r="T61" s="26"/>
      <c r="U61" s="20"/>
      <c r="V61" s="26"/>
      <c r="W61" s="26"/>
      <c r="X61" s="20"/>
      <c r="Y61" s="20"/>
      <c r="Z61" s="20"/>
      <c r="AA61" s="26"/>
      <c r="AB61" s="28"/>
      <c r="AC61" s="24"/>
      <c r="AD61" s="24"/>
    </row>
    <row r="62">
      <c r="A62" s="25"/>
      <c r="B62" s="53" t="s">
        <v>1469</v>
      </c>
      <c r="C62" s="53">
        <v>7.480929489E9</v>
      </c>
      <c r="D62" s="53">
        <v>21.0</v>
      </c>
      <c r="E62" s="20" t="s">
        <v>367</v>
      </c>
      <c r="F62" s="26" t="s">
        <v>382</v>
      </c>
      <c r="G62" s="26" t="s">
        <v>375</v>
      </c>
      <c r="H62" s="26" t="s">
        <v>407</v>
      </c>
      <c r="I62" s="26" t="s">
        <v>1470</v>
      </c>
      <c r="J62" s="53" t="s">
        <v>1435</v>
      </c>
      <c r="K62" s="18" t="s">
        <v>1436</v>
      </c>
      <c r="L62" s="26" t="s">
        <v>1471</v>
      </c>
      <c r="M62" s="26" t="s">
        <v>1461</v>
      </c>
      <c r="N62" s="21" t="s">
        <v>9</v>
      </c>
      <c r="O62" s="20" t="s">
        <v>4</v>
      </c>
      <c r="P62" s="20" t="s">
        <v>4</v>
      </c>
      <c r="Q62" s="26" t="s">
        <v>444</v>
      </c>
      <c r="R62" s="26"/>
      <c r="S62" s="20" t="s">
        <v>380</v>
      </c>
      <c r="T62" s="26"/>
      <c r="U62" s="20" t="s">
        <v>380</v>
      </c>
      <c r="V62" s="26"/>
      <c r="W62" s="26" t="s">
        <v>616</v>
      </c>
      <c r="X62" s="20" t="s">
        <v>4</v>
      </c>
      <c r="Y62" s="20" t="s">
        <v>4</v>
      </c>
      <c r="Z62" s="20" t="s">
        <v>4</v>
      </c>
      <c r="AA62" s="26" t="s">
        <v>391</v>
      </c>
      <c r="AB62" s="28"/>
      <c r="AC62" s="24"/>
      <c r="AD62" s="24"/>
    </row>
    <row r="63">
      <c r="A63" s="25"/>
      <c r="B63" s="53" t="s">
        <v>1472</v>
      </c>
      <c r="C63" s="53">
        <v>8.797639217E9</v>
      </c>
      <c r="D63" s="95"/>
      <c r="E63" s="20"/>
      <c r="F63" s="26"/>
      <c r="G63" s="26"/>
      <c r="H63" s="26"/>
      <c r="I63" s="19"/>
      <c r="J63" s="53" t="s">
        <v>1435</v>
      </c>
      <c r="K63" s="18" t="s">
        <v>1436</v>
      </c>
      <c r="L63" s="26"/>
      <c r="M63" s="26"/>
      <c r="N63" s="21" t="s">
        <v>13</v>
      </c>
      <c r="O63" s="20"/>
      <c r="P63" s="20"/>
      <c r="Q63" s="26"/>
      <c r="R63" s="26"/>
      <c r="S63" s="20"/>
      <c r="T63" s="26"/>
      <c r="U63" s="20"/>
      <c r="V63" s="26"/>
      <c r="W63" s="26"/>
      <c r="X63" s="20"/>
      <c r="Y63" s="20"/>
      <c r="Z63" s="20"/>
      <c r="AA63" s="26"/>
      <c r="AB63" s="28"/>
      <c r="AC63" s="24"/>
      <c r="AD63" s="24"/>
    </row>
    <row r="64">
      <c r="A64" s="25"/>
      <c r="B64" s="53" t="s">
        <v>1473</v>
      </c>
      <c r="C64" s="53">
        <v>6.205340964E9</v>
      </c>
      <c r="D64" s="53">
        <v>21.0</v>
      </c>
      <c r="E64" s="20" t="s">
        <v>367</v>
      </c>
      <c r="F64" s="26" t="s">
        <v>382</v>
      </c>
      <c r="G64" s="26" t="s">
        <v>375</v>
      </c>
      <c r="H64" s="26" t="s">
        <v>804</v>
      </c>
      <c r="I64" s="26" t="s">
        <v>1474</v>
      </c>
      <c r="J64" s="53" t="s">
        <v>1435</v>
      </c>
      <c r="K64" s="18" t="s">
        <v>1436</v>
      </c>
      <c r="L64" s="26" t="s">
        <v>1461</v>
      </c>
      <c r="M64" s="26" t="s">
        <v>1461</v>
      </c>
      <c r="N64" s="21" t="s">
        <v>9</v>
      </c>
      <c r="O64" s="20" t="s">
        <v>4</v>
      </c>
      <c r="P64" s="20" t="s">
        <v>4</v>
      </c>
      <c r="Q64" s="26" t="s">
        <v>444</v>
      </c>
      <c r="R64" s="26"/>
      <c r="S64" s="20" t="s">
        <v>380</v>
      </c>
      <c r="T64" s="26"/>
      <c r="U64" s="20" t="s">
        <v>380</v>
      </c>
      <c r="V64" s="26"/>
      <c r="W64" s="26" t="s">
        <v>616</v>
      </c>
      <c r="X64" s="20" t="s">
        <v>4</v>
      </c>
      <c r="Y64" s="20" t="s">
        <v>4</v>
      </c>
      <c r="Z64" s="20" t="s">
        <v>4</v>
      </c>
      <c r="AA64" s="26" t="s">
        <v>391</v>
      </c>
      <c r="AB64" s="28"/>
      <c r="AC64" s="24"/>
      <c r="AD64" s="24"/>
    </row>
    <row r="65">
      <c r="A65" s="25"/>
      <c r="B65" s="53" t="s">
        <v>1475</v>
      </c>
      <c r="C65" s="53">
        <v>8.791639217E9</v>
      </c>
      <c r="D65" s="95"/>
      <c r="E65" s="20"/>
      <c r="F65" s="26"/>
      <c r="G65" s="26"/>
      <c r="H65" s="26"/>
      <c r="I65" s="19"/>
      <c r="J65" s="53" t="s">
        <v>1435</v>
      </c>
      <c r="K65" s="18" t="s">
        <v>1436</v>
      </c>
      <c r="L65" s="26"/>
      <c r="M65" s="26"/>
      <c r="N65" s="21" t="s">
        <v>27</v>
      </c>
      <c r="O65" s="20"/>
      <c r="P65" s="20"/>
      <c r="Q65" s="26"/>
      <c r="R65" s="26"/>
      <c r="S65" s="20"/>
      <c r="T65" s="26"/>
      <c r="U65" s="20"/>
      <c r="V65" s="26"/>
      <c r="W65" s="26"/>
      <c r="X65" s="20"/>
      <c r="Y65" s="20"/>
      <c r="Z65" s="20"/>
      <c r="AA65" s="26"/>
      <c r="AB65" s="28"/>
      <c r="AC65" s="24"/>
      <c r="AD65" s="24"/>
    </row>
    <row r="66">
      <c r="A66" s="25"/>
      <c r="B66" s="53" t="s">
        <v>1153</v>
      </c>
      <c r="C66" s="53">
        <v>9.122244868E9</v>
      </c>
      <c r="D66" s="53">
        <v>18.0</v>
      </c>
      <c r="E66" s="20" t="s">
        <v>367</v>
      </c>
      <c r="F66" s="26" t="s">
        <v>382</v>
      </c>
      <c r="G66" s="26" t="s">
        <v>375</v>
      </c>
      <c r="H66" s="26" t="s">
        <v>512</v>
      </c>
      <c r="I66" s="26" t="s">
        <v>1476</v>
      </c>
      <c r="J66" s="53" t="s">
        <v>1435</v>
      </c>
      <c r="K66" s="18" t="s">
        <v>1436</v>
      </c>
      <c r="L66" s="26" t="s">
        <v>1461</v>
      </c>
      <c r="M66" s="26" t="s">
        <v>1461</v>
      </c>
      <c r="N66" s="21" t="s">
        <v>9</v>
      </c>
      <c r="O66" s="20" t="s">
        <v>4</v>
      </c>
      <c r="P66" s="20" t="s">
        <v>380</v>
      </c>
      <c r="Q66" s="26"/>
      <c r="R66" s="26"/>
      <c r="S66" s="20"/>
      <c r="T66" s="26"/>
      <c r="U66" s="20"/>
      <c r="V66" s="26"/>
      <c r="W66" s="26" t="s">
        <v>616</v>
      </c>
      <c r="X66" s="20" t="s">
        <v>4</v>
      </c>
      <c r="Y66" s="20" t="s">
        <v>4</v>
      </c>
      <c r="Z66" s="20" t="s">
        <v>4</v>
      </c>
      <c r="AA66" s="26" t="s">
        <v>391</v>
      </c>
      <c r="AB66" s="28"/>
      <c r="AC66" s="24"/>
      <c r="AD66" s="24"/>
    </row>
    <row r="67">
      <c r="A67" s="25"/>
      <c r="B67" s="53" t="s">
        <v>188</v>
      </c>
      <c r="C67" s="53">
        <v>9.693404461E9</v>
      </c>
      <c r="D67" s="53">
        <v>22.0</v>
      </c>
      <c r="E67" s="20" t="s">
        <v>367</v>
      </c>
      <c r="F67" s="26" t="s">
        <v>1448</v>
      </c>
      <c r="G67" s="26" t="s">
        <v>647</v>
      </c>
      <c r="H67" s="26" t="s">
        <v>376</v>
      </c>
      <c r="I67" s="26" t="s">
        <v>1477</v>
      </c>
      <c r="J67" s="53" t="s">
        <v>1435</v>
      </c>
      <c r="K67" s="18" t="s">
        <v>1436</v>
      </c>
      <c r="L67" s="26" t="s">
        <v>1478</v>
      </c>
      <c r="M67" s="26" t="s">
        <v>1479</v>
      </c>
      <c r="N67" s="21" t="s">
        <v>9</v>
      </c>
      <c r="O67" s="20" t="s">
        <v>4</v>
      </c>
      <c r="P67" s="20" t="s">
        <v>380</v>
      </c>
      <c r="Q67" s="26"/>
      <c r="R67" s="26"/>
      <c r="S67" s="20" t="s">
        <v>380</v>
      </c>
      <c r="T67" s="26"/>
      <c r="U67" s="20" t="s">
        <v>380</v>
      </c>
      <c r="V67" s="26"/>
      <c r="W67" s="26" t="s">
        <v>616</v>
      </c>
      <c r="X67" s="20" t="s">
        <v>4</v>
      </c>
      <c r="Y67" s="20" t="s">
        <v>4</v>
      </c>
      <c r="Z67" s="20" t="s">
        <v>4</v>
      </c>
      <c r="AA67" s="26" t="s">
        <v>391</v>
      </c>
      <c r="AB67" s="28"/>
      <c r="AC67" s="24"/>
      <c r="AD67" s="24"/>
    </row>
    <row r="68">
      <c r="A68" s="25"/>
      <c r="B68" s="53" t="s">
        <v>1480</v>
      </c>
      <c r="C68" s="53">
        <v>6.204731272E9</v>
      </c>
      <c r="D68" s="53">
        <v>22.0</v>
      </c>
      <c r="E68" s="20" t="s">
        <v>367</v>
      </c>
      <c r="F68" s="26" t="s">
        <v>1457</v>
      </c>
      <c r="G68" s="26" t="s">
        <v>647</v>
      </c>
      <c r="H68" s="26" t="s">
        <v>1243</v>
      </c>
      <c r="I68" s="26" t="s">
        <v>1481</v>
      </c>
      <c r="J68" s="53" t="s">
        <v>1435</v>
      </c>
      <c r="K68" s="18" t="s">
        <v>1436</v>
      </c>
      <c r="L68" s="26" t="s">
        <v>1482</v>
      </c>
      <c r="M68" s="26" t="s">
        <v>1483</v>
      </c>
      <c r="N68" s="21" t="s">
        <v>9</v>
      </c>
      <c r="O68" s="20" t="s">
        <v>4</v>
      </c>
      <c r="P68" s="20" t="s">
        <v>4</v>
      </c>
      <c r="Q68" s="26" t="s">
        <v>703</v>
      </c>
      <c r="R68" s="26"/>
      <c r="S68" s="20" t="s">
        <v>380</v>
      </c>
      <c r="T68" s="26"/>
      <c r="U68" s="20" t="s">
        <v>380</v>
      </c>
      <c r="V68" s="26"/>
      <c r="W68" s="26" t="s">
        <v>616</v>
      </c>
      <c r="X68" s="20" t="s">
        <v>4</v>
      </c>
      <c r="Y68" s="20" t="s">
        <v>4</v>
      </c>
      <c r="Z68" s="20" t="s">
        <v>4</v>
      </c>
      <c r="AA68" s="26" t="s">
        <v>391</v>
      </c>
      <c r="AB68" s="28"/>
      <c r="AC68" s="24"/>
      <c r="AD68" s="24"/>
    </row>
    <row r="69">
      <c r="A69" s="25"/>
      <c r="B69" s="53" t="s">
        <v>1484</v>
      </c>
      <c r="C69" s="53">
        <v>7.541031168E9</v>
      </c>
      <c r="D69" s="53">
        <v>18.0</v>
      </c>
      <c r="E69" s="20" t="s">
        <v>367</v>
      </c>
      <c r="F69" s="26" t="s">
        <v>1448</v>
      </c>
      <c r="G69" s="26" t="s">
        <v>1304</v>
      </c>
      <c r="H69" s="26" t="s">
        <v>1233</v>
      </c>
      <c r="I69" s="26" t="s">
        <v>1485</v>
      </c>
      <c r="J69" s="53" t="s">
        <v>1435</v>
      </c>
      <c r="K69" s="18" t="s">
        <v>1436</v>
      </c>
      <c r="L69" s="26" t="s">
        <v>1449</v>
      </c>
      <c r="M69" s="26"/>
      <c r="N69" s="21" t="s">
        <v>9</v>
      </c>
      <c r="O69" s="20" t="s">
        <v>380</v>
      </c>
      <c r="P69" s="20" t="s">
        <v>4</v>
      </c>
      <c r="Q69" s="26" t="s">
        <v>867</v>
      </c>
      <c r="R69" s="26"/>
      <c r="S69" s="20" t="s">
        <v>380</v>
      </c>
      <c r="T69" s="26"/>
      <c r="U69" s="20" t="s">
        <v>380</v>
      </c>
      <c r="V69" s="26"/>
      <c r="W69" s="26" t="s">
        <v>616</v>
      </c>
      <c r="X69" s="20" t="s">
        <v>4</v>
      </c>
      <c r="Y69" s="20" t="s">
        <v>4</v>
      </c>
      <c r="Z69" s="20" t="s">
        <v>4</v>
      </c>
      <c r="AA69" s="26" t="s">
        <v>391</v>
      </c>
      <c r="AB69" s="28"/>
      <c r="AC69" s="24"/>
      <c r="AD69" s="24"/>
    </row>
    <row r="70">
      <c r="A70" s="25"/>
      <c r="B70" s="53" t="s">
        <v>1486</v>
      </c>
      <c r="C70" s="53">
        <v>9.80188133E8</v>
      </c>
      <c r="D70" s="95"/>
      <c r="E70" s="20"/>
      <c r="F70" s="26"/>
      <c r="G70" s="26"/>
      <c r="H70" s="26"/>
      <c r="I70" s="19"/>
      <c r="J70" s="53" t="s">
        <v>1435</v>
      </c>
      <c r="K70" s="18" t="s">
        <v>1436</v>
      </c>
      <c r="L70" s="26"/>
      <c r="M70" s="26"/>
      <c r="N70" s="21" t="s">
        <v>27</v>
      </c>
      <c r="O70" s="20"/>
      <c r="P70" s="20"/>
      <c r="Q70" s="26"/>
      <c r="R70" s="26"/>
      <c r="S70" s="20"/>
      <c r="T70" s="26"/>
      <c r="U70" s="20"/>
      <c r="V70" s="26"/>
      <c r="W70" s="26"/>
      <c r="X70" s="20"/>
      <c r="Y70" s="20"/>
      <c r="Z70" s="20"/>
      <c r="AA70" s="26"/>
      <c r="AB70" s="28"/>
      <c r="AC70" s="24"/>
      <c r="AD70" s="24"/>
    </row>
    <row r="71">
      <c r="A71" s="25"/>
      <c r="B71" s="53" t="s">
        <v>1487</v>
      </c>
      <c r="C71" s="53">
        <v>9.77129737E9</v>
      </c>
      <c r="D71" s="53">
        <v>33.0</v>
      </c>
      <c r="E71" s="20" t="s">
        <v>367</v>
      </c>
      <c r="F71" s="26" t="s">
        <v>1488</v>
      </c>
      <c r="G71" s="26" t="s">
        <v>647</v>
      </c>
      <c r="H71" s="26" t="s">
        <v>1266</v>
      </c>
      <c r="I71" s="26" t="s">
        <v>1489</v>
      </c>
      <c r="J71" s="53" t="s">
        <v>1435</v>
      </c>
      <c r="K71" s="18" t="s">
        <v>1436</v>
      </c>
      <c r="L71" s="26" t="s">
        <v>1449</v>
      </c>
      <c r="M71" s="26" t="s">
        <v>1490</v>
      </c>
      <c r="N71" s="21" t="s">
        <v>9</v>
      </c>
      <c r="O71" s="20" t="s">
        <v>4</v>
      </c>
      <c r="P71" s="20" t="s">
        <v>380</v>
      </c>
      <c r="Q71" s="26"/>
      <c r="R71" s="26"/>
      <c r="S71" s="20" t="s">
        <v>4</v>
      </c>
      <c r="T71" s="26" t="s">
        <v>1491</v>
      </c>
      <c r="U71" s="20" t="s">
        <v>380</v>
      </c>
      <c r="V71" s="26"/>
      <c r="W71" s="26" t="s">
        <v>616</v>
      </c>
      <c r="X71" s="20" t="s">
        <v>4</v>
      </c>
      <c r="Y71" s="20" t="s">
        <v>380</v>
      </c>
      <c r="Z71" s="20" t="s">
        <v>4</v>
      </c>
      <c r="AA71" s="26" t="s">
        <v>391</v>
      </c>
      <c r="AB71" s="28"/>
      <c r="AC71" s="24"/>
      <c r="AD71" s="24"/>
    </row>
    <row r="72">
      <c r="A72" s="25"/>
      <c r="B72" s="53" t="s">
        <v>1492</v>
      </c>
      <c r="C72" s="53">
        <v>7.766875105E9</v>
      </c>
      <c r="D72" s="95"/>
      <c r="E72" s="19"/>
      <c r="F72" s="19"/>
      <c r="G72" s="19"/>
      <c r="H72" s="19"/>
      <c r="I72" s="19"/>
      <c r="J72" s="19"/>
      <c r="K72" s="18" t="s">
        <v>1436</v>
      </c>
      <c r="L72" s="19"/>
      <c r="M72" s="19"/>
      <c r="N72" s="18" t="s">
        <v>180</v>
      </c>
      <c r="O72" s="19"/>
      <c r="P72" s="19"/>
      <c r="Q72" s="19"/>
      <c r="R72" s="19"/>
      <c r="AB72" s="33"/>
      <c r="AC72" s="24"/>
      <c r="AD72" s="24"/>
    </row>
    <row r="73">
      <c r="A73" s="31"/>
      <c r="B73" s="53" t="s">
        <v>1493</v>
      </c>
      <c r="C73" s="53">
        <v>7.488308839E9</v>
      </c>
      <c r="D73" s="53">
        <v>31.0</v>
      </c>
      <c r="E73" s="26" t="s">
        <v>367</v>
      </c>
      <c r="F73" s="26" t="s">
        <v>1494</v>
      </c>
      <c r="G73" s="26" t="s">
        <v>647</v>
      </c>
      <c r="H73" s="26" t="s">
        <v>1266</v>
      </c>
      <c r="I73" s="26" t="s">
        <v>1495</v>
      </c>
      <c r="J73" s="26" t="s">
        <v>1435</v>
      </c>
      <c r="K73" s="18" t="s">
        <v>1436</v>
      </c>
      <c r="L73" s="26" t="s">
        <v>1449</v>
      </c>
      <c r="M73" s="26" t="s">
        <v>1449</v>
      </c>
      <c r="N73" s="18" t="s">
        <v>1496</v>
      </c>
      <c r="O73" s="26" t="s">
        <v>4</v>
      </c>
      <c r="P73" s="26" t="s">
        <v>4</v>
      </c>
      <c r="Q73" s="26" t="s">
        <v>388</v>
      </c>
      <c r="R73" s="19"/>
      <c r="S73" s="39" t="s">
        <v>1497</v>
      </c>
      <c r="T73" s="39" t="s">
        <v>1251</v>
      </c>
      <c r="U73" s="39" t="s">
        <v>1497</v>
      </c>
      <c r="V73" s="39" t="s">
        <v>1498</v>
      </c>
      <c r="W73" s="39" t="s">
        <v>616</v>
      </c>
      <c r="X73" s="39" t="s">
        <v>4</v>
      </c>
      <c r="Y73" s="39" t="s">
        <v>4</v>
      </c>
      <c r="Z73" s="39" t="s">
        <v>4</v>
      </c>
      <c r="AA73" s="39" t="s">
        <v>1499</v>
      </c>
      <c r="AB73" s="33"/>
      <c r="AC73" s="24"/>
      <c r="AD73" s="24"/>
    </row>
    <row r="74">
      <c r="A74" s="94"/>
      <c r="B74" s="94"/>
      <c r="C74" s="94"/>
      <c r="D74" s="94"/>
    </row>
    <row r="75">
      <c r="A75" s="94"/>
      <c r="B75" s="94"/>
      <c r="C75" s="94"/>
      <c r="D75" s="94"/>
    </row>
    <row r="76">
      <c r="A76" s="94"/>
      <c r="B76" s="94"/>
      <c r="C76" s="94"/>
      <c r="D76" s="105" t="s">
        <v>1822</v>
      </c>
      <c r="E76" s="105" t="s">
        <v>1823</v>
      </c>
      <c r="F76" s="105" t="s">
        <v>1824</v>
      </c>
      <c r="G76" s="105" t="s">
        <v>1825</v>
      </c>
      <c r="H76" s="105" t="s">
        <v>391</v>
      </c>
      <c r="I76" s="105" t="s">
        <v>1826</v>
      </c>
      <c r="J76" s="105" t="s">
        <v>23</v>
      </c>
      <c r="K76" s="105" t="s">
        <v>13</v>
      </c>
      <c r="L76" s="105" t="s">
        <v>1827</v>
      </c>
      <c r="M76" s="105" t="s">
        <v>1828</v>
      </c>
      <c r="N76" s="105" t="s">
        <v>54</v>
      </c>
      <c r="O76" s="105" t="s">
        <v>3</v>
      </c>
    </row>
    <row r="77">
      <c r="A77" s="94"/>
      <c r="B77" s="94"/>
      <c r="C77" s="94"/>
      <c r="D77" s="53" t="s">
        <v>1436</v>
      </c>
      <c r="E77" s="53" t="s">
        <v>1845</v>
      </c>
      <c r="F77" s="95">
        <v>30.0</v>
      </c>
      <c r="G77" s="53">
        <v>13.0</v>
      </c>
      <c r="H77" s="53">
        <v>13.0</v>
      </c>
      <c r="I77" s="53">
        <v>0.0</v>
      </c>
      <c r="J77" s="53">
        <v>4.0</v>
      </c>
      <c r="K77" s="95">
        <v>3.0</v>
      </c>
      <c r="L77" s="53">
        <v>6.0</v>
      </c>
      <c r="M77" s="53">
        <v>2.0</v>
      </c>
      <c r="N77" s="95">
        <v>0.0</v>
      </c>
      <c r="O77" s="95"/>
    </row>
    <row r="78">
      <c r="A78" s="94"/>
      <c r="B78" s="94"/>
      <c r="C78" s="94"/>
    </row>
    <row r="79">
      <c r="A79" s="94"/>
      <c r="B79" s="94"/>
      <c r="C79" s="94"/>
      <c r="D79" s="94"/>
    </row>
    <row r="80">
      <c r="A80" s="94"/>
      <c r="B80" s="94"/>
      <c r="C80" s="94"/>
      <c r="D80" s="94"/>
    </row>
    <row r="81">
      <c r="A81" s="94"/>
      <c r="B81" s="94"/>
      <c r="C81" s="94"/>
      <c r="D81" s="94"/>
    </row>
    <row r="82">
      <c r="A82" s="94"/>
      <c r="B82" s="94"/>
      <c r="C82" s="94"/>
      <c r="D82" s="94"/>
    </row>
    <row r="83">
      <c r="A83" s="94"/>
      <c r="B83" s="94"/>
      <c r="C83" s="94"/>
      <c r="D83" s="94"/>
    </row>
    <row r="84">
      <c r="A84" s="94"/>
      <c r="B84" s="94"/>
      <c r="C84" s="94"/>
      <c r="D84" s="94"/>
    </row>
    <row r="85">
      <c r="A85" s="94"/>
      <c r="B85" s="94"/>
      <c r="C85" s="94"/>
      <c r="D85" s="94"/>
    </row>
    <row r="86">
      <c r="A86" s="94"/>
      <c r="B86" s="94"/>
      <c r="C86" s="94"/>
      <c r="D86" s="94"/>
    </row>
    <row r="87">
      <c r="A87" s="94"/>
      <c r="B87" s="94"/>
      <c r="C87" s="94"/>
      <c r="D87" s="94"/>
    </row>
    <row r="88">
      <c r="A88" s="94"/>
      <c r="B88" s="94"/>
      <c r="C88" s="94"/>
      <c r="D88" s="94"/>
    </row>
    <row r="89">
      <c r="A89" s="94"/>
      <c r="B89" s="94"/>
      <c r="C89" s="94"/>
      <c r="D89" s="94"/>
    </row>
    <row r="90">
      <c r="A90" s="94"/>
      <c r="B90" s="94"/>
      <c r="C90" s="94"/>
      <c r="D90" s="94"/>
    </row>
    <row r="91">
      <c r="A91" s="94"/>
      <c r="B91" s="94"/>
      <c r="C91" s="94"/>
      <c r="D91" s="94"/>
    </row>
    <row r="92">
      <c r="A92" s="94"/>
      <c r="B92" s="94"/>
      <c r="C92" s="94"/>
      <c r="D92" s="94"/>
    </row>
    <row r="93">
      <c r="A93" s="94"/>
      <c r="B93" s="94"/>
      <c r="C93" s="94"/>
      <c r="D93" s="94"/>
    </row>
    <row r="94">
      <c r="A94" s="94"/>
      <c r="B94" s="94"/>
      <c r="C94" s="94"/>
      <c r="D94" s="94"/>
    </row>
    <row r="95">
      <c r="A95" s="94"/>
      <c r="B95" s="94"/>
      <c r="C95" s="94"/>
      <c r="D95" s="94"/>
    </row>
    <row r="96">
      <c r="A96" s="94"/>
      <c r="B96" s="94"/>
      <c r="C96" s="94"/>
      <c r="D96" s="94"/>
    </row>
    <row r="97">
      <c r="A97" s="94"/>
      <c r="B97" s="94"/>
      <c r="C97" s="94"/>
      <c r="D97" s="94"/>
    </row>
    <row r="98">
      <c r="A98" s="94"/>
      <c r="B98" s="94"/>
      <c r="C98" s="94"/>
      <c r="D98" s="94"/>
    </row>
    <row r="99">
      <c r="A99" s="94"/>
      <c r="B99" s="94"/>
      <c r="C99" s="94"/>
      <c r="D99" s="94"/>
    </row>
    <row r="100">
      <c r="A100" s="94"/>
      <c r="B100" s="94"/>
      <c r="C100" s="94"/>
      <c r="D100" s="94"/>
    </row>
    <row r="101">
      <c r="A101" s="94"/>
      <c r="B101" s="94"/>
      <c r="C101" s="94"/>
      <c r="D101" s="94"/>
    </row>
    <row r="102">
      <c r="A102" s="94"/>
      <c r="B102" s="94"/>
      <c r="C102" s="94"/>
      <c r="D102" s="94"/>
    </row>
    <row r="103">
      <c r="A103" s="94"/>
      <c r="B103" s="94"/>
      <c r="C103" s="94"/>
      <c r="D103" s="94"/>
    </row>
    <row r="104">
      <c r="A104" s="94"/>
      <c r="B104" s="94"/>
      <c r="C104" s="94"/>
      <c r="D104" s="94"/>
    </row>
    <row r="105">
      <c r="A105" s="94"/>
      <c r="B105" s="94"/>
      <c r="C105" s="94"/>
      <c r="D105" s="94"/>
    </row>
    <row r="106">
      <c r="A106" s="94"/>
      <c r="B106" s="94"/>
      <c r="C106" s="94"/>
      <c r="D106" s="94"/>
    </row>
    <row r="107">
      <c r="A107" s="94"/>
      <c r="B107" s="94"/>
      <c r="C107" s="94"/>
      <c r="D107" s="94"/>
    </row>
    <row r="108">
      <c r="A108" s="94"/>
      <c r="B108" s="94"/>
      <c r="C108" s="94"/>
      <c r="D108" s="94"/>
    </row>
    <row r="109">
      <c r="A109" s="94"/>
      <c r="B109" s="94"/>
      <c r="C109" s="94"/>
      <c r="D109" s="94"/>
    </row>
    <row r="110">
      <c r="A110" s="94"/>
      <c r="B110" s="94"/>
      <c r="C110" s="94"/>
      <c r="D110" s="94"/>
    </row>
    <row r="111">
      <c r="A111" s="94"/>
      <c r="B111" s="94"/>
      <c r="C111" s="94"/>
      <c r="D111" s="94"/>
    </row>
    <row r="112">
      <c r="A112" s="94"/>
      <c r="B112" s="94"/>
      <c r="C112" s="94"/>
      <c r="D112" s="94"/>
    </row>
    <row r="113">
      <c r="A113" s="94"/>
      <c r="B113" s="94"/>
      <c r="C113" s="94"/>
      <c r="D113" s="94"/>
    </row>
    <row r="114">
      <c r="A114" s="94"/>
      <c r="B114" s="94"/>
      <c r="C114" s="94"/>
      <c r="D114" s="94"/>
    </row>
    <row r="115">
      <c r="A115" s="94"/>
      <c r="B115" s="94"/>
      <c r="C115" s="94"/>
      <c r="D115" s="94"/>
    </row>
    <row r="116">
      <c r="A116" s="94"/>
      <c r="B116" s="94"/>
      <c r="C116" s="94"/>
      <c r="D116" s="94"/>
    </row>
    <row r="117">
      <c r="A117" s="94"/>
      <c r="B117" s="94"/>
      <c r="C117" s="94"/>
      <c r="D117" s="94"/>
    </row>
    <row r="118">
      <c r="A118" s="94"/>
      <c r="B118" s="94"/>
      <c r="C118" s="94"/>
      <c r="D118" s="94"/>
    </row>
    <row r="119">
      <c r="A119" s="94"/>
      <c r="B119" s="94"/>
      <c r="C119" s="94"/>
      <c r="D119" s="94"/>
    </row>
    <row r="120">
      <c r="A120" s="94"/>
      <c r="B120" s="94"/>
      <c r="C120" s="94"/>
      <c r="D120" s="94"/>
    </row>
    <row r="121">
      <c r="A121" s="94"/>
      <c r="B121" s="94"/>
      <c r="C121" s="94"/>
      <c r="D121" s="94"/>
    </row>
    <row r="122">
      <c r="A122" s="94"/>
      <c r="B122" s="94"/>
      <c r="C122" s="94"/>
      <c r="D122" s="94"/>
    </row>
    <row r="123">
      <c r="A123" s="94"/>
      <c r="B123" s="94"/>
      <c r="C123" s="94"/>
      <c r="D123" s="94"/>
    </row>
    <row r="124">
      <c r="A124" s="94"/>
      <c r="B124" s="94"/>
      <c r="C124" s="94"/>
      <c r="D124" s="94"/>
    </row>
    <row r="125">
      <c r="A125" s="94"/>
      <c r="B125" s="94"/>
      <c r="C125" s="94"/>
      <c r="D125" s="94"/>
    </row>
    <row r="126">
      <c r="A126" s="94"/>
      <c r="B126" s="94"/>
      <c r="C126" s="94"/>
      <c r="D126" s="94"/>
    </row>
    <row r="127">
      <c r="A127" s="94"/>
      <c r="B127" s="94"/>
      <c r="C127" s="94"/>
      <c r="D127" s="94"/>
    </row>
    <row r="128">
      <c r="A128" s="94"/>
      <c r="B128" s="94"/>
      <c r="C128" s="94"/>
      <c r="D128" s="94"/>
    </row>
    <row r="129">
      <c r="A129" s="94"/>
      <c r="B129" s="94"/>
      <c r="C129" s="94"/>
      <c r="D129" s="94"/>
    </row>
    <row r="130">
      <c r="A130" s="94"/>
      <c r="B130" s="94"/>
      <c r="C130" s="94"/>
      <c r="D130" s="94"/>
    </row>
    <row r="131">
      <c r="A131" s="94"/>
      <c r="B131" s="94"/>
      <c r="C131" s="94"/>
      <c r="D131" s="94"/>
    </row>
    <row r="132">
      <c r="A132" s="94"/>
      <c r="B132" s="94"/>
      <c r="C132" s="94"/>
      <c r="D132" s="94"/>
    </row>
    <row r="133">
      <c r="A133" s="94"/>
      <c r="B133" s="94"/>
      <c r="C133" s="94"/>
      <c r="D133" s="94"/>
    </row>
    <row r="134">
      <c r="A134" s="94"/>
      <c r="B134" s="94"/>
      <c r="C134" s="94"/>
      <c r="D134" s="94"/>
    </row>
    <row r="135">
      <c r="A135" s="94"/>
      <c r="B135" s="94"/>
      <c r="C135" s="94"/>
      <c r="D135" s="94"/>
    </row>
    <row r="136">
      <c r="A136" s="94"/>
      <c r="B136" s="94"/>
      <c r="C136" s="94"/>
      <c r="D136" s="94"/>
    </row>
    <row r="137">
      <c r="A137" s="94"/>
      <c r="B137" s="94"/>
      <c r="C137" s="94"/>
      <c r="D137" s="94"/>
    </row>
    <row r="138">
      <c r="A138" s="94"/>
      <c r="B138" s="94"/>
      <c r="C138" s="94"/>
      <c r="D138" s="94"/>
    </row>
    <row r="139">
      <c r="A139" s="94"/>
      <c r="B139" s="94"/>
      <c r="C139" s="94"/>
      <c r="D139" s="94"/>
    </row>
    <row r="140">
      <c r="A140" s="94"/>
      <c r="B140" s="94"/>
      <c r="C140" s="94"/>
      <c r="D140" s="94"/>
    </row>
    <row r="141">
      <c r="A141" s="94"/>
      <c r="B141" s="94"/>
      <c r="C141" s="94"/>
      <c r="D141" s="94"/>
    </row>
    <row r="142">
      <c r="A142" s="94"/>
      <c r="B142" s="94"/>
      <c r="C142" s="94"/>
      <c r="D142" s="94"/>
    </row>
    <row r="143">
      <c r="A143" s="94"/>
      <c r="B143" s="94"/>
      <c r="C143" s="94"/>
      <c r="D143" s="94"/>
    </row>
    <row r="144">
      <c r="A144" s="94"/>
      <c r="B144" s="94"/>
      <c r="C144" s="94"/>
      <c r="D144" s="94"/>
    </row>
    <row r="145">
      <c r="A145" s="94"/>
      <c r="B145" s="94"/>
      <c r="C145" s="94"/>
      <c r="D145" s="94"/>
    </row>
    <row r="146">
      <c r="A146" s="94"/>
      <c r="B146" s="94"/>
      <c r="C146" s="94"/>
      <c r="D146" s="94"/>
    </row>
    <row r="147">
      <c r="A147" s="94"/>
      <c r="B147" s="94"/>
      <c r="C147" s="94"/>
      <c r="D147" s="94"/>
    </row>
    <row r="148">
      <c r="A148" s="94"/>
      <c r="B148" s="94"/>
      <c r="C148" s="94"/>
      <c r="D148" s="94"/>
    </row>
    <row r="149">
      <c r="A149" s="94"/>
      <c r="B149" s="94"/>
      <c r="C149" s="94"/>
      <c r="D149" s="94"/>
    </row>
    <row r="150">
      <c r="A150" s="94"/>
      <c r="B150" s="94"/>
      <c r="C150" s="94"/>
      <c r="D150" s="94"/>
    </row>
    <row r="151">
      <c r="A151" s="94"/>
      <c r="B151" s="94"/>
      <c r="C151" s="94"/>
      <c r="D151" s="94"/>
    </row>
    <row r="152">
      <c r="A152" s="94"/>
      <c r="B152" s="94"/>
      <c r="C152" s="94"/>
      <c r="D152" s="94"/>
    </row>
    <row r="153">
      <c r="A153" s="94"/>
      <c r="B153" s="94"/>
      <c r="C153" s="94"/>
      <c r="D153" s="94"/>
    </row>
    <row r="154">
      <c r="A154" s="94"/>
      <c r="B154" s="94"/>
      <c r="C154" s="94"/>
      <c r="D154" s="94"/>
    </row>
    <row r="155">
      <c r="A155" s="94"/>
      <c r="B155" s="94"/>
      <c r="C155" s="94"/>
      <c r="D155" s="94"/>
    </row>
    <row r="156">
      <c r="A156" s="94"/>
      <c r="B156" s="94"/>
      <c r="C156" s="94"/>
      <c r="D156" s="94"/>
    </row>
    <row r="157">
      <c r="A157" s="94"/>
      <c r="B157" s="94"/>
      <c r="C157" s="94"/>
      <c r="D157" s="94"/>
    </row>
    <row r="158">
      <c r="A158" s="94"/>
      <c r="B158" s="94"/>
      <c r="C158" s="94"/>
      <c r="D158" s="94"/>
    </row>
    <row r="159">
      <c r="A159" s="94"/>
      <c r="B159" s="94"/>
      <c r="C159" s="94"/>
      <c r="D159" s="94"/>
    </row>
    <row r="160">
      <c r="A160" s="94"/>
      <c r="B160" s="94"/>
      <c r="C160" s="94"/>
      <c r="D160" s="94"/>
    </row>
    <row r="161">
      <c r="A161" s="94"/>
      <c r="B161" s="94"/>
      <c r="C161" s="94"/>
      <c r="D161" s="94"/>
    </row>
    <row r="162">
      <c r="A162" s="94"/>
      <c r="B162" s="94"/>
      <c r="C162" s="94"/>
      <c r="D162" s="94"/>
    </row>
    <row r="163">
      <c r="A163" s="94"/>
      <c r="B163" s="94"/>
      <c r="C163" s="94"/>
      <c r="D163" s="94"/>
    </row>
    <row r="164">
      <c r="A164" s="94"/>
      <c r="B164" s="94"/>
      <c r="C164" s="94"/>
      <c r="D164" s="94"/>
    </row>
    <row r="165">
      <c r="A165" s="94"/>
      <c r="B165" s="94"/>
      <c r="C165" s="94"/>
      <c r="D165" s="94"/>
    </row>
    <row r="166">
      <c r="A166" s="94"/>
      <c r="B166" s="94"/>
      <c r="C166" s="94"/>
      <c r="D166" s="94"/>
    </row>
    <row r="167">
      <c r="A167" s="94"/>
      <c r="B167" s="94"/>
      <c r="C167" s="94"/>
      <c r="D167" s="94"/>
    </row>
    <row r="168">
      <c r="A168" s="94"/>
      <c r="B168" s="94"/>
      <c r="C168" s="94"/>
      <c r="D168" s="94"/>
    </row>
    <row r="169">
      <c r="A169" s="94"/>
      <c r="B169" s="94"/>
      <c r="C169" s="94"/>
      <c r="D169" s="94"/>
    </row>
    <row r="170">
      <c r="A170" s="94"/>
      <c r="B170" s="94"/>
      <c r="C170" s="94"/>
      <c r="D170" s="94"/>
    </row>
    <row r="171">
      <c r="A171" s="94"/>
      <c r="B171" s="94"/>
      <c r="C171" s="94"/>
      <c r="D171" s="94"/>
    </row>
    <row r="172">
      <c r="A172" s="94"/>
      <c r="B172" s="94"/>
      <c r="C172" s="94"/>
      <c r="D172" s="94"/>
    </row>
    <row r="173">
      <c r="A173" s="94"/>
      <c r="B173" s="94"/>
      <c r="C173" s="94"/>
      <c r="D173" s="94"/>
    </row>
    <row r="174">
      <c r="A174" s="94"/>
      <c r="B174" s="94"/>
      <c r="C174" s="94"/>
      <c r="D174" s="94"/>
    </row>
    <row r="175">
      <c r="A175" s="94"/>
      <c r="B175" s="94"/>
      <c r="C175" s="94"/>
      <c r="D175" s="94"/>
    </row>
    <row r="176">
      <c r="A176" s="94"/>
      <c r="B176" s="94"/>
      <c r="C176" s="94"/>
      <c r="D176" s="94"/>
    </row>
    <row r="177">
      <c r="A177" s="94"/>
      <c r="B177" s="94"/>
      <c r="C177" s="94"/>
      <c r="D177" s="94"/>
    </row>
    <row r="178">
      <c r="A178" s="94"/>
      <c r="B178" s="94"/>
      <c r="C178" s="94"/>
      <c r="D178" s="94"/>
    </row>
    <row r="179">
      <c r="A179" s="94"/>
      <c r="B179" s="94"/>
      <c r="C179" s="94"/>
      <c r="D179" s="94"/>
    </row>
    <row r="180">
      <c r="A180" s="94"/>
      <c r="B180" s="94"/>
      <c r="C180" s="94"/>
      <c r="D180" s="94"/>
    </row>
    <row r="181">
      <c r="A181" s="94"/>
      <c r="B181" s="94"/>
      <c r="C181" s="94"/>
      <c r="D181" s="94"/>
    </row>
    <row r="182">
      <c r="A182" s="94"/>
      <c r="B182" s="94"/>
      <c r="C182" s="94"/>
      <c r="D182" s="94"/>
    </row>
    <row r="183">
      <c r="A183" s="94"/>
      <c r="B183" s="94"/>
      <c r="C183" s="94"/>
      <c r="D183" s="94"/>
    </row>
    <row r="184">
      <c r="A184" s="94"/>
      <c r="B184" s="94"/>
      <c r="C184" s="94"/>
      <c r="D184" s="94"/>
    </row>
    <row r="185">
      <c r="A185" s="94"/>
      <c r="B185" s="94"/>
      <c r="C185" s="94"/>
      <c r="D185" s="94"/>
    </row>
    <row r="186">
      <c r="A186" s="94"/>
      <c r="B186" s="94"/>
      <c r="C186" s="94"/>
      <c r="D186" s="94"/>
    </row>
    <row r="187">
      <c r="A187" s="94"/>
      <c r="B187" s="94"/>
      <c r="C187" s="94"/>
      <c r="D187" s="94"/>
    </row>
    <row r="188">
      <c r="A188" s="94"/>
      <c r="B188" s="94"/>
      <c r="C188" s="94"/>
      <c r="D188" s="94"/>
    </row>
    <row r="189">
      <c r="A189" s="94"/>
      <c r="B189" s="94"/>
      <c r="C189" s="94"/>
      <c r="D189" s="94"/>
    </row>
    <row r="190">
      <c r="A190" s="94"/>
      <c r="B190" s="94"/>
      <c r="C190" s="94"/>
      <c r="D190" s="94"/>
    </row>
    <row r="191">
      <c r="A191" s="94"/>
      <c r="B191" s="94"/>
      <c r="C191" s="94"/>
      <c r="D191" s="94"/>
    </row>
    <row r="192">
      <c r="A192" s="94"/>
      <c r="B192" s="94"/>
      <c r="C192" s="94"/>
      <c r="D192" s="94"/>
    </row>
    <row r="193">
      <c r="A193" s="94"/>
      <c r="B193" s="94"/>
      <c r="C193" s="94"/>
      <c r="D193" s="94"/>
    </row>
    <row r="194">
      <c r="A194" s="94"/>
      <c r="B194" s="94"/>
      <c r="C194" s="94"/>
      <c r="D194" s="94"/>
    </row>
    <row r="195">
      <c r="A195" s="94"/>
      <c r="B195" s="94"/>
      <c r="C195" s="94"/>
      <c r="D195" s="94"/>
    </row>
    <row r="196">
      <c r="A196" s="94"/>
      <c r="B196" s="94"/>
      <c r="C196" s="94"/>
      <c r="D196" s="94"/>
    </row>
    <row r="197">
      <c r="A197" s="94"/>
      <c r="B197" s="94"/>
      <c r="C197" s="94"/>
      <c r="D197" s="94"/>
    </row>
    <row r="198">
      <c r="A198" s="94"/>
      <c r="B198" s="94"/>
      <c r="C198" s="94"/>
      <c r="D198" s="94"/>
    </row>
    <row r="199">
      <c r="A199" s="94"/>
      <c r="B199" s="94"/>
      <c r="C199" s="94"/>
      <c r="D199" s="94"/>
    </row>
    <row r="200">
      <c r="A200" s="94"/>
      <c r="B200" s="94"/>
      <c r="C200" s="94"/>
      <c r="D200" s="94"/>
    </row>
    <row r="201">
      <c r="A201" s="94"/>
      <c r="B201" s="94"/>
      <c r="C201" s="94"/>
      <c r="D201" s="94"/>
    </row>
    <row r="202">
      <c r="A202" s="94"/>
      <c r="B202" s="94"/>
      <c r="C202" s="94"/>
      <c r="D202" s="94"/>
    </row>
    <row r="203">
      <c r="A203" s="94"/>
      <c r="B203" s="94"/>
      <c r="C203" s="94"/>
      <c r="D203" s="94"/>
    </row>
    <row r="204">
      <c r="A204" s="94"/>
      <c r="B204" s="94"/>
      <c r="C204" s="94"/>
      <c r="D204" s="94"/>
    </row>
    <row r="205">
      <c r="A205" s="94"/>
      <c r="B205" s="94"/>
      <c r="C205" s="94"/>
      <c r="D205" s="94"/>
    </row>
    <row r="206">
      <c r="A206" s="94"/>
      <c r="B206" s="94"/>
      <c r="C206" s="94"/>
      <c r="D206" s="94"/>
    </row>
    <row r="207">
      <c r="A207" s="94"/>
      <c r="B207" s="94"/>
      <c r="C207" s="94"/>
      <c r="D207" s="94"/>
    </row>
    <row r="208">
      <c r="A208" s="94"/>
      <c r="B208" s="94"/>
      <c r="C208" s="94"/>
      <c r="D208" s="94"/>
    </row>
    <row r="209">
      <c r="A209" s="94"/>
      <c r="B209" s="94"/>
      <c r="C209" s="94"/>
      <c r="D209" s="94"/>
    </row>
    <row r="210">
      <c r="A210" s="94"/>
      <c r="B210" s="94"/>
      <c r="C210" s="94"/>
      <c r="D210" s="94"/>
    </row>
    <row r="211">
      <c r="A211" s="94"/>
      <c r="B211" s="94"/>
      <c r="C211" s="94"/>
      <c r="D211" s="94"/>
    </row>
    <row r="212">
      <c r="A212" s="94"/>
      <c r="B212" s="94"/>
      <c r="C212" s="94"/>
      <c r="D212" s="94"/>
    </row>
    <row r="213">
      <c r="A213" s="94"/>
      <c r="B213" s="94"/>
      <c r="C213" s="94"/>
      <c r="D213" s="94"/>
    </row>
    <row r="214">
      <c r="A214" s="94"/>
      <c r="B214" s="94"/>
      <c r="C214" s="94"/>
      <c r="D214" s="94"/>
    </row>
    <row r="215">
      <c r="A215" s="94"/>
      <c r="B215" s="94"/>
      <c r="C215" s="94"/>
      <c r="D215" s="94"/>
    </row>
    <row r="216">
      <c r="A216" s="94"/>
      <c r="B216" s="94"/>
      <c r="C216" s="94"/>
      <c r="D216" s="94"/>
    </row>
    <row r="217">
      <c r="A217" s="94"/>
      <c r="B217" s="94"/>
      <c r="C217" s="94"/>
      <c r="D217" s="94"/>
    </row>
    <row r="218">
      <c r="A218" s="94"/>
      <c r="B218" s="94"/>
      <c r="C218" s="94"/>
      <c r="D218" s="94"/>
    </row>
    <row r="219">
      <c r="A219" s="94"/>
      <c r="B219" s="94"/>
      <c r="C219" s="94"/>
      <c r="D219" s="94"/>
    </row>
    <row r="220">
      <c r="A220" s="94"/>
      <c r="B220" s="94"/>
      <c r="C220" s="94"/>
      <c r="D220" s="94"/>
    </row>
    <row r="221">
      <c r="A221" s="94"/>
      <c r="B221" s="94"/>
      <c r="C221" s="94"/>
      <c r="D221" s="94"/>
    </row>
    <row r="222">
      <c r="A222" s="94"/>
      <c r="B222" s="94"/>
      <c r="C222" s="94"/>
      <c r="D222" s="94"/>
    </row>
    <row r="223">
      <c r="A223" s="94"/>
      <c r="B223" s="94"/>
      <c r="C223" s="94"/>
      <c r="D223" s="94"/>
    </row>
    <row r="224">
      <c r="A224" s="94"/>
      <c r="B224" s="94"/>
      <c r="C224" s="94"/>
      <c r="D224" s="94"/>
    </row>
    <row r="225">
      <c r="A225" s="94"/>
      <c r="B225" s="94"/>
      <c r="C225" s="94"/>
      <c r="D225" s="94"/>
    </row>
    <row r="226">
      <c r="A226" s="94"/>
      <c r="B226" s="94"/>
      <c r="C226" s="94"/>
      <c r="D226" s="94"/>
    </row>
    <row r="227">
      <c r="A227" s="94"/>
      <c r="B227" s="94"/>
      <c r="C227" s="94"/>
      <c r="D227" s="94"/>
    </row>
    <row r="228">
      <c r="A228" s="94"/>
      <c r="B228" s="94"/>
      <c r="C228" s="94"/>
      <c r="D228" s="94"/>
    </row>
    <row r="229">
      <c r="A229" s="94"/>
      <c r="B229" s="94"/>
      <c r="C229" s="94"/>
      <c r="D229" s="94"/>
    </row>
    <row r="230">
      <c r="A230" s="94"/>
      <c r="B230" s="94"/>
      <c r="C230" s="94"/>
      <c r="D230" s="94"/>
    </row>
    <row r="231">
      <c r="A231" s="94"/>
      <c r="B231" s="94"/>
      <c r="C231" s="94"/>
      <c r="D231" s="94"/>
    </row>
    <row r="232">
      <c r="A232" s="94"/>
      <c r="B232" s="94"/>
      <c r="C232" s="94"/>
      <c r="D232" s="94"/>
    </row>
    <row r="233">
      <c r="A233" s="94"/>
      <c r="B233" s="94"/>
      <c r="C233" s="94"/>
      <c r="D233" s="94"/>
    </row>
    <row r="234">
      <c r="A234" s="94"/>
      <c r="B234" s="94"/>
      <c r="C234" s="94"/>
      <c r="D234" s="94"/>
    </row>
    <row r="235">
      <c r="A235" s="94"/>
      <c r="B235" s="94"/>
      <c r="C235" s="94"/>
      <c r="D235" s="94"/>
    </row>
    <row r="236">
      <c r="A236" s="94"/>
      <c r="B236" s="94"/>
      <c r="C236" s="94"/>
      <c r="D236" s="94"/>
    </row>
    <row r="237">
      <c r="A237" s="94"/>
      <c r="B237" s="94"/>
      <c r="C237" s="94"/>
      <c r="D237" s="94"/>
    </row>
    <row r="238">
      <c r="A238" s="94"/>
      <c r="B238" s="94"/>
      <c r="C238" s="94"/>
      <c r="D238" s="94"/>
    </row>
    <row r="239">
      <c r="A239" s="94"/>
      <c r="B239" s="94"/>
      <c r="C239" s="94"/>
      <c r="D239" s="94"/>
    </row>
    <row r="240">
      <c r="A240" s="94"/>
      <c r="B240" s="94"/>
      <c r="C240" s="94"/>
      <c r="D240" s="94"/>
    </row>
    <row r="241">
      <c r="A241" s="94"/>
      <c r="B241" s="94"/>
      <c r="C241" s="94"/>
      <c r="D241" s="94"/>
    </row>
    <row r="242">
      <c r="A242" s="94"/>
      <c r="B242" s="94"/>
      <c r="C242" s="94"/>
      <c r="D242" s="94"/>
    </row>
    <row r="243">
      <c r="A243" s="94"/>
      <c r="B243" s="94"/>
      <c r="C243" s="94"/>
      <c r="D243" s="94"/>
    </row>
    <row r="244">
      <c r="A244" s="94"/>
      <c r="B244" s="94"/>
      <c r="C244" s="94"/>
      <c r="D244" s="94"/>
    </row>
    <row r="245">
      <c r="A245" s="94"/>
      <c r="B245" s="94"/>
      <c r="C245" s="94"/>
      <c r="D245" s="94"/>
    </row>
    <row r="246">
      <c r="A246" s="94"/>
      <c r="B246" s="94"/>
      <c r="C246" s="94"/>
      <c r="D246" s="94"/>
    </row>
    <row r="247">
      <c r="A247" s="94"/>
      <c r="B247" s="94"/>
      <c r="C247" s="94"/>
      <c r="D247" s="94"/>
    </row>
    <row r="248">
      <c r="A248" s="94"/>
      <c r="B248" s="94"/>
      <c r="C248" s="94"/>
      <c r="D248" s="94"/>
    </row>
    <row r="249">
      <c r="A249" s="94"/>
      <c r="B249" s="94"/>
      <c r="C249" s="94"/>
      <c r="D249" s="94"/>
    </row>
    <row r="250">
      <c r="A250" s="94"/>
      <c r="B250" s="94"/>
      <c r="C250" s="94"/>
      <c r="D250" s="94"/>
    </row>
    <row r="251">
      <c r="A251" s="94"/>
      <c r="B251" s="94"/>
      <c r="C251" s="94"/>
      <c r="D251" s="94"/>
    </row>
    <row r="252">
      <c r="A252" s="94"/>
      <c r="B252" s="94"/>
      <c r="C252" s="94"/>
      <c r="D252" s="94"/>
    </row>
    <row r="253">
      <c r="A253" s="94"/>
      <c r="B253" s="94"/>
      <c r="C253" s="94"/>
      <c r="D253" s="94"/>
    </row>
    <row r="254">
      <c r="A254" s="94"/>
      <c r="B254" s="94"/>
      <c r="C254" s="94"/>
      <c r="D254" s="94"/>
    </row>
    <row r="255">
      <c r="A255" s="94"/>
      <c r="B255" s="94"/>
      <c r="C255" s="94"/>
      <c r="D255" s="94"/>
    </row>
    <row r="256">
      <c r="A256" s="94"/>
      <c r="B256" s="94"/>
      <c r="C256" s="94"/>
      <c r="D256" s="94"/>
    </row>
    <row r="257">
      <c r="A257" s="94"/>
      <c r="B257" s="94"/>
      <c r="C257" s="94"/>
      <c r="D257" s="94"/>
    </row>
    <row r="258">
      <c r="A258" s="94"/>
      <c r="B258" s="94"/>
      <c r="C258" s="94"/>
      <c r="D258" s="94"/>
    </row>
    <row r="259">
      <c r="A259" s="94"/>
      <c r="B259" s="94"/>
      <c r="C259" s="94"/>
      <c r="D259" s="94"/>
    </row>
    <row r="260">
      <c r="A260" s="94"/>
      <c r="B260" s="94"/>
      <c r="C260" s="94"/>
      <c r="D260" s="94"/>
    </row>
    <row r="261">
      <c r="A261" s="94"/>
      <c r="B261" s="94"/>
      <c r="C261" s="94"/>
      <c r="D261" s="94"/>
    </row>
    <row r="262">
      <c r="A262" s="94"/>
      <c r="B262" s="94"/>
      <c r="C262" s="94"/>
      <c r="D262" s="94"/>
    </row>
    <row r="263">
      <c r="A263" s="94"/>
      <c r="B263" s="94"/>
      <c r="C263" s="94"/>
      <c r="D263" s="94"/>
    </row>
    <row r="264">
      <c r="A264" s="94"/>
      <c r="B264" s="94"/>
      <c r="C264" s="94"/>
      <c r="D264" s="94"/>
    </row>
    <row r="265">
      <c r="A265" s="94"/>
      <c r="B265" s="94"/>
      <c r="C265" s="94"/>
      <c r="D265" s="94"/>
    </row>
    <row r="266">
      <c r="A266" s="94"/>
      <c r="B266" s="94"/>
      <c r="C266" s="94"/>
      <c r="D266" s="94"/>
    </row>
    <row r="267">
      <c r="A267" s="94"/>
      <c r="B267" s="94"/>
      <c r="C267" s="94"/>
      <c r="D267" s="94"/>
    </row>
    <row r="268">
      <c r="A268" s="94"/>
      <c r="B268" s="94"/>
      <c r="C268" s="94"/>
      <c r="D268" s="94"/>
    </row>
    <row r="269">
      <c r="A269" s="94"/>
      <c r="B269" s="94"/>
      <c r="C269" s="94"/>
      <c r="D269" s="94"/>
    </row>
    <row r="270">
      <c r="A270" s="94"/>
      <c r="B270" s="94"/>
      <c r="C270" s="94"/>
      <c r="D270" s="94"/>
    </row>
    <row r="271">
      <c r="A271" s="94"/>
      <c r="B271" s="94"/>
      <c r="C271" s="94"/>
      <c r="D271" s="94"/>
    </row>
    <row r="272">
      <c r="A272" s="94"/>
      <c r="B272" s="94"/>
      <c r="C272" s="94"/>
      <c r="D272" s="94"/>
    </row>
    <row r="273">
      <c r="A273" s="94"/>
      <c r="B273" s="94"/>
      <c r="C273" s="94"/>
      <c r="D273" s="94"/>
    </row>
    <row r="274">
      <c r="A274" s="94"/>
      <c r="B274" s="94"/>
      <c r="C274" s="94"/>
      <c r="D274" s="94"/>
    </row>
    <row r="275">
      <c r="A275" s="94"/>
      <c r="B275" s="94"/>
      <c r="C275" s="94"/>
      <c r="D275" s="94"/>
    </row>
    <row r="276">
      <c r="A276" s="94"/>
      <c r="B276" s="94"/>
      <c r="C276" s="94"/>
      <c r="D276" s="94"/>
    </row>
    <row r="277">
      <c r="A277" s="94"/>
      <c r="B277" s="94"/>
      <c r="C277" s="94"/>
      <c r="D277" s="94"/>
    </row>
    <row r="278">
      <c r="A278" s="94"/>
      <c r="B278" s="94"/>
      <c r="C278" s="94"/>
      <c r="D278" s="94"/>
    </row>
    <row r="279">
      <c r="A279" s="94"/>
      <c r="B279" s="94"/>
      <c r="C279" s="94"/>
      <c r="D279" s="94"/>
    </row>
    <row r="280">
      <c r="A280" s="94"/>
      <c r="B280" s="94"/>
      <c r="C280" s="94"/>
      <c r="D280" s="94"/>
    </row>
    <row r="281">
      <c r="A281" s="94"/>
      <c r="B281" s="94"/>
      <c r="C281" s="94"/>
      <c r="D281" s="94"/>
    </row>
    <row r="282">
      <c r="A282" s="94"/>
      <c r="B282" s="94"/>
      <c r="C282" s="94"/>
      <c r="D282" s="94"/>
    </row>
    <row r="283">
      <c r="A283" s="94"/>
      <c r="B283" s="94"/>
      <c r="C283" s="94"/>
      <c r="D283" s="94"/>
    </row>
    <row r="284">
      <c r="A284" s="94"/>
      <c r="B284" s="94"/>
      <c r="C284" s="94"/>
      <c r="D284" s="94"/>
    </row>
    <row r="285">
      <c r="A285" s="94"/>
      <c r="B285" s="94"/>
      <c r="C285" s="94"/>
      <c r="D285" s="94"/>
    </row>
    <row r="286">
      <c r="A286" s="94"/>
      <c r="B286" s="94"/>
      <c r="C286" s="94"/>
      <c r="D286" s="94"/>
    </row>
    <row r="287">
      <c r="A287" s="94"/>
      <c r="B287" s="94"/>
      <c r="C287" s="94"/>
      <c r="D287" s="94"/>
    </row>
    <row r="288">
      <c r="A288" s="94"/>
      <c r="B288" s="94"/>
      <c r="C288" s="94"/>
      <c r="D288" s="94"/>
    </row>
    <row r="289">
      <c r="A289" s="94"/>
      <c r="B289" s="94"/>
      <c r="C289" s="94"/>
      <c r="D289" s="94"/>
    </row>
    <row r="290">
      <c r="A290" s="94"/>
      <c r="B290" s="94"/>
      <c r="C290" s="94"/>
      <c r="D290" s="94"/>
    </row>
    <row r="291">
      <c r="A291" s="94"/>
      <c r="B291" s="94"/>
      <c r="C291" s="94"/>
      <c r="D291" s="94"/>
    </row>
    <row r="292">
      <c r="A292" s="94"/>
      <c r="B292" s="94"/>
      <c r="C292" s="94"/>
      <c r="D292" s="94"/>
    </row>
    <row r="293">
      <c r="A293" s="94"/>
      <c r="B293" s="94"/>
      <c r="C293" s="94"/>
      <c r="D293" s="94"/>
    </row>
    <row r="294">
      <c r="A294" s="94"/>
      <c r="B294" s="94"/>
      <c r="C294" s="94"/>
      <c r="D294" s="94"/>
    </row>
    <row r="295">
      <c r="A295" s="94"/>
      <c r="B295" s="94"/>
      <c r="C295" s="94"/>
      <c r="D295" s="94"/>
    </row>
    <row r="296">
      <c r="A296" s="94"/>
      <c r="B296" s="94"/>
      <c r="C296" s="94"/>
      <c r="D296" s="94"/>
    </row>
    <row r="297">
      <c r="A297" s="94"/>
      <c r="B297" s="94"/>
      <c r="C297" s="94"/>
      <c r="D297" s="94"/>
    </row>
    <row r="298">
      <c r="A298" s="94"/>
      <c r="B298" s="94"/>
      <c r="C298" s="94"/>
      <c r="D298" s="94"/>
    </row>
    <row r="299">
      <c r="A299" s="94"/>
      <c r="B299" s="94"/>
      <c r="C299" s="94"/>
      <c r="D299" s="94"/>
    </row>
    <row r="300">
      <c r="A300" s="94"/>
      <c r="B300" s="94"/>
      <c r="C300" s="94"/>
      <c r="D300" s="94"/>
    </row>
    <row r="301">
      <c r="A301" s="94"/>
      <c r="B301" s="94"/>
      <c r="C301" s="94"/>
      <c r="D301" s="94"/>
    </row>
    <row r="302">
      <c r="A302" s="94"/>
      <c r="B302" s="94"/>
      <c r="C302" s="94"/>
      <c r="D302" s="94"/>
    </row>
    <row r="303">
      <c r="A303" s="94"/>
      <c r="B303" s="94"/>
      <c r="C303" s="94"/>
      <c r="D303" s="94"/>
    </row>
    <row r="304">
      <c r="A304" s="94"/>
      <c r="B304" s="94"/>
      <c r="C304" s="94"/>
      <c r="D304" s="94"/>
    </row>
    <row r="305">
      <c r="A305" s="94"/>
      <c r="B305" s="94"/>
      <c r="C305" s="94"/>
      <c r="D305" s="94"/>
    </row>
    <row r="306">
      <c r="A306" s="94"/>
      <c r="B306" s="94"/>
      <c r="C306" s="94"/>
      <c r="D306" s="94"/>
    </row>
    <row r="307">
      <c r="A307" s="94"/>
      <c r="B307" s="94"/>
      <c r="C307" s="94"/>
      <c r="D307" s="94"/>
    </row>
    <row r="308">
      <c r="A308" s="94"/>
      <c r="B308" s="94"/>
      <c r="C308" s="94"/>
      <c r="D308" s="94"/>
    </row>
    <row r="309">
      <c r="A309" s="94"/>
      <c r="B309" s="94"/>
      <c r="C309" s="94"/>
      <c r="D309" s="94"/>
    </row>
    <row r="310">
      <c r="A310" s="94"/>
      <c r="B310" s="94"/>
      <c r="C310" s="94"/>
      <c r="D310" s="94"/>
    </row>
    <row r="311">
      <c r="A311" s="94"/>
      <c r="B311" s="94"/>
      <c r="C311" s="94"/>
      <c r="D311" s="94"/>
    </row>
    <row r="312">
      <c r="A312" s="94"/>
      <c r="B312" s="94"/>
      <c r="C312" s="94"/>
      <c r="D312" s="94"/>
    </row>
    <row r="313">
      <c r="A313" s="94"/>
      <c r="B313" s="94"/>
      <c r="C313" s="94"/>
      <c r="D313" s="94"/>
    </row>
    <row r="314">
      <c r="A314" s="94"/>
      <c r="B314" s="94"/>
      <c r="C314" s="94"/>
      <c r="D314" s="94"/>
    </row>
    <row r="315">
      <c r="A315" s="94"/>
      <c r="B315" s="94"/>
      <c r="C315" s="94"/>
      <c r="D315" s="94"/>
    </row>
    <row r="316">
      <c r="A316" s="94"/>
      <c r="B316" s="94"/>
      <c r="C316" s="94"/>
      <c r="D316" s="94"/>
    </row>
    <row r="317">
      <c r="A317" s="94"/>
      <c r="B317" s="94"/>
      <c r="C317" s="94"/>
      <c r="D317" s="94"/>
    </row>
    <row r="318">
      <c r="A318" s="94"/>
      <c r="B318" s="94"/>
      <c r="C318" s="94"/>
      <c r="D318" s="94"/>
    </row>
    <row r="319">
      <c r="A319" s="94"/>
      <c r="B319" s="94"/>
      <c r="C319" s="94"/>
      <c r="D319" s="94"/>
    </row>
    <row r="320">
      <c r="A320" s="94"/>
      <c r="B320" s="94"/>
      <c r="C320" s="94"/>
      <c r="D320" s="94"/>
    </row>
    <row r="321">
      <c r="A321" s="94"/>
      <c r="B321" s="94"/>
      <c r="C321" s="94"/>
      <c r="D321" s="94"/>
    </row>
    <row r="322">
      <c r="A322" s="94"/>
      <c r="B322" s="94"/>
      <c r="C322" s="94"/>
      <c r="D322" s="94"/>
    </row>
    <row r="323">
      <c r="A323" s="94"/>
      <c r="B323" s="94"/>
      <c r="C323" s="94"/>
      <c r="D323" s="94"/>
    </row>
    <row r="324">
      <c r="A324" s="94"/>
      <c r="B324" s="94"/>
      <c r="C324" s="94"/>
      <c r="D324" s="94"/>
    </row>
    <row r="325">
      <c r="A325" s="94"/>
      <c r="B325" s="94"/>
      <c r="C325" s="94"/>
      <c r="D325" s="94"/>
    </row>
    <row r="326">
      <c r="A326" s="94"/>
      <c r="B326" s="94"/>
      <c r="C326" s="94"/>
      <c r="D326" s="94"/>
    </row>
    <row r="327">
      <c r="A327" s="94"/>
      <c r="B327" s="94"/>
      <c r="C327" s="94"/>
      <c r="D327" s="94"/>
    </row>
    <row r="328">
      <c r="A328" s="94"/>
      <c r="B328" s="94"/>
      <c r="C328" s="94"/>
      <c r="D328" s="94"/>
    </row>
    <row r="329">
      <c r="A329" s="94"/>
      <c r="B329" s="94"/>
      <c r="C329" s="94"/>
      <c r="D329" s="94"/>
    </row>
    <row r="330">
      <c r="A330" s="94"/>
      <c r="B330" s="94"/>
      <c r="C330" s="94"/>
      <c r="D330" s="94"/>
    </row>
    <row r="331">
      <c r="A331" s="94"/>
      <c r="B331" s="94"/>
      <c r="C331" s="94"/>
      <c r="D331" s="94"/>
    </row>
    <row r="332">
      <c r="A332" s="94"/>
      <c r="B332" s="94"/>
      <c r="C332" s="94"/>
      <c r="D332" s="94"/>
    </row>
    <row r="333">
      <c r="A333" s="94"/>
      <c r="B333" s="94"/>
      <c r="C333" s="94"/>
      <c r="D333" s="94"/>
    </row>
    <row r="334">
      <c r="A334" s="94"/>
      <c r="B334" s="94"/>
      <c r="C334" s="94"/>
      <c r="D334" s="94"/>
    </row>
    <row r="335">
      <c r="A335" s="94"/>
      <c r="B335" s="94"/>
      <c r="C335" s="94"/>
      <c r="D335" s="94"/>
    </row>
    <row r="336">
      <c r="A336" s="94"/>
      <c r="B336" s="94"/>
      <c r="C336" s="94"/>
      <c r="D336" s="94"/>
    </row>
    <row r="337">
      <c r="A337" s="94"/>
      <c r="B337" s="94"/>
      <c r="C337" s="94"/>
      <c r="D337" s="94"/>
    </row>
    <row r="338">
      <c r="A338" s="94"/>
      <c r="B338" s="94"/>
      <c r="C338" s="94"/>
      <c r="D338" s="94"/>
    </row>
    <row r="339">
      <c r="A339" s="94"/>
      <c r="B339" s="94"/>
      <c r="C339" s="94"/>
      <c r="D339" s="94"/>
    </row>
    <row r="340">
      <c r="A340" s="94"/>
      <c r="B340" s="94"/>
      <c r="C340" s="94"/>
      <c r="D340" s="94"/>
    </row>
    <row r="341">
      <c r="A341" s="94"/>
      <c r="B341" s="94"/>
      <c r="C341" s="94"/>
      <c r="D341" s="94"/>
    </row>
    <row r="342">
      <c r="A342" s="94"/>
      <c r="B342" s="94"/>
      <c r="C342" s="94"/>
      <c r="D342" s="94"/>
    </row>
    <row r="343">
      <c r="A343" s="94"/>
      <c r="B343" s="94"/>
      <c r="C343" s="94"/>
      <c r="D343" s="94"/>
    </row>
    <row r="344">
      <c r="A344" s="94"/>
      <c r="B344" s="94"/>
      <c r="C344" s="94"/>
      <c r="D344" s="94"/>
    </row>
    <row r="345">
      <c r="A345" s="94"/>
      <c r="B345" s="94"/>
      <c r="C345" s="94"/>
      <c r="D345" s="94"/>
    </row>
    <row r="346">
      <c r="A346" s="94"/>
      <c r="B346" s="94"/>
      <c r="C346" s="94"/>
      <c r="D346" s="94"/>
    </row>
    <row r="347">
      <c r="A347" s="94"/>
      <c r="B347" s="94"/>
      <c r="C347" s="94"/>
      <c r="D347" s="94"/>
    </row>
    <row r="348">
      <c r="A348" s="94"/>
      <c r="B348" s="94"/>
      <c r="C348" s="94"/>
      <c r="D348" s="94"/>
    </row>
    <row r="349">
      <c r="A349" s="94"/>
      <c r="B349" s="94"/>
      <c r="C349" s="94"/>
      <c r="D349" s="94"/>
    </row>
    <row r="350">
      <c r="A350" s="94"/>
      <c r="B350" s="94"/>
      <c r="C350" s="94"/>
      <c r="D350" s="94"/>
    </row>
    <row r="351">
      <c r="A351" s="94"/>
      <c r="B351" s="94"/>
      <c r="C351" s="94"/>
      <c r="D351" s="94"/>
    </row>
    <row r="352">
      <c r="A352" s="94"/>
      <c r="B352" s="94"/>
      <c r="C352" s="94"/>
      <c r="D352" s="94"/>
    </row>
    <row r="353">
      <c r="A353" s="94"/>
      <c r="B353" s="94"/>
      <c r="C353" s="94"/>
      <c r="D353" s="94"/>
    </row>
    <row r="354">
      <c r="A354" s="94"/>
      <c r="B354" s="94"/>
      <c r="C354" s="94"/>
      <c r="D354" s="94"/>
    </row>
    <row r="355">
      <c r="A355" s="94"/>
      <c r="B355" s="94"/>
      <c r="C355" s="94"/>
      <c r="D355" s="94"/>
    </row>
    <row r="356">
      <c r="A356" s="94"/>
      <c r="B356" s="94"/>
      <c r="C356" s="94"/>
      <c r="D356" s="94"/>
    </row>
    <row r="357">
      <c r="A357" s="94"/>
      <c r="B357" s="94"/>
      <c r="C357" s="94"/>
      <c r="D357" s="94"/>
    </row>
    <row r="358">
      <c r="A358" s="94"/>
      <c r="B358" s="94"/>
      <c r="C358" s="94"/>
      <c r="D358" s="94"/>
    </row>
    <row r="359">
      <c r="A359" s="94"/>
      <c r="B359" s="94"/>
      <c r="C359" s="94"/>
      <c r="D359" s="94"/>
    </row>
    <row r="360">
      <c r="A360" s="94"/>
      <c r="B360" s="94"/>
      <c r="C360" s="94"/>
      <c r="D360" s="94"/>
    </row>
    <row r="361">
      <c r="A361" s="94"/>
      <c r="B361" s="94"/>
      <c r="C361" s="94"/>
      <c r="D361" s="94"/>
    </row>
    <row r="362">
      <c r="A362" s="94"/>
      <c r="B362" s="94"/>
      <c r="C362" s="94"/>
      <c r="D362" s="94"/>
    </row>
    <row r="363">
      <c r="A363" s="94"/>
      <c r="B363" s="94"/>
      <c r="C363" s="94"/>
      <c r="D363" s="94"/>
    </row>
    <row r="364">
      <c r="A364" s="94"/>
      <c r="B364" s="94"/>
      <c r="C364" s="94"/>
      <c r="D364" s="94"/>
    </row>
    <row r="365">
      <c r="A365" s="94"/>
      <c r="B365" s="94"/>
      <c r="C365" s="94"/>
      <c r="D365" s="94"/>
    </row>
    <row r="366">
      <c r="A366" s="94"/>
      <c r="B366" s="94"/>
      <c r="C366" s="94"/>
      <c r="D366" s="94"/>
    </row>
    <row r="367">
      <c r="A367" s="94"/>
      <c r="B367" s="94"/>
      <c r="C367" s="94"/>
      <c r="D367" s="94"/>
    </row>
    <row r="368">
      <c r="A368" s="94"/>
      <c r="B368" s="94"/>
      <c r="C368" s="94"/>
      <c r="D368" s="94"/>
    </row>
    <row r="369">
      <c r="A369" s="94"/>
      <c r="B369" s="94"/>
      <c r="C369" s="94"/>
      <c r="D369" s="94"/>
    </row>
    <row r="370">
      <c r="A370" s="94"/>
      <c r="B370" s="94"/>
      <c r="C370" s="94"/>
      <c r="D370" s="94"/>
    </row>
    <row r="371">
      <c r="A371" s="94"/>
      <c r="B371" s="94"/>
      <c r="C371" s="94"/>
      <c r="D371" s="94"/>
    </row>
    <row r="372">
      <c r="A372" s="94"/>
      <c r="B372" s="94"/>
      <c r="C372" s="94"/>
      <c r="D372" s="94"/>
    </row>
    <row r="373">
      <c r="A373" s="94"/>
      <c r="B373" s="94"/>
      <c r="C373" s="94"/>
      <c r="D373" s="94"/>
    </row>
    <row r="374">
      <c r="A374" s="94"/>
      <c r="B374" s="94"/>
      <c r="C374" s="94"/>
      <c r="D374" s="94"/>
    </row>
    <row r="375">
      <c r="A375" s="94"/>
      <c r="B375" s="94"/>
      <c r="C375" s="94"/>
      <c r="D375" s="94"/>
    </row>
    <row r="376">
      <c r="A376" s="94"/>
      <c r="B376" s="94"/>
      <c r="C376" s="94"/>
      <c r="D376" s="94"/>
    </row>
    <row r="377">
      <c r="A377" s="94"/>
      <c r="B377" s="94"/>
      <c r="C377" s="94"/>
      <c r="D377" s="94"/>
    </row>
    <row r="378">
      <c r="A378" s="94"/>
      <c r="B378" s="94"/>
      <c r="C378" s="94"/>
      <c r="D378" s="94"/>
    </row>
    <row r="379">
      <c r="A379" s="94"/>
      <c r="B379" s="94"/>
      <c r="C379" s="94"/>
      <c r="D379" s="94"/>
    </row>
    <row r="380">
      <c r="A380" s="94"/>
      <c r="B380" s="94"/>
      <c r="C380" s="94"/>
      <c r="D380" s="94"/>
    </row>
    <row r="381">
      <c r="A381" s="94"/>
      <c r="B381" s="94"/>
      <c r="C381" s="94"/>
      <c r="D381" s="94"/>
    </row>
    <row r="382">
      <c r="A382" s="94"/>
      <c r="B382" s="94"/>
      <c r="C382" s="94"/>
      <c r="D382" s="94"/>
    </row>
    <row r="383">
      <c r="A383" s="94"/>
      <c r="B383" s="94"/>
      <c r="C383" s="94"/>
      <c r="D383" s="94"/>
    </row>
    <row r="384">
      <c r="A384" s="94"/>
      <c r="B384" s="94"/>
      <c r="C384" s="94"/>
      <c r="D384" s="94"/>
    </row>
    <row r="385">
      <c r="A385" s="94"/>
      <c r="B385" s="94"/>
      <c r="C385" s="94"/>
      <c r="D385" s="94"/>
    </row>
    <row r="386">
      <c r="A386" s="94"/>
      <c r="B386" s="94"/>
      <c r="C386" s="94"/>
      <c r="D386" s="94"/>
    </row>
    <row r="387">
      <c r="A387" s="94"/>
      <c r="B387" s="94"/>
      <c r="C387" s="94"/>
      <c r="D387" s="94"/>
    </row>
    <row r="388">
      <c r="A388" s="94"/>
      <c r="B388" s="94"/>
      <c r="C388" s="94"/>
      <c r="D388" s="94"/>
    </row>
    <row r="389">
      <c r="A389" s="94"/>
      <c r="B389" s="94"/>
      <c r="C389" s="94"/>
      <c r="D389" s="94"/>
    </row>
    <row r="390">
      <c r="A390" s="94"/>
      <c r="B390" s="94"/>
      <c r="C390" s="94"/>
      <c r="D390" s="94"/>
    </row>
    <row r="391">
      <c r="A391" s="94"/>
      <c r="B391" s="94"/>
      <c r="C391" s="94"/>
      <c r="D391" s="94"/>
    </row>
    <row r="392">
      <c r="A392" s="94"/>
      <c r="B392" s="94"/>
      <c r="C392" s="94"/>
      <c r="D392" s="94"/>
    </row>
    <row r="393">
      <c r="A393" s="94"/>
      <c r="B393" s="94"/>
      <c r="C393" s="94"/>
      <c r="D393" s="94"/>
    </row>
    <row r="394">
      <c r="A394" s="94"/>
      <c r="B394" s="94"/>
      <c r="C394" s="94"/>
      <c r="D394" s="94"/>
    </row>
    <row r="395">
      <c r="A395" s="94"/>
      <c r="B395" s="94"/>
      <c r="C395" s="94"/>
      <c r="D395" s="94"/>
    </row>
    <row r="396">
      <c r="A396" s="94"/>
      <c r="B396" s="94"/>
      <c r="C396" s="94"/>
      <c r="D396" s="94"/>
    </row>
    <row r="397">
      <c r="A397" s="94"/>
      <c r="B397" s="94"/>
      <c r="C397" s="94"/>
      <c r="D397" s="94"/>
    </row>
    <row r="398">
      <c r="A398" s="94"/>
      <c r="B398" s="94"/>
      <c r="C398" s="94"/>
      <c r="D398" s="94"/>
    </row>
    <row r="399">
      <c r="A399" s="94"/>
      <c r="B399" s="94"/>
      <c r="C399" s="94"/>
      <c r="D399" s="94"/>
    </row>
    <row r="400">
      <c r="A400" s="94"/>
      <c r="B400" s="94"/>
      <c r="C400" s="94"/>
      <c r="D400" s="94"/>
    </row>
    <row r="401">
      <c r="A401" s="94"/>
      <c r="B401" s="94"/>
      <c r="C401" s="94"/>
      <c r="D401" s="94"/>
    </row>
    <row r="402">
      <c r="A402" s="94"/>
      <c r="B402" s="94"/>
      <c r="C402" s="94"/>
      <c r="D402" s="94"/>
    </row>
    <row r="403">
      <c r="A403" s="94"/>
      <c r="B403" s="94"/>
      <c r="C403" s="94"/>
      <c r="D403" s="94"/>
    </row>
    <row r="404">
      <c r="A404" s="94"/>
      <c r="B404" s="94"/>
      <c r="C404" s="94"/>
      <c r="D404" s="94"/>
    </row>
    <row r="405">
      <c r="A405" s="94"/>
      <c r="B405" s="94"/>
      <c r="C405" s="94"/>
      <c r="D405" s="94"/>
    </row>
    <row r="406">
      <c r="A406" s="94"/>
      <c r="B406" s="94"/>
      <c r="C406" s="94"/>
      <c r="D406" s="94"/>
    </row>
    <row r="407">
      <c r="A407" s="94"/>
      <c r="B407" s="94"/>
      <c r="C407" s="94"/>
      <c r="D407" s="94"/>
    </row>
    <row r="408">
      <c r="A408" s="94"/>
      <c r="B408" s="94"/>
      <c r="C408" s="94"/>
      <c r="D408" s="94"/>
    </row>
    <row r="409">
      <c r="A409" s="94"/>
      <c r="B409" s="94"/>
      <c r="C409" s="94"/>
      <c r="D409" s="94"/>
    </row>
    <row r="410">
      <c r="A410" s="94"/>
      <c r="B410" s="94"/>
      <c r="C410" s="94"/>
      <c r="D410" s="94"/>
    </row>
    <row r="411">
      <c r="A411" s="94"/>
      <c r="B411" s="94"/>
      <c r="C411" s="94"/>
      <c r="D411" s="94"/>
    </row>
    <row r="412">
      <c r="A412" s="94"/>
      <c r="B412" s="94"/>
      <c r="C412" s="94"/>
      <c r="D412" s="94"/>
    </row>
    <row r="413">
      <c r="A413" s="94"/>
      <c r="B413" s="94"/>
      <c r="C413" s="94"/>
      <c r="D413" s="94"/>
    </row>
    <row r="414">
      <c r="A414" s="94"/>
      <c r="B414" s="94"/>
      <c r="C414" s="94"/>
      <c r="D414" s="94"/>
    </row>
    <row r="415">
      <c r="A415" s="94"/>
      <c r="B415" s="94"/>
      <c r="C415" s="94"/>
      <c r="D415" s="94"/>
    </row>
    <row r="416">
      <c r="A416" s="94"/>
      <c r="B416" s="94"/>
      <c r="C416" s="94"/>
      <c r="D416" s="94"/>
    </row>
    <row r="417">
      <c r="A417" s="94"/>
      <c r="B417" s="94"/>
      <c r="C417" s="94"/>
      <c r="D417" s="94"/>
    </row>
    <row r="418">
      <c r="A418" s="94"/>
      <c r="B418" s="94"/>
      <c r="C418" s="94"/>
      <c r="D418" s="94"/>
    </row>
    <row r="419">
      <c r="A419" s="94"/>
      <c r="B419" s="94"/>
      <c r="C419" s="94"/>
      <c r="D419" s="94"/>
    </row>
    <row r="420">
      <c r="A420" s="94"/>
      <c r="B420" s="94"/>
      <c r="C420" s="94"/>
      <c r="D420" s="94"/>
    </row>
    <row r="421">
      <c r="A421" s="94"/>
      <c r="B421" s="94"/>
      <c r="C421" s="94"/>
      <c r="D421" s="94"/>
    </row>
    <row r="422">
      <c r="A422" s="94"/>
      <c r="B422" s="94"/>
      <c r="C422" s="94"/>
      <c r="D422" s="94"/>
    </row>
    <row r="423">
      <c r="A423" s="94"/>
      <c r="B423" s="94"/>
      <c r="C423" s="94"/>
      <c r="D423" s="94"/>
    </row>
    <row r="424">
      <c r="A424" s="94"/>
      <c r="B424" s="94"/>
      <c r="C424" s="94"/>
      <c r="D424" s="94"/>
    </row>
    <row r="425">
      <c r="A425" s="94"/>
      <c r="B425" s="94"/>
      <c r="C425" s="94"/>
      <c r="D425" s="94"/>
    </row>
    <row r="426">
      <c r="A426" s="94"/>
      <c r="B426" s="94"/>
      <c r="C426" s="94"/>
      <c r="D426" s="94"/>
    </row>
    <row r="427">
      <c r="A427" s="94"/>
      <c r="B427" s="94"/>
      <c r="C427" s="94"/>
      <c r="D427" s="94"/>
    </row>
    <row r="428">
      <c r="A428" s="94"/>
      <c r="B428" s="94"/>
      <c r="C428" s="94"/>
      <c r="D428" s="94"/>
    </row>
    <row r="429">
      <c r="A429" s="94"/>
      <c r="B429" s="94"/>
      <c r="C429" s="94"/>
      <c r="D429" s="94"/>
    </row>
    <row r="430">
      <c r="A430" s="94"/>
      <c r="B430" s="94"/>
      <c r="C430" s="94"/>
      <c r="D430" s="94"/>
    </row>
    <row r="431">
      <c r="A431" s="94"/>
      <c r="B431" s="94"/>
      <c r="C431" s="94"/>
      <c r="D431" s="94"/>
    </row>
    <row r="432">
      <c r="A432" s="94"/>
      <c r="B432" s="94"/>
      <c r="C432" s="94"/>
      <c r="D432" s="94"/>
    </row>
    <row r="433">
      <c r="A433" s="94"/>
      <c r="B433" s="94"/>
      <c r="C433" s="94"/>
      <c r="D433" s="94"/>
    </row>
    <row r="434">
      <c r="A434" s="94"/>
      <c r="B434" s="94"/>
      <c r="C434" s="94"/>
      <c r="D434" s="94"/>
    </row>
    <row r="435">
      <c r="A435" s="94"/>
      <c r="B435" s="94"/>
      <c r="C435" s="94"/>
      <c r="D435" s="94"/>
    </row>
    <row r="436">
      <c r="A436" s="94"/>
      <c r="B436" s="94"/>
      <c r="C436" s="94"/>
      <c r="D436" s="94"/>
    </row>
    <row r="437">
      <c r="A437" s="94"/>
      <c r="B437" s="94"/>
      <c r="C437" s="94"/>
      <c r="D437" s="94"/>
    </row>
    <row r="438">
      <c r="A438" s="94"/>
      <c r="B438" s="94"/>
      <c r="C438" s="94"/>
      <c r="D438" s="94"/>
    </row>
    <row r="439">
      <c r="A439" s="94"/>
      <c r="B439" s="94"/>
      <c r="C439" s="94"/>
      <c r="D439" s="94"/>
    </row>
    <row r="440">
      <c r="A440" s="94"/>
      <c r="B440" s="94"/>
      <c r="C440" s="94"/>
      <c r="D440" s="94"/>
    </row>
    <row r="441">
      <c r="A441" s="94"/>
      <c r="B441" s="94"/>
      <c r="C441" s="94"/>
      <c r="D441" s="94"/>
    </row>
    <row r="442">
      <c r="A442" s="94"/>
      <c r="B442" s="94"/>
      <c r="C442" s="94"/>
      <c r="D442" s="94"/>
    </row>
    <row r="443">
      <c r="A443" s="94"/>
      <c r="B443" s="94"/>
      <c r="C443" s="94"/>
      <c r="D443" s="94"/>
    </row>
    <row r="444">
      <c r="A444" s="94"/>
      <c r="B444" s="94"/>
      <c r="C444" s="94"/>
      <c r="D444" s="94"/>
    </row>
    <row r="445">
      <c r="A445" s="94"/>
      <c r="B445" s="94"/>
      <c r="C445" s="94"/>
      <c r="D445" s="94"/>
    </row>
    <row r="446">
      <c r="A446" s="94"/>
      <c r="B446" s="94"/>
      <c r="C446" s="94"/>
      <c r="D446" s="94"/>
    </row>
    <row r="447">
      <c r="A447" s="94"/>
      <c r="B447" s="94"/>
      <c r="C447" s="94"/>
      <c r="D447" s="94"/>
    </row>
    <row r="448">
      <c r="A448" s="94"/>
      <c r="B448" s="94"/>
      <c r="C448" s="94"/>
      <c r="D448" s="94"/>
    </row>
    <row r="449">
      <c r="A449" s="94"/>
      <c r="B449" s="94"/>
      <c r="C449" s="94"/>
      <c r="D449" s="94"/>
    </row>
    <row r="450">
      <c r="A450" s="94"/>
      <c r="B450" s="94"/>
      <c r="C450" s="94"/>
      <c r="D450" s="94"/>
    </row>
    <row r="451">
      <c r="A451" s="94"/>
      <c r="B451" s="94"/>
      <c r="C451" s="94"/>
      <c r="D451" s="94"/>
    </row>
    <row r="452">
      <c r="A452" s="94"/>
      <c r="B452" s="94"/>
      <c r="C452" s="94"/>
      <c r="D452" s="94"/>
    </row>
    <row r="453">
      <c r="A453" s="94"/>
      <c r="B453" s="94"/>
      <c r="C453" s="94"/>
      <c r="D453" s="94"/>
    </row>
    <row r="454">
      <c r="A454" s="94"/>
      <c r="B454" s="94"/>
      <c r="C454" s="94"/>
      <c r="D454" s="94"/>
    </row>
    <row r="455">
      <c r="A455" s="94"/>
      <c r="B455" s="94"/>
      <c r="C455" s="94"/>
      <c r="D455" s="94"/>
    </row>
    <row r="456">
      <c r="A456" s="94"/>
      <c r="B456" s="94"/>
      <c r="C456" s="94"/>
      <c r="D456" s="94"/>
    </row>
    <row r="457">
      <c r="A457" s="94"/>
      <c r="B457" s="94"/>
      <c r="C457" s="94"/>
      <c r="D457" s="94"/>
    </row>
    <row r="458">
      <c r="A458" s="94"/>
      <c r="B458" s="94"/>
      <c r="C458" s="94"/>
      <c r="D458" s="94"/>
    </row>
    <row r="459">
      <c r="A459" s="94"/>
      <c r="B459" s="94"/>
      <c r="C459" s="94"/>
      <c r="D459" s="94"/>
    </row>
    <row r="460">
      <c r="A460" s="94"/>
      <c r="B460" s="94"/>
      <c r="C460" s="94"/>
      <c r="D460" s="94"/>
    </row>
    <row r="461">
      <c r="A461" s="94"/>
      <c r="B461" s="94"/>
      <c r="C461" s="94"/>
      <c r="D461" s="94"/>
    </row>
    <row r="462">
      <c r="A462" s="94"/>
      <c r="B462" s="94"/>
      <c r="C462" s="94"/>
      <c r="D462" s="94"/>
    </row>
    <row r="463">
      <c r="A463" s="94"/>
      <c r="B463" s="94"/>
      <c r="C463" s="94"/>
      <c r="D463" s="94"/>
    </row>
    <row r="464">
      <c r="A464" s="94"/>
      <c r="B464" s="94"/>
      <c r="C464" s="94"/>
      <c r="D464" s="94"/>
    </row>
    <row r="465">
      <c r="A465" s="94"/>
      <c r="B465" s="94"/>
      <c r="C465" s="94"/>
      <c r="D465" s="94"/>
    </row>
    <row r="466">
      <c r="A466" s="94"/>
      <c r="B466" s="94"/>
      <c r="C466" s="94"/>
      <c r="D466" s="94"/>
    </row>
    <row r="467">
      <c r="A467" s="94"/>
      <c r="B467" s="94"/>
      <c r="C467" s="94"/>
      <c r="D467" s="94"/>
    </row>
    <row r="468">
      <c r="A468" s="94"/>
      <c r="B468" s="94"/>
      <c r="C468" s="94"/>
      <c r="D468" s="94"/>
    </row>
    <row r="469">
      <c r="A469" s="94"/>
      <c r="B469" s="94"/>
      <c r="C469" s="94"/>
      <c r="D469" s="94"/>
    </row>
    <row r="470">
      <c r="A470" s="94"/>
      <c r="B470" s="94"/>
      <c r="C470" s="94"/>
      <c r="D470" s="94"/>
    </row>
    <row r="471">
      <c r="A471" s="94"/>
      <c r="B471" s="94"/>
      <c r="C471" s="94"/>
      <c r="D471" s="94"/>
    </row>
    <row r="472">
      <c r="A472" s="94"/>
      <c r="B472" s="94"/>
      <c r="C472" s="94"/>
      <c r="D472" s="94"/>
    </row>
    <row r="473">
      <c r="A473" s="94"/>
      <c r="B473" s="94"/>
      <c r="C473" s="94"/>
      <c r="D473" s="94"/>
    </row>
    <row r="474">
      <c r="A474" s="94"/>
      <c r="B474" s="94"/>
      <c r="C474" s="94"/>
      <c r="D474" s="94"/>
    </row>
    <row r="475">
      <c r="A475" s="94"/>
      <c r="B475" s="94"/>
      <c r="C475" s="94"/>
      <c r="D475" s="94"/>
    </row>
    <row r="476">
      <c r="A476" s="94"/>
      <c r="B476" s="94"/>
      <c r="C476" s="94"/>
      <c r="D476" s="94"/>
    </row>
    <row r="477">
      <c r="A477" s="94"/>
      <c r="B477" s="94"/>
      <c r="C477" s="94"/>
      <c r="D477" s="94"/>
    </row>
    <row r="478">
      <c r="A478" s="94"/>
      <c r="B478" s="94"/>
      <c r="C478" s="94"/>
      <c r="D478" s="94"/>
    </row>
    <row r="479">
      <c r="A479" s="94"/>
      <c r="B479" s="94"/>
      <c r="C479" s="94"/>
      <c r="D479" s="94"/>
    </row>
    <row r="480">
      <c r="A480" s="94"/>
      <c r="B480" s="94"/>
      <c r="C480" s="94"/>
      <c r="D480" s="94"/>
    </row>
    <row r="481">
      <c r="A481" s="94"/>
      <c r="B481" s="94"/>
      <c r="C481" s="94"/>
      <c r="D481" s="94"/>
    </row>
    <row r="482">
      <c r="A482" s="94"/>
      <c r="B482" s="94"/>
      <c r="C482" s="94"/>
      <c r="D482" s="94"/>
    </row>
    <row r="483">
      <c r="A483" s="94"/>
      <c r="B483" s="94"/>
      <c r="C483" s="94"/>
      <c r="D483" s="94"/>
    </row>
    <row r="484">
      <c r="A484" s="94"/>
      <c r="B484" s="94"/>
      <c r="C484" s="94"/>
      <c r="D484" s="94"/>
    </row>
    <row r="485">
      <c r="A485" s="94"/>
      <c r="B485" s="94"/>
      <c r="C485" s="94"/>
      <c r="D485" s="94"/>
    </row>
    <row r="486">
      <c r="A486" s="94"/>
      <c r="B486" s="94"/>
      <c r="C486" s="94"/>
      <c r="D486" s="94"/>
    </row>
    <row r="487">
      <c r="A487" s="94"/>
      <c r="B487" s="94"/>
      <c r="C487" s="94"/>
      <c r="D487" s="94"/>
    </row>
    <row r="488">
      <c r="A488" s="94"/>
      <c r="B488" s="94"/>
      <c r="C488" s="94"/>
      <c r="D488" s="94"/>
    </row>
    <row r="489">
      <c r="A489" s="94"/>
      <c r="B489" s="94"/>
      <c r="C489" s="94"/>
      <c r="D489" s="94"/>
    </row>
    <row r="490">
      <c r="A490" s="94"/>
      <c r="B490" s="94"/>
      <c r="C490" s="94"/>
      <c r="D490" s="94"/>
    </row>
    <row r="491">
      <c r="A491" s="94"/>
      <c r="B491" s="94"/>
      <c r="C491" s="94"/>
      <c r="D491" s="94"/>
    </row>
    <row r="492">
      <c r="A492" s="94"/>
      <c r="B492" s="94"/>
      <c r="C492" s="94"/>
      <c r="D492" s="94"/>
    </row>
    <row r="493">
      <c r="A493" s="94"/>
      <c r="B493" s="94"/>
      <c r="C493" s="94"/>
      <c r="D493" s="94"/>
    </row>
    <row r="494">
      <c r="A494" s="94"/>
      <c r="B494" s="94"/>
      <c r="C494" s="94"/>
      <c r="D494" s="94"/>
    </row>
    <row r="495">
      <c r="A495" s="94"/>
      <c r="B495" s="94"/>
      <c r="C495" s="94"/>
      <c r="D495" s="94"/>
    </row>
    <row r="496">
      <c r="A496" s="94"/>
      <c r="B496" s="94"/>
      <c r="C496" s="94"/>
      <c r="D496" s="94"/>
    </row>
    <row r="497">
      <c r="A497" s="94"/>
      <c r="B497" s="94"/>
      <c r="C497" s="94"/>
      <c r="D497" s="94"/>
    </row>
    <row r="498">
      <c r="A498" s="94"/>
      <c r="B498" s="94"/>
      <c r="C498" s="94"/>
      <c r="D498" s="94"/>
    </row>
    <row r="499">
      <c r="A499" s="94"/>
      <c r="B499" s="94"/>
      <c r="C499" s="94"/>
      <c r="D499" s="94"/>
    </row>
    <row r="500">
      <c r="A500" s="94"/>
      <c r="B500" s="94"/>
      <c r="C500" s="94"/>
      <c r="D500" s="94"/>
    </row>
    <row r="501">
      <c r="A501" s="94"/>
      <c r="B501" s="94"/>
      <c r="C501" s="94"/>
      <c r="D501" s="94"/>
    </row>
    <row r="502">
      <c r="A502" s="94"/>
      <c r="B502" s="94"/>
      <c r="C502" s="94"/>
      <c r="D502" s="94"/>
    </row>
    <row r="503">
      <c r="A503" s="94"/>
      <c r="B503" s="94"/>
      <c r="C503" s="94"/>
      <c r="D503" s="94"/>
    </row>
    <row r="504">
      <c r="A504" s="94"/>
      <c r="B504" s="94"/>
      <c r="C504" s="94"/>
      <c r="D504" s="94"/>
    </row>
    <row r="505">
      <c r="A505" s="94"/>
      <c r="B505" s="94"/>
      <c r="C505" s="94"/>
      <c r="D505" s="94"/>
    </row>
    <row r="506">
      <c r="A506" s="94"/>
      <c r="B506" s="94"/>
      <c r="C506" s="94"/>
      <c r="D506" s="94"/>
    </row>
    <row r="507">
      <c r="A507" s="94"/>
      <c r="B507" s="94"/>
      <c r="C507" s="94"/>
      <c r="D507" s="94"/>
    </row>
    <row r="508">
      <c r="A508" s="94"/>
      <c r="B508" s="94"/>
      <c r="C508" s="94"/>
      <c r="D508" s="94"/>
    </row>
    <row r="509">
      <c r="A509" s="94"/>
      <c r="B509" s="94"/>
      <c r="C509" s="94"/>
      <c r="D509" s="94"/>
    </row>
    <row r="510">
      <c r="A510" s="94"/>
      <c r="B510" s="94"/>
      <c r="C510" s="94"/>
      <c r="D510" s="94"/>
    </row>
    <row r="511">
      <c r="A511" s="94"/>
      <c r="B511" s="94"/>
      <c r="C511" s="94"/>
      <c r="D511" s="94"/>
    </row>
    <row r="512">
      <c r="A512" s="94"/>
      <c r="B512" s="94"/>
      <c r="C512" s="94"/>
      <c r="D512" s="94"/>
    </row>
    <row r="513">
      <c r="A513" s="94"/>
      <c r="B513" s="94"/>
      <c r="C513" s="94"/>
      <c r="D513" s="94"/>
    </row>
    <row r="514">
      <c r="A514" s="94"/>
      <c r="B514" s="94"/>
      <c r="C514" s="94"/>
      <c r="D514" s="94"/>
    </row>
    <row r="515">
      <c r="A515" s="94"/>
      <c r="B515" s="94"/>
      <c r="C515" s="94"/>
      <c r="D515" s="94"/>
    </row>
    <row r="516">
      <c r="A516" s="94"/>
      <c r="B516" s="94"/>
      <c r="C516" s="94"/>
      <c r="D516" s="94"/>
    </row>
    <row r="517">
      <c r="A517" s="94"/>
      <c r="B517" s="94"/>
      <c r="C517" s="94"/>
      <c r="D517" s="94"/>
    </row>
    <row r="518">
      <c r="A518" s="94"/>
      <c r="B518" s="94"/>
      <c r="C518" s="94"/>
      <c r="D518" s="94"/>
    </row>
    <row r="519">
      <c r="A519" s="94"/>
      <c r="B519" s="94"/>
      <c r="C519" s="94"/>
      <c r="D519" s="94"/>
    </row>
    <row r="520">
      <c r="A520" s="94"/>
      <c r="B520" s="94"/>
      <c r="C520" s="94"/>
      <c r="D520" s="94"/>
    </row>
    <row r="521">
      <c r="A521" s="94"/>
      <c r="B521" s="94"/>
      <c r="C521" s="94"/>
      <c r="D521" s="94"/>
    </row>
    <row r="522">
      <c r="A522" s="94"/>
      <c r="B522" s="94"/>
      <c r="C522" s="94"/>
      <c r="D522" s="94"/>
    </row>
    <row r="523">
      <c r="A523" s="94"/>
      <c r="B523" s="94"/>
      <c r="C523" s="94"/>
      <c r="D523" s="94"/>
    </row>
    <row r="524">
      <c r="A524" s="94"/>
      <c r="B524" s="94"/>
      <c r="C524" s="94"/>
      <c r="D524" s="94"/>
    </row>
    <row r="525">
      <c r="A525" s="94"/>
      <c r="B525" s="94"/>
      <c r="C525" s="94"/>
      <c r="D525" s="94"/>
    </row>
    <row r="526">
      <c r="A526" s="94"/>
      <c r="B526" s="94"/>
      <c r="C526" s="94"/>
      <c r="D526" s="94"/>
    </row>
    <row r="527">
      <c r="A527" s="94"/>
      <c r="B527" s="94"/>
      <c r="C527" s="94"/>
      <c r="D527" s="94"/>
    </row>
    <row r="528">
      <c r="A528" s="94"/>
      <c r="B528" s="94"/>
      <c r="C528" s="94"/>
      <c r="D528" s="94"/>
    </row>
    <row r="529">
      <c r="A529" s="94"/>
      <c r="B529" s="94"/>
      <c r="C529" s="94"/>
      <c r="D529" s="94"/>
    </row>
    <row r="530">
      <c r="A530" s="94"/>
      <c r="B530" s="94"/>
      <c r="C530" s="94"/>
      <c r="D530" s="94"/>
    </row>
    <row r="531">
      <c r="A531" s="94"/>
      <c r="B531" s="94"/>
      <c r="C531" s="94"/>
      <c r="D531" s="94"/>
    </row>
    <row r="532">
      <c r="A532" s="94"/>
      <c r="B532" s="94"/>
      <c r="C532" s="94"/>
      <c r="D532" s="94"/>
    </row>
    <row r="533">
      <c r="A533" s="94"/>
      <c r="B533" s="94"/>
      <c r="C533" s="94"/>
      <c r="D533" s="94"/>
    </row>
    <row r="534">
      <c r="A534" s="94"/>
      <c r="B534" s="94"/>
      <c r="C534" s="94"/>
      <c r="D534" s="94"/>
    </row>
    <row r="535">
      <c r="A535" s="94"/>
      <c r="B535" s="94"/>
      <c r="C535" s="94"/>
      <c r="D535" s="94"/>
    </row>
    <row r="536">
      <c r="A536" s="94"/>
      <c r="B536" s="94"/>
      <c r="C536" s="94"/>
      <c r="D536" s="94"/>
    </row>
    <row r="537">
      <c r="A537" s="94"/>
      <c r="B537" s="94"/>
      <c r="C537" s="94"/>
      <c r="D537" s="94"/>
    </row>
    <row r="538">
      <c r="A538" s="94"/>
      <c r="B538" s="94"/>
      <c r="C538" s="94"/>
      <c r="D538" s="94"/>
    </row>
    <row r="539">
      <c r="A539" s="94"/>
      <c r="B539" s="94"/>
      <c r="C539" s="94"/>
      <c r="D539" s="94"/>
    </row>
    <row r="540">
      <c r="A540" s="94"/>
      <c r="B540" s="94"/>
      <c r="C540" s="94"/>
      <c r="D540" s="94"/>
    </row>
    <row r="541">
      <c r="A541" s="94"/>
      <c r="B541" s="94"/>
      <c r="C541" s="94"/>
      <c r="D541" s="94"/>
    </row>
    <row r="542">
      <c r="A542" s="94"/>
      <c r="B542" s="94"/>
      <c r="C542" s="94"/>
      <c r="D542" s="94"/>
    </row>
    <row r="543">
      <c r="A543" s="94"/>
      <c r="B543" s="94"/>
      <c r="C543" s="94"/>
      <c r="D543" s="94"/>
    </row>
    <row r="544">
      <c r="A544" s="94"/>
      <c r="B544" s="94"/>
      <c r="C544" s="94"/>
      <c r="D544" s="94"/>
    </row>
    <row r="545">
      <c r="A545" s="94"/>
      <c r="B545" s="94"/>
      <c r="C545" s="94"/>
      <c r="D545" s="94"/>
    </row>
    <row r="546">
      <c r="A546" s="94"/>
      <c r="B546" s="94"/>
      <c r="C546" s="94"/>
      <c r="D546" s="94"/>
    </row>
    <row r="547">
      <c r="A547" s="94"/>
      <c r="B547" s="94"/>
      <c r="C547" s="94"/>
      <c r="D547" s="94"/>
    </row>
    <row r="548">
      <c r="A548" s="94"/>
      <c r="B548" s="94"/>
      <c r="C548" s="94"/>
      <c r="D548" s="94"/>
    </row>
    <row r="549">
      <c r="A549" s="94"/>
      <c r="B549" s="94"/>
      <c r="C549" s="94"/>
      <c r="D549" s="94"/>
    </row>
    <row r="550">
      <c r="A550" s="94"/>
      <c r="B550" s="94"/>
      <c r="C550" s="94"/>
      <c r="D550" s="94"/>
    </row>
    <row r="551">
      <c r="A551" s="94"/>
      <c r="B551" s="94"/>
      <c r="C551" s="94"/>
      <c r="D551" s="94"/>
    </row>
    <row r="552">
      <c r="A552" s="94"/>
      <c r="B552" s="94"/>
      <c r="C552" s="94"/>
      <c r="D552" s="94"/>
    </row>
    <row r="553">
      <c r="A553" s="94"/>
      <c r="B553" s="94"/>
      <c r="C553" s="94"/>
      <c r="D553" s="94"/>
    </row>
    <row r="554">
      <c r="A554" s="94"/>
      <c r="B554" s="94"/>
      <c r="C554" s="94"/>
      <c r="D554" s="94"/>
    </row>
    <row r="555">
      <c r="A555" s="94"/>
      <c r="B555" s="94"/>
      <c r="C555" s="94"/>
      <c r="D555" s="94"/>
    </row>
    <row r="556">
      <c r="A556" s="94"/>
      <c r="B556" s="94"/>
      <c r="C556" s="94"/>
      <c r="D556" s="94"/>
    </row>
    <row r="557">
      <c r="A557" s="94"/>
      <c r="B557" s="94"/>
      <c r="C557" s="94"/>
      <c r="D557" s="94"/>
    </row>
    <row r="558">
      <c r="A558" s="94"/>
      <c r="B558" s="94"/>
      <c r="C558" s="94"/>
      <c r="D558" s="94"/>
    </row>
    <row r="559">
      <c r="A559" s="94"/>
      <c r="B559" s="94"/>
      <c r="C559" s="94"/>
      <c r="D559" s="94"/>
    </row>
    <row r="560">
      <c r="A560" s="94"/>
      <c r="B560" s="94"/>
      <c r="C560" s="94"/>
      <c r="D560" s="94"/>
    </row>
    <row r="561">
      <c r="A561" s="94"/>
      <c r="B561" s="94"/>
      <c r="C561" s="94"/>
      <c r="D561" s="94"/>
    </row>
    <row r="562">
      <c r="A562" s="94"/>
      <c r="B562" s="94"/>
      <c r="C562" s="94"/>
      <c r="D562" s="94"/>
    </row>
    <row r="563">
      <c r="A563" s="94"/>
      <c r="B563" s="94"/>
      <c r="C563" s="94"/>
      <c r="D563" s="94"/>
    </row>
    <row r="564">
      <c r="A564" s="94"/>
      <c r="B564" s="94"/>
      <c r="C564" s="94"/>
      <c r="D564" s="94"/>
    </row>
    <row r="565">
      <c r="A565" s="94"/>
      <c r="B565" s="94"/>
      <c r="C565" s="94"/>
      <c r="D565" s="94"/>
    </row>
    <row r="566">
      <c r="A566" s="94"/>
      <c r="B566" s="94"/>
      <c r="C566" s="94"/>
      <c r="D566" s="94"/>
    </row>
    <row r="567">
      <c r="A567" s="94"/>
      <c r="B567" s="94"/>
      <c r="C567" s="94"/>
      <c r="D567" s="94"/>
    </row>
    <row r="568">
      <c r="A568" s="94"/>
      <c r="B568" s="94"/>
      <c r="C568" s="94"/>
      <c r="D568" s="94"/>
    </row>
    <row r="569">
      <c r="A569" s="94"/>
      <c r="B569" s="94"/>
      <c r="C569" s="94"/>
      <c r="D569" s="94"/>
    </row>
    <row r="570">
      <c r="A570" s="94"/>
      <c r="B570" s="94"/>
      <c r="C570" s="94"/>
      <c r="D570" s="94"/>
    </row>
    <row r="571">
      <c r="A571" s="94"/>
      <c r="B571" s="94"/>
      <c r="C571" s="94"/>
      <c r="D571" s="94"/>
    </row>
    <row r="572">
      <c r="A572" s="94"/>
      <c r="B572" s="94"/>
      <c r="C572" s="94"/>
      <c r="D572" s="94"/>
    </row>
    <row r="573">
      <c r="A573" s="94"/>
      <c r="B573" s="94"/>
      <c r="C573" s="94"/>
      <c r="D573" s="94"/>
    </row>
    <row r="574">
      <c r="A574" s="94"/>
      <c r="B574" s="94"/>
      <c r="C574" s="94"/>
      <c r="D574" s="94"/>
    </row>
    <row r="575">
      <c r="A575" s="94"/>
      <c r="B575" s="94"/>
      <c r="C575" s="94"/>
      <c r="D575" s="94"/>
    </row>
    <row r="576">
      <c r="A576" s="94"/>
      <c r="B576" s="94"/>
      <c r="C576" s="94"/>
      <c r="D576" s="94"/>
    </row>
    <row r="577">
      <c r="A577" s="94"/>
      <c r="B577" s="94"/>
      <c r="C577" s="94"/>
      <c r="D577" s="94"/>
    </row>
    <row r="578">
      <c r="A578" s="94"/>
      <c r="B578" s="94"/>
      <c r="C578" s="94"/>
      <c r="D578" s="94"/>
    </row>
    <row r="579">
      <c r="A579" s="94"/>
      <c r="B579" s="94"/>
      <c r="C579" s="94"/>
      <c r="D579" s="94"/>
    </row>
    <row r="580">
      <c r="A580" s="94"/>
      <c r="B580" s="94"/>
      <c r="C580" s="94"/>
      <c r="D580" s="94"/>
    </row>
    <row r="581">
      <c r="A581" s="94"/>
      <c r="B581" s="94"/>
      <c r="C581" s="94"/>
      <c r="D581" s="94"/>
    </row>
    <row r="582">
      <c r="A582" s="94"/>
      <c r="B582" s="94"/>
      <c r="C582" s="94"/>
      <c r="D582" s="94"/>
    </row>
    <row r="583">
      <c r="A583" s="94"/>
      <c r="B583" s="94"/>
      <c r="C583" s="94"/>
      <c r="D583" s="94"/>
    </row>
    <row r="584">
      <c r="A584" s="94"/>
      <c r="B584" s="94"/>
      <c r="C584" s="94"/>
      <c r="D584" s="94"/>
    </row>
    <row r="585">
      <c r="A585" s="94"/>
      <c r="B585" s="94"/>
      <c r="C585" s="94"/>
      <c r="D585" s="94"/>
    </row>
    <row r="586">
      <c r="A586" s="94"/>
      <c r="B586" s="94"/>
      <c r="C586" s="94"/>
      <c r="D586" s="94"/>
    </row>
    <row r="587">
      <c r="A587" s="94"/>
      <c r="B587" s="94"/>
      <c r="C587" s="94"/>
      <c r="D587" s="94"/>
    </row>
    <row r="588">
      <c r="A588" s="94"/>
      <c r="B588" s="94"/>
      <c r="C588" s="94"/>
      <c r="D588" s="94"/>
    </row>
    <row r="589">
      <c r="A589" s="94"/>
      <c r="B589" s="94"/>
      <c r="C589" s="94"/>
      <c r="D589" s="94"/>
    </row>
    <row r="590">
      <c r="A590" s="94"/>
      <c r="B590" s="94"/>
      <c r="C590" s="94"/>
      <c r="D590" s="94"/>
    </row>
    <row r="591">
      <c r="A591" s="94"/>
      <c r="B591" s="94"/>
      <c r="C591" s="94"/>
      <c r="D591" s="94"/>
    </row>
    <row r="592">
      <c r="A592" s="94"/>
      <c r="B592" s="94"/>
      <c r="C592" s="94"/>
      <c r="D592" s="94"/>
    </row>
    <row r="593">
      <c r="A593" s="94"/>
      <c r="B593" s="94"/>
      <c r="C593" s="94"/>
      <c r="D593" s="94"/>
    </row>
    <row r="594">
      <c r="A594" s="94"/>
      <c r="B594" s="94"/>
      <c r="C594" s="94"/>
      <c r="D594" s="94"/>
    </row>
    <row r="595">
      <c r="A595" s="94"/>
      <c r="B595" s="94"/>
      <c r="C595" s="94"/>
      <c r="D595" s="94"/>
    </row>
    <row r="596">
      <c r="A596" s="94"/>
      <c r="B596" s="94"/>
      <c r="C596" s="94"/>
      <c r="D596" s="94"/>
    </row>
    <row r="597">
      <c r="A597" s="94"/>
      <c r="B597" s="94"/>
      <c r="C597" s="94"/>
      <c r="D597" s="94"/>
    </row>
    <row r="598">
      <c r="A598" s="94"/>
      <c r="B598" s="94"/>
      <c r="C598" s="94"/>
      <c r="D598" s="94"/>
    </row>
    <row r="599">
      <c r="A599" s="94"/>
      <c r="B599" s="94"/>
      <c r="C599" s="94"/>
      <c r="D599" s="94"/>
    </row>
    <row r="600">
      <c r="A600" s="94"/>
      <c r="B600" s="94"/>
      <c r="C600" s="94"/>
      <c r="D600" s="94"/>
    </row>
    <row r="601">
      <c r="A601" s="94"/>
      <c r="B601" s="94"/>
      <c r="C601" s="94"/>
      <c r="D601" s="94"/>
    </row>
    <row r="602">
      <c r="A602" s="94"/>
      <c r="B602" s="94"/>
      <c r="C602" s="94"/>
      <c r="D602" s="94"/>
    </row>
    <row r="603">
      <c r="A603" s="94"/>
      <c r="B603" s="94"/>
      <c r="C603" s="94"/>
      <c r="D603" s="94"/>
    </row>
    <row r="604">
      <c r="A604" s="94"/>
      <c r="B604" s="94"/>
      <c r="C604" s="94"/>
      <c r="D604" s="94"/>
    </row>
    <row r="605">
      <c r="A605" s="94"/>
      <c r="B605" s="94"/>
      <c r="C605" s="94"/>
      <c r="D605" s="94"/>
    </row>
    <row r="606">
      <c r="A606" s="94"/>
      <c r="B606" s="94"/>
      <c r="C606" s="94"/>
      <c r="D606" s="94"/>
    </row>
    <row r="607">
      <c r="A607" s="94"/>
      <c r="B607" s="94"/>
      <c r="C607" s="94"/>
      <c r="D607" s="94"/>
    </row>
    <row r="608">
      <c r="A608" s="94"/>
      <c r="B608" s="94"/>
      <c r="C608" s="94"/>
      <c r="D608" s="94"/>
    </row>
    <row r="609">
      <c r="A609" s="94"/>
      <c r="B609" s="94"/>
      <c r="C609" s="94"/>
      <c r="D609" s="94"/>
    </row>
    <row r="610">
      <c r="A610" s="94"/>
      <c r="B610" s="94"/>
      <c r="C610" s="94"/>
      <c r="D610" s="94"/>
    </row>
    <row r="611">
      <c r="A611" s="94"/>
      <c r="B611" s="94"/>
      <c r="C611" s="94"/>
      <c r="D611" s="94"/>
    </row>
    <row r="612">
      <c r="A612" s="94"/>
      <c r="B612" s="94"/>
      <c r="C612" s="94"/>
      <c r="D612" s="94"/>
    </row>
    <row r="613">
      <c r="A613" s="94"/>
      <c r="B613" s="94"/>
      <c r="C613" s="94"/>
      <c r="D613" s="94"/>
    </row>
    <row r="614">
      <c r="A614" s="94"/>
      <c r="B614" s="94"/>
      <c r="C614" s="94"/>
      <c r="D614" s="94"/>
    </row>
    <row r="615">
      <c r="A615" s="94"/>
      <c r="B615" s="94"/>
      <c r="C615" s="94"/>
      <c r="D615" s="94"/>
    </row>
    <row r="616">
      <c r="A616" s="94"/>
      <c r="B616" s="94"/>
      <c r="C616" s="94"/>
      <c r="D616" s="94"/>
    </row>
    <row r="617">
      <c r="A617" s="94"/>
      <c r="B617" s="94"/>
      <c r="C617" s="94"/>
      <c r="D617" s="94"/>
    </row>
    <row r="618">
      <c r="A618" s="94"/>
      <c r="B618" s="94"/>
      <c r="C618" s="94"/>
      <c r="D618" s="94"/>
    </row>
    <row r="619">
      <c r="A619" s="94"/>
      <c r="B619" s="94"/>
      <c r="C619" s="94"/>
      <c r="D619" s="94"/>
    </row>
    <row r="620">
      <c r="A620" s="94"/>
      <c r="B620" s="94"/>
      <c r="C620" s="94"/>
      <c r="D620" s="94"/>
    </row>
    <row r="621">
      <c r="A621" s="94"/>
      <c r="B621" s="94"/>
      <c r="C621" s="94"/>
      <c r="D621" s="94"/>
    </row>
    <row r="622">
      <c r="A622" s="94"/>
      <c r="B622" s="94"/>
      <c r="C622" s="94"/>
      <c r="D622" s="94"/>
    </row>
    <row r="623">
      <c r="A623" s="94"/>
      <c r="B623" s="94"/>
      <c r="C623" s="94"/>
      <c r="D623" s="94"/>
    </row>
    <row r="624">
      <c r="A624" s="94"/>
      <c r="B624" s="94"/>
      <c r="C624" s="94"/>
      <c r="D624" s="94"/>
    </row>
    <row r="625">
      <c r="A625" s="94"/>
      <c r="B625" s="94"/>
      <c r="C625" s="94"/>
      <c r="D625" s="94"/>
    </row>
    <row r="626">
      <c r="A626" s="94"/>
      <c r="B626" s="94"/>
      <c r="C626" s="94"/>
      <c r="D626" s="94"/>
    </row>
    <row r="627">
      <c r="A627" s="94"/>
      <c r="B627" s="94"/>
      <c r="C627" s="94"/>
      <c r="D627" s="94"/>
    </row>
    <row r="628">
      <c r="A628" s="94"/>
      <c r="B628" s="94"/>
      <c r="C628" s="94"/>
      <c r="D628" s="94"/>
    </row>
    <row r="629">
      <c r="A629" s="94"/>
      <c r="B629" s="94"/>
      <c r="C629" s="94"/>
      <c r="D629" s="94"/>
    </row>
    <row r="630">
      <c r="A630" s="94"/>
      <c r="B630" s="94"/>
      <c r="C630" s="94"/>
      <c r="D630" s="94"/>
    </row>
    <row r="631">
      <c r="A631" s="94"/>
      <c r="B631" s="94"/>
      <c r="C631" s="94"/>
      <c r="D631" s="94"/>
    </row>
    <row r="632">
      <c r="A632" s="94"/>
      <c r="B632" s="94"/>
      <c r="C632" s="94"/>
      <c r="D632" s="94"/>
    </row>
    <row r="633">
      <c r="A633" s="94"/>
      <c r="B633" s="94"/>
      <c r="C633" s="94"/>
      <c r="D633" s="94"/>
    </row>
    <row r="634">
      <c r="A634" s="94"/>
      <c r="B634" s="94"/>
      <c r="C634" s="94"/>
      <c r="D634" s="94"/>
    </row>
    <row r="635">
      <c r="A635" s="94"/>
      <c r="B635" s="94"/>
      <c r="C635" s="94"/>
      <c r="D635" s="94"/>
    </row>
    <row r="636">
      <c r="A636" s="94"/>
      <c r="B636" s="94"/>
      <c r="C636" s="94"/>
      <c r="D636" s="94"/>
    </row>
    <row r="637">
      <c r="A637" s="94"/>
      <c r="B637" s="94"/>
      <c r="C637" s="94"/>
      <c r="D637" s="94"/>
    </row>
    <row r="638">
      <c r="A638" s="94"/>
      <c r="B638" s="94"/>
      <c r="C638" s="94"/>
      <c r="D638" s="94"/>
    </row>
    <row r="639">
      <c r="A639" s="94"/>
      <c r="B639" s="94"/>
      <c r="C639" s="94"/>
      <c r="D639" s="94"/>
    </row>
    <row r="640">
      <c r="A640" s="94"/>
      <c r="B640" s="94"/>
      <c r="C640" s="94"/>
      <c r="D640" s="94"/>
    </row>
    <row r="641">
      <c r="A641" s="94"/>
      <c r="B641" s="94"/>
      <c r="C641" s="94"/>
      <c r="D641" s="94"/>
    </row>
    <row r="642">
      <c r="A642" s="94"/>
      <c r="B642" s="94"/>
      <c r="C642" s="94"/>
      <c r="D642" s="94"/>
    </row>
    <row r="643">
      <c r="A643" s="94"/>
      <c r="B643" s="94"/>
      <c r="C643" s="94"/>
      <c r="D643" s="94"/>
    </row>
    <row r="644">
      <c r="A644" s="94"/>
      <c r="B644" s="94"/>
      <c r="C644" s="94"/>
      <c r="D644" s="94"/>
    </row>
    <row r="645">
      <c r="A645" s="94"/>
      <c r="B645" s="94"/>
      <c r="C645" s="94"/>
      <c r="D645" s="94"/>
    </row>
    <row r="646">
      <c r="A646" s="94"/>
      <c r="B646" s="94"/>
      <c r="C646" s="94"/>
      <c r="D646" s="94"/>
    </row>
    <row r="647">
      <c r="A647" s="94"/>
      <c r="B647" s="94"/>
      <c r="C647" s="94"/>
      <c r="D647" s="94"/>
    </row>
    <row r="648">
      <c r="A648" s="94"/>
      <c r="B648" s="94"/>
      <c r="C648" s="94"/>
      <c r="D648" s="94"/>
    </row>
    <row r="649">
      <c r="A649" s="94"/>
      <c r="B649" s="94"/>
      <c r="C649" s="94"/>
      <c r="D649" s="94"/>
    </row>
    <row r="650">
      <c r="A650" s="94"/>
      <c r="B650" s="94"/>
      <c r="C650" s="94"/>
      <c r="D650" s="94"/>
    </row>
    <row r="651">
      <c r="A651" s="94"/>
      <c r="B651" s="94"/>
      <c r="C651" s="94"/>
      <c r="D651" s="94"/>
    </row>
    <row r="652">
      <c r="A652" s="94"/>
      <c r="B652" s="94"/>
      <c r="C652" s="94"/>
      <c r="D652" s="94"/>
    </row>
    <row r="653">
      <c r="A653" s="94"/>
      <c r="B653" s="94"/>
      <c r="C653" s="94"/>
      <c r="D653" s="94"/>
    </row>
    <row r="654">
      <c r="A654" s="94"/>
      <c r="B654" s="94"/>
      <c r="C654" s="94"/>
      <c r="D654" s="94"/>
    </row>
    <row r="655">
      <c r="A655" s="94"/>
      <c r="B655" s="94"/>
      <c r="C655" s="94"/>
      <c r="D655" s="94"/>
    </row>
    <row r="656">
      <c r="A656" s="94"/>
      <c r="B656" s="94"/>
      <c r="C656" s="94"/>
      <c r="D656" s="94"/>
    </row>
    <row r="657">
      <c r="A657" s="94"/>
      <c r="B657" s="94"/>
      <c r="C657" s="94"/>
      <c r="D657" s="94"/>
    </row>
    <row r="658">
      <c r="A658" s="94"/>
      <c r="B658" s="94"/>
      <c r="C658" s="94"/>
      <c r="D658" s="94"/>
    </row>
    <row r="659">
      <c r="A659" s="94"/>
      <c r="B659" s="94"/>
      <c r="C659" s="94"/>
      <c r="D659" s="94"/>
    </row>
    <row r="660">
      <c r="A660" s="94"/>
      <c r="B660" s="94"/>
      <c r="C660" s="94"/>
      <c r="D660" s="94"/>
    </row>
    <row r="661">
      <c r="A661" s="94"/>
      <c r="B661" s="94"/>
      <c r="C661" s="94"/>
      <c r="D661" s="94"/>
    </row>
    <row r="662">
      <c r="A662" s="94"/>
      <c r="B662" s="94"/>
      <c r="C662" s="94"/>
      <c r="D662" s="94"/>
    </row>
    <row r="663">
      <c r="A663" s="94"/>
      <c r="B663" s="94"/>
      <c r="C663" s="94"/>
      <c r="D663" s="94"/>
    </row>
    <row r="664">
      <c r="A664" s="94"/>
      <c r="B664" s="94"/>
      <c r="C664" s="94"/>
      <c r="D664" s="94"/>
    </row>
    <row r="665">
      <c r="A665" s="94"/>
      <c r="B665" s="94"/>
      <c r="C665" s="94"/>
      <c r="D665" s="94"/>
    </row>
    <row r="666">
      <c r="A666" s="94"/>
      <c r="B666" s="94"/>
      <c r="C666" s="94"/>
      <c r="D666" s="94"/>
    </row>
    <row r="667">
      <c r="A667" s="94"/>
      <c r="B667" s="94"/>
      <c r="C667" s="94"/>
      <c r="D667" s="94"/>
    </row>
    <row r="668">
      <c r="A668" s="94"/>
      <c r="B668" s="94"/>
      <c r="C668" s="94"/>
      <c r="D668" s="94"/>
    </row>
    <row r="669">
      <c r="A669" s="94"/>
      <c r="B669" s="94"/>
      <c r="C669" s="94"/>
      <c r="D669" s="94"/>
    </row>
    <row r="670">
      <c r="A670" s="94"/>
      <c r="B670" s="94"/>
      <c r="C670" s="94"/>
      <c r="D670" s="94"/>
    </row>
    <row r="671">
      <c r="A671" s="94"/>
      <c r="B671" s="94"/>
      <c r="C671" s="94"/>
      <c r="D671" s="94"/>
    </row>
    <row r="672">
      <c r="A672" s="94"/>
      <c r="B672" s="94"/>
      <c r="C672" s="94"/>
      <c r="D672" s="94"/>
    </row>
    <row r="673">
      <c r="A673" s="94"/>
      <c r="B673" s="94"/>
      <c r="C673" s="94"/>
      <c r="D673" s="94"/>
    </row>
    <row r="674">
      <c r="A674" s="94"/>
      <c r="B674" s="94"/>
      <c r="C674" s="94"/>
      <c r="D674" s="94"/>
    </row>
    <row r="675">
      <c r="A675" s="94"/>
      <c r="B675" s="94"/>
      <c r="C675" s="94"/>
      <c r="D675" s="94"/>
    </row>
    <row r="676">
      <c r="A676" s="94"/>
      <c r="B676" s="94"/>
      <c r="C676" s="94"/>
      <c r="D676" s="94"/>
    </row>
    <row r="677">
      <c r="A677" s="94"/>
      <c r="B677" s="94"/>
      <c r="C677" s="94"/>
      <c r="D677" s="94"/>
    </row>
    <row r="678">
      <c r="A678" s="94"/>
      <c r="B678" s="94"/>
      <c r="C678" s="94"/>
      <c r="D678" s="94"/>
    </row>
    <row r="679">
      <c r="A679" s="94"/>
      <c r="B679" s="94"/>
      <c r="C679" s="94"/>
      <c r="D679" s="94"/>
    </row>
    <row r="680">
      <c r="A680" s="94"/>
      <c r="B680" s="94"/>
      <c r="C680" s="94"/>
      <c r="D680" s="94"/>
    </row>
    <row r="681">
      <c r="A681" s="94"/>
      <c r="B681" s="94"/>
      <c r="C681" s="94"/>
      <c r="D681" s="94"/>
    </row>
    <row r="682">
      <c r="A682" s="94"/>
      <c r="B682" s="94"/>
      <c r="C682" s="94"/>
      <c r="D682" s="94"/>
    </row>
    <row r="683">
      <c r="A683" s="94"/>
      <c r="B683" s="94"/>
      <c r="C683" s="94"/>
      <c r="D683" s="94"/>
    </row>
    <row r="684">
      <c r="A684" s="94"/>
      <c r="B684" s="94"/>
      <c r="C684" s="94"/>
      <c r="D684" s="94"/>
    </row>
    <row r="685">
      <c r="A685" s="94"/>
      <c r="B685" s="94"/>
      <c r="C685" s="94"/>
      <c r="D685" s="94"/>
    </row>
    <row r="686">
      <c r="A686" s="94"/>
      <c r="B686" s="94"/>
      <c r="C686" s="94"/>
      <c r="D686" s="94"/>
    </row>
    <row r="687">
      <c r="A687" s="94"/>
      <c r="B687" s="94"/>
      <c r="C687" s="94"/>
      <c r="D687" s="94"/>
    </row>
    <row r="688">
      <c r="A688" s="94"/>
      <c r="B688" s="94"/>
      <c r="C688" s="94"/>
      <c r="D688" s="94"/>
    </row>
    <row r="689">
      <c r="A689" s="94"/>
      <c r="B689" s="94"/>
      <c r="C689" s="94"/>
      <c r="D689" s="94"/>
    </row>
    <row r="690">
      <c r="A690" s="94"/>
      <c r="B690" s="94"/>
      <c r="C690" s="94"/>
      <c r="D690" s="94"/>
    </row>
    <row r="691">
      <c r="A691" s="94"/>
      <c r="B691" s="94"/>
      <c r="C691" s="94"/>
      <c r="D691" s="94"/>
    </row>
    <row r="692">
      <c r="A692" s="94"/>
      <c r="B692" s="94"/>
      <c r="C692" s="94"/>
      <c r="D692" s="94"/>
    </row>
    <row r="693">
      <c r="A693" s="94"/>
      <c r="B693" s="94"/>
      <c r="C693" s="94"/>
      <c r="D693" s="94"/>
    </row>
    <row r="694">
      <c r="A694" s="94"/>
      <c r="B694" s="94"/>
      <c r="C694" s="94"/>
      <c r="D694" s="94"/>
    </row>
    <row r="695">
      <c r="A695" s="94"/>
      <c r="B695" s="94"/>
      <c r="C695" s="94"/>
      <c r="D695" s="94"/>
    </row>
    <row r="696">
      <c r="A696" s="94"/>
      <c r="B696" s="94"/>
      <c r="C696" s="94"/>
      <c r="D696" s="94"/>
    </row>
    <row r="697">
      <c r="A697" s="94"/>
      <c r="B697" s="94"/>
      <c r="C697" s="94"/>
      <c r="D697" s="94"/>
    </row>
    <row r="698">
      <c r="A698" s="94"/>
      <c r="B698" s="94"/>
      <c r="C698" s="94"/>
      <c r="D698" s="94"/>
    </row>
    <row r="699">
      <c r="A699" s="94"/>
      <c r="B699" s="94"/>
      <c r="C699" s="94"/>
      <c r="D699" s="94"/>
    </row>
    <row r="700">
      <c r="A700" s="94"/>
      <c r="B700" s="94"/>
      <c r="C700" s="94"/>
      <c r="D700" s="94"/>
    </row>
    <row r="701">
      <c r="A701" s="94"/>
      <c r="B701" s="94"/>
      <c r="C701" s="94"/>
      <c r="D701" s="94"/>
    </row>
    <row r="702">
      <c r="A702" s="94"/>
      <c r="B702" s="94"/>
      <c r="C702" s="94"/>
      <c r="D702" s="94"/>
    </row>
    <row r="703">
      <c r="A703" s="94"/>
      <c r="B703" s="94"/>
      <c r="C703" s="94"/>
      <c r="D703" s="94"/>
    </row>
    <row r="704">
      <c r="A704" s="94"/>
      <c r="B704" s="94"/>
      <c r="C704" s="94"/>
      <c r="D704" s="94"/>
    </row>
    <row r="705">
      <c r="A705" s="94"/>
      <c r="B705" s="94"/>
      <c r="C705" s="94"/>
      <c r="D705" s="94"/>
    </row>
    <row r="706">
      <c r="A706" s="94"/>
      <c r="B706" s="94"/>
      <c r="C706" s="94"/>
      <c r="D706" s="94"/>
    </row>
    <row r="707">
      <c r="A707" s="94"/>
      <c r="B707" s="94"/>
      <c r="C707" s="94"/>
      <c r="D707" s="94"/>
    </row>
    <row r="708">
      <c r="A708" s="94"/>
      <c r="B708" s="94"/>
      <c r="C708" s="94"/>
      <c r="D708" s="94"/>
    </row>
    <row r="709">
      <c r="A709" s="94"/>
      <c r="B709" s="94"/>
      <c r="C709" s="94"/>
      <c r="D709" s="94"/>
    </row>
    <row r="710">
      <c r="A710" s="94"/>
      <c r="B710" s="94"/>
      <c r="C710" s="94"/>
      <c r="D710" s="94"/>
    </row>
    <row r="711">
      <c r="A711" s="94"/>
      <c r="B711" s="94"/>
      <c r="C711" s="94"/>
      <c r="D711" s="94"/>
    </row>
    <row r="712">
      <c r="A712" s="94"/>
      <c r="B712" s="94"/>
      <c r="C712" s="94"/>
      <c r="D712" s="94"/>
    </row>
    <row r="713">
      <c r="A713" s="94"/>
      <c r="B713" s="94"/>
      <c r="C713" s="94"/>
      <c r="D713" s="94"/>
    </row>
    <row r="714">
      <c r="A714" s="94"/>
      <c r="B714" s="94"/>
      <c r="C714" s="94"/>
      <c r="D714" s="94"/>
    </row>
    <row r="715">
      <c r="A715" s="94"/>
      <c r="B715" s="94"/>
      <c r="C715" s="94"/>
      <c r="D715" s="94"/>
    </row>
    <row r="716">
      <c r="A716" s="94"/>
      <c r="B716" s="94"/>
      <c r="C716" s="94"/>
      <c r="D716" s="94"/>
    </row>
    <row r="717">
      <c r="A717" s="94"/>
      <c r="B717" s="94"/>
      <c r="C717" s="94"/>
      <c r="D717" s="94"/>
    </row>
    <row r="718">
      <c r="A718" s="94"/>
      <c r="B718" s="94"/>
      <c r="C718" s="94"/>
      <c r="D718" s="94"/>
    </row>
    <row r="719">
      <c r="A719" s="94"/>
      <c r="B719" s="94"/>
      <c r="C719" s="94"/>
      <c r="D719" s="94"/>
    </row>
    <row r="720">
      <c r="A720" s="94"/>
      <c r="B720" s="94"/>
      <c r="C720" s="94"/>
      <c r="D720" s="94"/>
    </row>
    <row r="721">
      <c r="A721" s="94"/>
      <c r="B721" s="94"/>
      <c r="C721" s="94"/>
      <c r="D721" s="94"/>
    </row>
    <row r="722">
      <c r="A722" s="94"/>
      <c r="B722" s="94"/>
      <c r="C722" s="94"/>
      <c r="D722" s="94"/>
    </row>
    <row r="723">
      <c r="A723" s="94"/>
      <c r="B723" s="94"/>
      <c r="C723" s="94"/>
      <c r="D723" s="94"/>
    </row>
    <row r="724">
      <c r="A724" s="94"/>
      <c r="B724" s="94"/>
      <c r="C724" s="94"/>
      <c r="D724" s="94"/>
    </row>
    <row r="725">
      <c r="A725" s="94"/>
      <c r="B725" s="94"/>
      <c r="C725" s="94"/>
      <c r="D725" s="94"/>
    </row>
    <row r="726">
      <c r="A726" s="94"/>
      <c r="B726" s="94"/>
      <c r="C726" s="94"/>
      <c r="D726" s="94"/>
    </row>
    <row r="727">
      <c r="A727" s="94"/>
      <c r="B727" s="94"/>
      <c r="C727" s="94"/>
      <c r="D727" s="94"/>
    </row>
    <row r="728">
      <c r="A728" s="94"/>
      <c r="B728" s="94"/>
      <c r="C728" s="94"/>
      <c r="D728" s="94"/>
    </row>
    <row r="729">
      <c r="A729" s="94"/>
      <c r="B729" s="94"/>
      <c r="C729" s="94"/>
      <c r="D729" s="94"/>
    </row>
    <row r="730">
      <c r="A730" s="94"/>
      <c r="B730" s="94"/>
      <c r="C730" s="94"/>
      <c r="D730" s="94"/>
    </row>
    <row r="731">
      <c r="A731" s="94"/>
      <c r="B731" s="94"/>
      <c r="C731" s="94"/>
      <c r="D731" s="94"/>
    </row>
    <row r="732">
      <c r="A732" s="94"/>
      <c r="B732" s="94"/>
      <c r="C732" s="94"/>
      <c r="D732" s="94"/>
    </row>
    <row r="733">
      <c r="A733" s="94"/>
      <c r="B733" s="94"/>
      <c r="C733" s="94"/>
      <c r="D733" s="94"/>
    </row>
    <row r="734">
      <c r="A734" s="94"/>
      <c r="B734" s="94"/>
      <c r="C734" s="94"/>
      <c r="D734" s="94"/>
    </row>
    <row r="735">
      <c r="A735" s="94"/>
      <c r="B735" s="94"/>
      <c r="C735" s="94"/>
      <c r="D735" s="94"/>
    </row>
    <row r="736">
      <c r="A736" s="94"/>
      <c r="B736" s="94"/>
      <c r="C736" s="94"/>
      <c r="D736" s="94"/>
    </row>
    <row r="737">
      <c r="A737" s="94"/>
      <c r="B737" s="94"/>
      <c r="C737" s="94"/>
      <c r="D737" s="94"/>
    </row>
    <row r="738">
      <c r="A738" s="94"/>
      <c r="B738" s="94"/>
      <c r="C738" s="94"/>
      <c r="D738" s="94"/>
    </row>
    <row r="739">
      <c r="A739" s="94"/>
      <c r="B739" s="94"/>
      <c r="C739" s="94"/>
      <c r="D739" s="94"/>
    </row>
    <row r="740">
      <c r="A740" s="94"/>
      <c r="B740" s="94"/>
      <c r="C740" s="94"/>
      <c r="D740" s="94"/>
    </row>
    <row r="741">
      <c r="A741" s="94"/>
      <c r="B741" s="94"/>
      <c r="C741" s="94"/>
      <c r="D741" s="94"/>
    </row>
    <row r="742">
      <c r="A742" s="94"/>
      <c r="B742" s="94"/>
      <c r="C742" s="94"/>
      <c r="D742" s="94"/>
    </row>
    <row r="743">
      <c r="A743" s="94"/>
      <c r="B743" s="94"/>
      <c r="C743" s="94"/>
      <c r="D743" s="94"/>
    </row>
    <row r="744">
      <c r="A744" s="94"/>
      <c r="B744" s="94"/>
      <c r="C744" s="94"/>
      <c r="D744" s="94"/>
    </row>
    <row r="745">
      <c r="A745" s="94"/>
      <c r="B745" s="94"/>
      <c r="C745" s="94"/>
      <c r="D745" s="94"/>
    </row>
    <row r="746">
      <c r="A746" s="94"/>
      <c r="B746" s="94"/>
      <c r="C746" s="94"/>
      <c r="D746" s="94"/>
    </row>
    <row r="747">
      <c r="A747" s="94"/>
      <c r="B747" s="94"/>
      <c r="C747" s="94"/>
      <c r="D747" s="94"/>
    </row>
    <row r="748">
      <c r="A748" s="94"/>
      <c r="B748" s="94"/>
      <c r="C748" s="94"/>
      <c r="D748" s="94"/>
    </row>
    <row r="749">
      <c r="A749" s="94"/>
      <c r="B749" s="94"/>
      <c r="C749" s="94"/>
      <c r="D749" s="94"/>
    </row>
    <row r="750">
      <c r="A750" s="94"/>
      <c r="B750" s="94"/>
      <c r="C750" s="94"/>
      <c r="D750" s="94"/>
    </row>
    <row r="751">
      <c r="A751" s="94"/>
      <c r="B751" s="94"/>
      <c r="C751" s="94"/>
      <c r="D751" s="94"/>
    </row>
    <row r="752">
      <c r="A752" s="94"/>
      <c r="B752" s="94"/>
      <c r="C752" s="94"/>
      <c r="D752" s="94"/>
    </row>
    <row r="753">
      <c r="A753" s="94"/>
      <c r="B753" s="94"/>
      <c r="C753" s="94"/>
      <c r="D753" s="94"/>
    </row>
    <row r="754">
      <c r="A754" s="94"/>
      <c r="B754" s="94"/>
      <c r="C754" s="94"/>
      <c r="D754" s="94"/>
    </row>
    <row r="755">
      <c r="A755" s="94"/>
      <c r="B755" s="94"/>
      <c r="C755" s="94"/>
      <c r="D755" s="94"/>
    </row>
    <row r="756">
      <c r="A756" s="94"/>
      <c r="B756" s="94"/>
      <c r="C756" s="94"/>
      <c r="D756" s="94"/>
    </row>
    <row r="757">
      <c r="A757" s="94"/>
      <c r="B757" s="94"/>
      <c r="C757" s="94"/>
      <c r="D757" s="94"/>
    </row>
    <row r="758">
      <c r="A758" s="94"/>
      <c r="B758" s="94"/>
      <c r="C758" s="94"/>
      <c r="D758" s="94"/>
    </row>
    <row r="759">
      <c r="A759" s="94"/>
      <c r="B759" s="94"/>
      <c r="C759" s="94"/>
      <c r="D759" s="94"/>
    </row>
    <row r="760">
      <c r="A760" s="94"/>
      <c r="B760" s="94"/>
      <c r="C760" s="94"/>
      <c r="D760" s="94"/>
    </row>
    <row r="761">
      <c r="A761" s="94"/>
      <c r="B761" s="94"/>
      <c r="C761" s="94"/>
      <c r="D761" s="94"/>
    </row>
    <row r="762">
      <c r="A762" s="94"/>
      <c r="B762" s="94"/>
      <c r="C762" s="94"/>
      <c r="D762" s="94"/>
    </row>
    <row r="763">
      <c r="A763" s="94"/>
      <c r="B763" s="94"/>
      <c r="C763" s="94"/>
      <c r="D763" s="94"/>
    </row>
    <row r="764">
      <c r="A764" s="94"/>
      <c r="B764" s="94"/>
      <c r="C764" s="94"/>
      <c r="D764" s="94"/>
    </row>
    <row r="765">
      <c r="A765" s="94"/>
      <c r="B765" s="94"/>
      <c r="C765" s="94"/>
      <c r="D765" s="94"/>
    </row>
    <row r="766">
      <c r="A766" s="94"/>
      <c r="B766" s="94"/>
      <c r="C766" s="94"/>
      <c r="D766" s="94"/>
    </row>
    <row r="767">
      <c r="A767" s="94"/>
      <c r="B767" s="94"/>
      <c r="C767" s="94"/>
      <c r="D767" s="94"/>
    </row>
    <row r="768">
      <c r="A768" s="94"/>
      <c r="B768" s="94"/>
      <c r="C768" s="94"/>
      <c r="D768" s="94"/>
    </row>
    <row r="769">
      <c r="A769" s="94"/>
      <c r="B769" s="94"/>
      <c r="C769" s="94"/>
      <c r="D769" s="94"/>
    </row>
    <row r="770">
      <c r="A770" s="94"/>
      <c r="B770" s="94"/>
      <c r="C770" s="94"/>
      <c r="D770" s="94"/>
    </row>
    <row r="771">
      <c r="A771" s="94"/>
      <c r="B771" s="94"/>
      <c r="C771" s="94"/>
      <c r="D771" s="94"/>
    </row>
    <row r="772">
      <c r="A772" s="94"/>
      <c r="B772" s="94"/>
      <c r="C772" s="94"/>
      <c r="D772" s="94"/>
    </row>
    <row r="773">
      <c r="A773" s="94"/>
      <c r="B773" s="94"/>
      <c r="C773" s="94"/>
      <c r="D773" s="94"/>
    </row>
    <row r="774">
      <c r="A774" s="94"/>
      <c r="B774" s="94"/>
      <c r="C774" s="94"/>
      <c r="D774" s="94"/>
    </row>
    <row r="775">
      <c r="A775" s="94"/>
      <c r="B775" s="94"/>
      <c r="C775" s="94"/>
      <c r="D775" s="94"/>
    </row>
    <row r="776">
      <c r="A776" s="94"/>
      <c r="B776" s="94"/>
      <c r="C776" s="94"/>
      <c r="D776" s="94"/>
    </row>
    <row r="777">
      <c r="A777" s="94"/>
      <c r="B777" s="94"/>
      <c r="C777" s="94"/>
      <c r="D777" s="94"/>
    </row>
    <row r="778">
      <c r="A778" s="94"/>
      <c r="B778" s="94"/>
      <c r="C778" s="94"/>
      <c r="D778" s="94"/>
    </row>
    <row r="779">
      <c r="A779" s="94"/>
      <c r="B779" s="94"/>
      <c r="C779" s="94"/>
      <c r="D779" s="94"/>
    </row>
    <row r="780">
      <c r="A780" s="94"/>
      <c r="B780" s="94"/>
      <c r="C780" s="94"/>
      <c r="D780" s="94"/>
    </row>
    <row r="781">
      <c r="A781" s="94"/>
      <c r="B781" s="94"/>
      <c r="C781" s="94"/>
      <c r="D781" s="94"/>
    </row>
    <row r="782">
      <c r="A782" s="94"/>
      <c r="B782" s="94"/>
      <c r="C782" s="94"/>
      <c r="D782" s="94"/>
    </row>
    <row r="783">
      <c r="A783" s="94"/>
      <c r="B783" s="94"/>
      <c r="C783" s="94"/>
      <c r="D783" s="94"/>
    </row>
    <row r="784">
      <c r="A784" s="94"/>
      <c r="B784" s="94"/>
      <c r="C784" s="94"/>
      <c r="D784" s="94"/>
    </row>
    <row r="785">
      <c r="A785" s="94"/>
      <c r="B785" s="94"/>
      <c r="C785" s="94"/>
      <c r="D785" s="94"/>
    </row>
    <row r="786">
      <c r="A786" s="94"/>
      <c r="B786" s="94"/>
      <c r="C786" s="94"/>
      <c r="D786" s="94"/>
    </row>
    <row r="787">
      <c r="A787" s="94"/>
      <c r="B787" s="94"/>
      <c r="C787" s="94"/>
      <c r="D787" s="94"/>
    </row>
    <row r="788">
      <c r="A788" s="94"/>
      <c r="B788" s="94"/>
      <c r="C788" s="94"/>
      <c r="D788" s="94"/>
    </row>
    <row r="789">
      <c r="A789" s="94"/>
      <c r="B789" s="94"/>
      <c r="C789" s="94"/>
      <c r="D789" s="94"/>
    </row>
    <row r="790">
      <c r="A790" s="94"/>
      <c r="B790" s="94"/>
      <c r="C790" s="94"/>
      <c r="D790" s="94"/>
    </row>
    <row r="791">
      <c r="A791" s="94"/>
      <c r="B791" s="94"/>
      <c r="C791" s="94"/>
      <c r="D791" s="94"/>
    </row>
    <row r="792">
      <c r="A792" s="94"/>
      <c r="B792" s="94"/>
      <c r="C792" s="94"/>
      <c r="D792" s="94"/>
    </row>
    <row r="793">
      <c r="A793" s="94"/>
      <c r="B793" s="94"/>
      <c r="C793" s="94"/>
      <c r="D793" s="94"/>
    </row>
    <row r="794">
      <c r="A794" s="94"/>
      <c r="B794" s="94"/>
      <c r="C794" s="94"/>
      <c r="D794" s="94"/>
    </row>
    <row r="795">
      <c r="A795" s="94"/>
      <c r="B795" s="94"/>
      <c r="C795" s="94"/>
      <c r="D795" s="94"/>
    </row>
    <row r="796">
      <c r="A796" s="94"/>
      <c r="B796" s="94"/>
      <c r="C796" s="94"/>
      <c r="D796" s="94"/>
    </row>
    <row r="797">
      <c r="A797" s="94"/>
      <c r="B797" s="94"/>
      <c r="C797" s="94"/>
      <c r="D797" s="94"/>
    </row>
    <row r="798">
      <c r="A798" s="94"/>
      <c r="B798" s="94"/>
      <c r="C798" s="94"/>
      <c r="D798" s="94"/>
    </row>
    <row r="799">
      <c r="A799" s="94"/>
      <c r="B799" s="94"/>
      <c r="C799" s="94"/>
      <c r="D799" s="94"/>
    </row>
    <row r="800">
      <c r="A800" s="94"/>
      <c r="B800" s="94"/>
      <c r="C800" s="94"/>
      <c r="D800" s="94"/>
    </row>
    <row r="801">
      <c r="A801" s="94"/>
      <c r="B801" s="94"/>
      <c r="C801" s="94"/>
      <c r="D801" s="94"/>
    </row>
    <row r="802">
      <c r="A802" s="94"/>
      <c r="B802" s="94"/>
      <c r="C802" s="94"/>
      <c r="D802" s="94"/>
    </row>
    <row r="803">
      <c r="A803" s="94"/>
      <c r="B803" s="94"/>
      <c r="C803" s="94"/>
      <c r="D803" s="94"/>
    </row>
    <row r="804">
      <c r="A804" s="94"/>
      <c r="B804" s="94"/>
      <c r="C804" s="94"/>
      <c r="D804" s="94"/>
    </row>
    <row r="805">
      <c r="A805" s="94"/>
      <c r="B805" s="94"/>
      <c r="C805" s="94"/>
      <c r="D805" s="94"/>
    </row>
    <row r="806">
      <c r="A806" s="94"/>
      <c r="B806" s="94"/>
      <c r="C806" s="94"/>
      <c r="D806" s="94"/>
    </row>
    <row r="807">
      <c r="A807" s="94"/>
      <c r="B807" s="94"/>
      <c r="C807" s="94"/>
      <c r="D807" s="94"/>
    </row>
    <row r="808">
      <c r="A808" s="94"/>
      <c r="B808" s="94"/>
      <c r="C808" s="94"/>
      <c r="D808" s="94"/>
    </row>
    <row r="809">
      <c r="A809" s="94"/>
      <c r="B809" s="94"/>
      <c r="C809" s="94"/>
      <c r="D809" s="94"/>
    </row>
    <row r="810">
      <c r="A810" s="94"/>
      <c r="B810" s="94"/>
      <c r="C810" s="94"/>
      <c r="D810" s="94"/>
    </row>
    <row r="811">
      <c r="A811" s="94"/>
      <c r="B811" s="94"/>
      <c r="C811" s="94"/>
      <c r="D811" s="94"/>
    </row>
    <row r="812">
      <c r="A812" s="94"/>
      <c r="B812" s="94"/>
      <c r="C812" s="94"/>
      <c r="D812" s="94"/>
    </row>
    <row r="813">
      <c r="A813" s="94"/>
      <c r="B813" s="94"/>
      <c r="C813" s="94"/>
      <c r="D813" s="94"/>
    </row>
    <row r="814">
      <c r="A814" s="94"/>
      <c r="B814" s="94"/>
      <c r="C814" s="94"/>
      <c r="D814" s="94"/>
    </row>
    <row r="815">
      <c r="A815" s="94"/>
      <c r="B815" s="94"/>
      <c r="C815" s="94"/>
      <c r="D815" s="94"/>
    </row>
    <row r="816">
      <c r="A816" s="94"/>
      <c r="B816" s="94"/>
      <c r="C816" s="94"/>
      <c r="D816" s="94"/>
    </row>
    <row r="817">
      <c r="A817" s="94"/>
      <c r="B817" s="94"/>
      <c r="C817" s="94"/>
      <c r="D817" s="94"/>
    </row>
    <row r="818">
      <c r="A818" s="94"/>
      <c r="B818" s="94"/>
      <c r="C818" s="94"/>
      <c r="D818" s="94"/>
    </row>
    <row r="819">
      <c r="A819" s="94"/>
      <c r="B819" s="94"/>
      <c r="C819" s="94"/>
      <c r="D819" s="94"/>
    </row>
    <row r="820">
      <c r="A820" s="94"/>
      <c r="B820" s="94"/>
      <c r="C820" s="94"/>
      <c r="D820" s="94"/>
    </row>
    <row r="821">
      <c r="A821" s="94"/>
      <c r="B821" s="94"/>
      <c r="C821" s="94"/>
      <c r="D821" s="94"/>
    </row>
    <row r="822">
      <c r="A822" s="94"/>
      <c r="B822" s="94"/>
      <c r="C822" s="94"/>
      <c r="D822" s="94"/>
    </row>
    <row r="823">
      <c r="A823" s="94"/>
      <c r="B823" s="94"/>
      <c r="C823" s="94"/>
      <c r="D823" s="94"/>
    </row>
    <row r="824">
      <c r="A824" s="94"/>
      <c r="B824" s="94"/>
      <c r="C824" s="94"/>
      <c r="D824" s="94"/>
    </row>
    <row r="825">
      <c r="A825" s="94"/>
      <c r="B825" s="94"/>
      <c r="C825" s="94"/>
      <c r="D825" s="94"/>
    </row>
    <row r="826">
      <c r="A826" s="94"/>
      <c r="B826" s="94"/>
      <c r="C826" s="94"/>
      <c r="D826" s="94"/>
    </row>
    <row r="827">
      <c r="A827" s="94"/>
      <c r="B827" s="94"/>
      <c r="C827" s="94"/>
      <c r="D827" s="94"/>
    </row>
    <row r="828">
      <c r="A828" s="94"/>
      <c r="B828" s="94"/>
      <c r="C828" s="94"/>
      <c r="D828" s="94"/>
    </row>
    <row r="829">
      <c r="A829" s="94"/>
      <c r="B829" s="94"/>
      <c r="C829" s="94"/>
      <c r="D829" s="94"/>
    </row>
    <row r="830">
      <c r="A830" s="94"/>
      <c r="B830" s="94"/>
      <c r="C830" s="94"/>
      <c r="D830" s="94"/>
    </row>
    <row r="831">
      <c r="A831" s="94"/>
      <c r="B831" s="94"/>
      <c r="C831" s="94"/>
      <c r="D831" s="94"/>
    </row>
    <row r="832">
      <c r="A832" s="94"/>
      <c r="B832" s="94"/>
      <c r="C832" s="94"/>
      <c r="D832" s="94"/>
    </row>
    <row r="833">
      <c r="A833" s="94"/>
      <c r="B833" s="94"/>
      <c r="C833" s="94"/>
      <c r="D833" s="94"/>
    </row>
    <row r="834">
      <c r="A834" s="94"/>
      <c r="B834" s="94"/>
      <c r="C834" s="94"/>
      <c r="D834" s="94"/>
    </row>
    <row r="835">
      <c r="A835" s="94"/>
      <c r="B835" s="94"/>
      <c r="C835" s="94"/>
      <c r="D835" s="94"/>
    </row>
    <row r="836">
      <c r="A836" s="94"/>
      <c r="B836" s="94"/>
      <c r="C836" s="94"/>
      <c r="D836" s="94"/>
    </row>
    <row r="837">
      <c r="A837" s="94"/>
      <c r="B837" s="94"/>
      <c r="C837" s="94"/>
      <c r="D837" s="94"/>
    </row>
    <row r="838">
      <c r="A838" s="94"/>
      <c r="B838" s="94"/>
      <c r="C838" s="94"/>
      <c r="D838" s="94"/>
    </row>
    <row r="839">
      <c r="A839" s="94"/>
      <c r="B839" s="94"/>
      <c r="C839" s="94"/>
      <c r="D839" s="94"/>
    </row>
    <row r="840">
      <c r="A840" s="94"/>
      <c r="B840" s="94"/>
      <c r="C840" s="94"/>
      <c r="D840" s="94"/>
    </row>
    <row r="841">
      <c r="A841" s="94"/>
      <c r="B841" s="94"/>
      <c r="C841" s="94"/>
      <c r="D841" s="94"/>
    </row>
    <row r="842">
      <c r="A842" s="94"/>
      <c r="B842" s="94"/>
      <c r="C842" s="94"/>
      <c r="D842" s="94"/>
    </row>
    <row r="843">
      <c r="A843" s="94"/>
      <c r="B843" s="94"/>
      <c r="C843" s="94"/>
      <c r="D843" s="94"/>
    </row>
    <row r="844">
      <c r="A844" s="94"/>
      <c r="B844" s="94"/>
      <c r="C844" s="94"/>
      <c r="D844" s="94"/>
    </row>
    <row r="845">
      <c r="A845" s="94"/>
      <c r="B845" s="94"/>
      <c r="C845" s="94"/>
      <c r="D845" s="94"/>
    </row>
    <row r="846">
      <c r="A846" s="94"/>
      <c r="B846" s="94"/>
      <c r="C846" s="94"/>
      <c r="D846" s="94"/>
    </row>
    <row r="847">
      <c r="A847" s="94"/>
      <c r="B847" s="94"/>
      <c r="C847" s="94"/>
      <c r="D847" s="94"/>
    </row>
    <row r="848">
      <c r="A848" s="94"/>
      <c r="B848" s="94"/>
      <c r="C848" s="94"/>
      <c r="D848" s="94"/>
    </row>
    <row r="849">
      <c r="A849" s="94"/>
      <c r="B849" s="94"/>
      <c r="C849" s="94"/>
      <c r="D849" s="94"/>
    </row>
    <row r="850">
      <c r="A850" s="94"/>
      <c r="B850" s="94"/>
      <c r="C850" s="94"/>
      <c r="D850" s="94"/>
    </row>
    <row r="851">
      <c r="A851" s="94"/>
      <c r="B851" s="94"/>
      <c r="C851" s="94"/>
      <c r="D851" s="94"/>
    </row>
    <row r="852">
      <c r="A852" s="94"/>
      <c r="B852" s="94"/>
      <c r="C852" s="94"/>
      <c r="D852" s="94"/>
    </row>
    <row r="853">
      <c r="A853" s="94"/>
      <c r="B853" s="94"/>
      <c r="C853" s="94"/>
      <c r="D853" s="94"/>
    </row>
    <row r="854">
      <c r="A854" s="94"/>
      <c r="B854" s="94"/>
      <c r="C854" s="94"/>
      <c r="D854" s="94"/>
    </row>
    <row r="855">
      <c r="A855" s="94"/>
      <c r="B855" s="94"/>
      <c r="C855" s="94"/>
      <c r="D855" s="94"/>
    </row>
    <row r="856">
      <c r="A856" s="94"/>
      <c r="B856" s="94"/>
      <c r="C856" s="94"/>
      <c r="D856" s="94"/>
    </row>
    <row r="857">
      <c r="A857" s="94"/>
      <c r="B857" s="94"/>
      <c r="C857" s="94"/>
      <c r="D857" s="94"/>
    </row>
    <row r="858">
      <c r="A858" s="94"/>
      <c r="B858" s="94"/>
      <c r="C858" s="94"/>
      <c r="D858" s="94"/>
    </row>
    <row r="859">
      <c r="A859" s="94"/>
      <c r="B859" s="94"/>
      <c r="C859" s="94"/>
      <c r="D859" s="94"/>
    </row>
    <row r="860">
      <c r="A860" s="94"/>
      <c r="B860" s="94"/>
      <c r="C860" s="94"/>
      <c r="D860" s="94"/>
    </row>
    <row r="861">
      <c r="A861" s="94"/>
      <c r="B861" s="94"/>
      <c r="C861" s="94"/>
      <c r="D861" s="94"/>
    </row>
    <row r="862">
      <c r="A862" s="94"/>
      <c r="B862" s="94"/>
      <c r="C862" s="94"/>
      <c r="D862" s="94"/>
    </row>
    <row r="863">
      <c r="A863" s="94"/>
      <c r="B863" s="94"/>
      <c r="C863" s="94"/>
      <c r="D863" s="94"/>
    </row>
    <row r="864">
      <c r="A864" s="94"/>
      <c r="B864" s="94"/>
      <c r="C864" s="94"/>
      <c r="D864" s="94"/>
    </row>
    <row r="865">
      <c r="A865" s="94"/>
      <c r="B865" s="94"/>
      <c r="C865" s="94"/>
      <c r="D865" s="94"/>
    </row>
    <row r="866">
      <c r="A866" s="94"/>
      <c r="B866" s="94"/>
      <c r="C866" s="94"/>
      <c r="D866" s="94"/>
    </row>
    <row r="867">
      <c r="A867" s="94"/>
      <c r="B867" s="94"/>
      <c r="C867" s="94"/>
      <c r="D867" s="94"/>
    </row>
    <row r="868">
      <c r="A868" s="94"/>
      <c r="B868" s="94"/>
      <c r="C868" s="94"/>
      <c r="D868" s="94"/>
    </row>
    <row r="869">
      <c r="A869" s="94"/>
      <c r="B869" s="94"/>
      <c r="C869" s="94"/>
      <c r="D869" s="94"/>
    </row>
    <row r="870">
      <c r="A870" s="94"/>
      <c r="B870" s="94"/>
      <c r="C870" s="94"/>
      <c r="D870" s="94"/>
    </row>
    <row r="871">
      <c r="A871" s="94"/>
      <c r="B871" s="94"/>
      <c r="C871" s="94"/>
      <c r="D871" s="94"/>
    </row>
    <row r="872">
      <c r="A872" s="94"/>
      <c r="B872" s="94"/>
      <c r="C872" s="94"/>
      <c r="D872" s="94"/>
    </row>
    <row r="873">
      <c r="A873" s="94"/>
      <c r="B873" s="94"/>
      <c r="C873" s="94"/>
      <c r="D873" s="94"/>
    </row>
    <row r="874">
      <c r="A874" s="94"/>
      <c r="B874" s="94"/>
      <c r="C874" s="94"/>
      <c r="D874" s="94"/>
    </row>
    <row r="875">
      <c r="A875" s="94"/>
      <c r="B875" s="94"/>
      <c r="C875" s="94"/>
      <c r="D875" s="94"/>
    </row>
    <row r="876">
      <c r="A876" s="94"/>
      <c r="B876" s="94"/>
      <c r="C876" s="94"/>
      <c r="D876" s="94"/>
    </row>
    <row r="877">
      <c r="A877" s="94"/>
      <c r="B877" s="94"/>
      <c r="C877" s="94"/>
      <c r="D877" s="94"/>
    </row>
    <row r="878">
      <c r="A878" s="94"/>
      <c r="B878" s="94"/>
      <c r="C878" s="94"/>
      <c r="D878" s="94"/>
    </row>
    <row r="879">
      <c r="A879" s="94"/>
      <c r="B879" s="94"/>
      <c r="C879" s="94"/>
      <c r="D879" s="94"/>
    </row>
    <row r="880">
      <c r="A880" s="94"/>
      <c r="B880" s="94"/>
      <c r="C880" s="94"/>
      <c r="D880" s="94"/>
    </row>
    <row r="881">
      <c r="A881" s="94"/>
      <c r="B881" s="94"/>
      <c r="C881" s="94"/>
      <c r="D881" s="94"/>
    </row>
    <row r="882">
      <c r="A882" s="94"/>
      <c r="B882" s="94"/>
      <c r="C882" s="94"/>
      <c r="D882" s="94"/>
    </row>
    <row r="883">
      <c r="A883" s="94"/>
      <c r="B883" s="94"/>
      <c r="C883" s="94"/>
      <c r="D883" s="94"/>
    </row>
    <row r="884">
      <c r="A884" s="94"/>
      <c r="B884" s="94"/>
      <c r="C884" s="94"/>
      <c r="D884" s="94"/>
    </row>
    <row r="885">
      <c r="A885" s="94"/>
      <c r="B885" s="94"/>
      <c r="C885" s="94"/>
      <c r="D885" s="94"/>
    </row>
    <row r="886">
      <c r="A886" s="94"/>
      <c r="B886" s="94"/>
      <c r="C886" s="94"/>
      <c r="D886" s="94"/>
    </row>
    <row r="887">
      <c r="A887" s="94"/>
      <c r="B887" s="94"/>
      <c r="C887" s="94"/>
      <c r="D887" s="94"/>
    </row>
    <row r="888">
      <c r="A888" s="94"/>
      <c r="B888" s="94"/>
      <c r="C888" s="94"/>
      <c r="D888" s="94"/>
    </row>
    <row r="889">
      <c r="A889" s="94"/>
      <c r="B889" s="94"/>
      <c r="C889" s="94"/>
      <c r="D889" s="94"/>
    </row>
    <row r="890">
      <c r="A890" s="94"/>
      <c r="B890" s="94"/>
      <c r="C890" s="94"/>
      <c r="D890" s="94"/>
    </row>
    <row r="891">
      <c r="A891" s="94"/>
      <c r="B891" s="94"/>
      <c r="C891" s="94"/>
      <c r="D891" s="94"/>
    </row>
    <row r="892">
      <c r="A892" s="94"/>
      <c r="B892" s="94"/>
      <c r="C892" s="94"/>
      <c r="D892" s="94"/>
    </row>
    <row r="893">
      <c r="A893" s="94"/>
      <c r="B893" s="94"/>
      <c r="C893" s="94"/>
      <c r="D893" s="94"/>
    </row>
    <row r="894">
      <c r="A894" s="94"/>
      <c r="B894" s="94"/>
      <c r="C894" s="94"/>
      <c r="D894" s="94"/>
    </row>
    <row r="895">
      <c r="A895" s="94"/>
      <c r="B895" s="94"/>
      <c r="C895" s="94"/>
      <c r="D895" s="94"/>
    </row>
    <row r="896">
      <c r="A896" s="94"/>
      <c r="B896" s="94"/>
      <c r="C896" s="94"/>
      <c r="D896" s="94"/>
    </row>
    <row r="897">
      <c r="A897" s="94"/>
      <c r="B897" s="94"/>
      <c r="C897" s="94"/>
      <c r="D897" s="94"/>
    </row>
    <row r="898">
      <c r="A898" s="94"/>
      <c r="B898" s="94"/>
      <c r="C898" s="94"/>
      <c r="D898" s="94"/>
    </row>
    <row r="899">
      <c r="A899" s="94"/>
      <c r="B899" s="94"/>
      <c r="C899" s="94"/>
      <c r="D899" s="94"/>
    </row>
    <row r="900">
      <c r="A900" s="94"/>
      <c r="B900" s="94"/>
      <c r="C900" s="94"/>
      <c r="D900" s="94"/>
    </row>
    <row r="901">
      <c r="A901" s="94"/>
      <c r="B901" s="94"/>
      <c r="C901" s="94"/>
      <c r="D901" s="94"/>
    </row>
    <row r="902">
      <c r="A902" s="94"/>
      <c r="B902" s="94"/>
      <c r="C902" s="94"/>
      <c r="D902" s="94"/>
    </row>
    <row r="903">
      <c r="A903" s="94"/>
      <c r="B903" s="94"/>
      <c r="C903" s="94"/>
      <c r="D903" s="94"/>
    </row>
    <row r="904">
      <c r="A904" s="94"/>
      <c r="B904" s="94"/>
      <c r="C904" s="94"/>
      <c r="D904" s="94"/>
    </row>
    <row r="905">
      <c r="A905" s="94"/>
      <c r="B905" s="94"/>
      <c r="C905" s="94"/>
      <c r="D905" s="94"/>
    </row>
    <row r="906">
      <c r="A906" s="94"/>
      <c r="B906" s="94"/>
      <c r="C906" s="94"/>
      <c r="D906" s="94"/>
    </row>
    <row r="907">
      <c r="A907" s="94"/>
      <c r="B907" s="94"/>
      <c r="C907" s="94"/>
      <c r="D907" s="94"/>
    </row>
    <row r="908">
      <c r="A908" s="94"/>
      <c r="B908" s="94"/>
      <c r="C908" s="94"/>
      <c r="D908" s="94"/>
    </row>
    <row r="909">
      <c r="A909" s="94"/>
      <c r="B909" s="94"/>
      <c r="C909" s="94"/>
      <c r="D909" s="94"/>
    </row>
    <row r="910">
      <c r="A910" s="94"/>
      <c r="B910" s="94"/>
      <c r="C910" s="94"/>
      <c r="D910" s="94"/>
    </row>
    <row r="911">
      <c r="A911" s="94"/>
      <c r="B911" s="94"/>
      <c r="C911" s="94"/>
      <c r="D911" s="94"/>
    </row>
    <row r="912">
      <c r="A912" s="94"/>
      <c r="B912" s="94"/>
      <c r="C912" s="94"/>
      <c r="D912" s="94"/>
    </row>
    <row r="913">
      <c r="A913" s="94"/>
      <c r="B913" s="94"/>
      <c r="C913" s="94"/>
      <c r="D913" s="94"/>
    </row>
    <row r="914">
      <c r="A914" s="94"/>
      <c r="B914" s="94"/>
      <c r="C914" s="94"/>
      <c r="D914" s="94"/>
    </row>
    <row r="915">
      <c r="A915" s="94"/>
      <c r="B915" s="94"/>
      <c r="C915" s="94"/>
      <c r="D915" s="94"/>
    </row>
    <row r="916">
      <c r="A916" s="94"/>
      <c r="B916" s="94"/>
      <c r="C916" s="94"/>
      <c r="D916" s="94"/>
    </row>
    <row r="917">
      <c r="A917" s="94"/>
      <c r="B917" s="94"/>
      <c r="C917" s="94"/>
      <c r="D917" s="94"/>
    </row>
    <row r="918">
      <c r="A918" s="94"/>
      <c r="B918" s="94"/>
      <c r="C918" s="94"/>
      <c r="D918" s="94"/>
    </row>
    <row r="919">
      <c r="A919" s="94"/>
      <c r="B919" s="94"/>
      <c r="C919" s="94"/>
      <c r="D919" s="94"/>
    </row>
    <row r="920">
      <c r="A920" s="94"/>
      <c r="B920" s="94"/>
      <c r="C920" s="94"/>
      <c r="D920" s="94"/>
    </row>
    <row r="921">
      <c r="A921" s="94"/>
      <c r="B921" s="94"/>
      <c r="C921" s="94"/>
      <c r="D921" s="94"/>
    </row>
    <row r="922">
      <c r="A922" s="94"/>
      <c r="B922" s="94"/>
      <c r="C922" s="94"/>
      <c r="D922" s="94"/>
    </row>
    <row r="923">
      <c r="A923" s="94"/>
      <c r="B923" s="94"/>
      <c r="C923" s="94"/>
      <c r="D923" s="94"/>
    </row>
    <row r="924">
      <c r="A924" s="94"/>
      <c r="B924" s="94"/>
      <c r="C924" s="94"/>
      <c r="D924" s="94"/>
    </row>
    <row r="925">
      <c r="A925" s="94"/>
      <c r="B925" s="94"/>
      <c r="C925" s="94"/>
      <c r="D925" s="94"/>
    </row>
    <row r="926">
      <c r="A926" s="94"/>
      <c r="B926" s="94"/>
      <c r="C926" s="94"/>
      <c r="D926" s="94"/>
    </row>
    <row r="927">
      <c r="A927" s="94"/>
      <c r="B927" s="94"/>
      <c r="C927" s="94"/>
      <c r="D927" s="94"/>
    </row>
    <row r="928">
      <c r="A928" s="94"/>
      <c r="B928" s="94"/>
      <c r="C928" s="94"/>
      <c r="D928" s="94"/>
    </row>
    <row r="929">
      <c r="A929" s="94"/>
      <c r="B929" s="94"/>
      <c r="C929" s="94"/>
      <c r="D929" s="94"/>
    </row>
    <row r="930">
      <c r="A930" s="94"/>
      <c r="B930" s="94"/>
      <c r="C930" s="94"/>
      <c r="D930" s="94"/>
    </row>
    <row r="931">
      <c r="A931" s="94"/>
      <c r="B931" s="94"/>
      <c r="C931" s="94"/>
      <c r="D931" s="94"/>
    </row>
    <row r="932">
      <c r="A932" s="94"/>
      <c r="B932" s="94"/>
      <c r="C932" s="94"/>
      <c r="D932" s="94"/>
    </row>
    <row r="933">
      <c r="A933" s="94"/>
      <c r="B933" s="94"/>
      <c r="C933" s="94"/>
      <c r="D933" s="94"/>
    </row>
    <row r="934">
      <c r="A934" s="94"/>
      <c r="B934" s="94"/>
      <c r="C934" s="94"/>
      <c r="D934" s="94"/>
    </row>
    <row r="935">
      <c r="A935" s="94"/>
      <c r="B935" s="94"/>
      <c r="C935" s="94"/>
      <c r="D935" s="94"/>
    </row>
    <row r="936">
      <c r="A936" s="94"/>
      <c r="B936" s="94"/>
      <c r="C936" s="94"/>
      <c r="D936" s="94"/>
    </row>
    <row r="937">
      <c r="A937" s="94"/>
      <c r="B937" s="94"/>
      <c r="C937" s="94"/>
      <c r="D937" s="94"/>
    </row>
    <row r="938">
      <c r="A938" s="94"/>
      <c r="B938" s="94"/>
      <c r="C938" s="94"/>
      <c r="D938" s="94"/>
    </row>
    <row r="939">
      <c r="A939" s="94"/>
      <c r="B939" s="94"/>
      <c r="C939" s="94"/>
      <c r="D939" s="94"/>
    </row>
    <row r="940">
      <c r="A940" s="94"/>
      <c r="B940" s="94"/>
      <c r="C940" s="94"/>
      <c r="D940" s="94"/>
    </row>
    <row r="941">
      <c r="A941" s="94"/>
      <c r="B941" s="94"/>
      <c r="C941" s="94"/>
      <c r="D941" s="94"/>
    </row>
    <row r="942">
      <c r="A942" s="94"/>
      <c r="B942" s="94"/>
      <c r="C942" s="94"/>
      <c r="D942" s="94"/>
    </row>
    <row r="943">
      <c r="A943" s="94"/>
      <c r="B943" s="94"/>
      <c r="C943" s="94"/>
      <c r="D943" s="94"/>
    </row>
    <row r="944">
      <c r="A944" s="94"/>
      <c r="B944" s="94"/>
      <c r="C944" s="94"/>
      <c r="D944" s="94"/>
    </row>
    <row r="945">
      <c r="A945" s="94"/>
      <c r="B945" s="94"/>
      <c r="C945" s="94"/>
      <c r="D945" s="94"/>
    </row>
    <row r="946">
      <c r="A946" s="94"/>
      <c r="B946" s="94"/>
      <c r="C946" s="94"/>
      <c r="D946" s="94"/>
    </row>
    <row r="947">
      <c r="A947" s="94"/>
      <c r="B947" s="94"/>
      <c r="C947" s="94"/>
      <c r="D947" s="94"/>
    </row>
    <row r="948">
      <c r="A948" s="94"/>
      <c r="B948" s="94"/>
      <c r="C948" s="94"/>
      <c r="D948" s="94"/>
    </row>
    <row r="949">
      <c r="A949" s="94"/>
      <c r="B949" s="94"/>
      <c r="C949" s="94"/>
      <c r="D949" s="94"/>
    </row>
    <row r="950">
      <c r="A950" s="94"/>
      <c r="B950" s="94"/>
      <c r="C950" s="94"/>
      <c r="D950" s="94"/>
    </row>
    <row r="951">
      <c r="A951" s="94"/>
      <c r="B951" s="94"/>
      <c r="C951" s="94"/>
      <c r="D951" s="94"/>
    </row>
    <row r="952">
      <c r="A952" s="94"/>
      <c r="B952" s="94"/>
      <c r="C952" s="94"/>
      <c r="D952" s="94"/>
    </row>
    <row r="953">
      <c r="A953" s="94"/>
      <c r="B953" s="94"/>
      <c r="C953" s="94"/>
      <c r="D953" s="94"/>
    </row>
    <row r="954">
      <c r="A954" s="94"/>
      <c r="B954" s="94"/>
      <c r="C954" s="94"/>
      <c r="D954" s="94"/>
    </row>
    <row r="955">
      <c r="A955" s="94"/>
      <c r="B955" s="94"/>
      <c r="C955" s="94"/>
      <c r="D955" s="94"/>
    </row>
    <row r="956">
      <c r="A956" s="94"/>
      <c r="B956" s="94"/>
      <c r="C956" s="94"/>
      <c r="D956" s="94"/>
    </row>
    <row r="957">
      <c r="A957" s="94"/>
      <c r="B957" s="94"/>
      <c r="C957" s="94"/>
      <c r="D957" s="94"/>
    </row>
    <row r="958">
      <c r="A958" s="94"/>
      <c r="B958" s="94"/>
      <c r="C958" s="94"/>
      <c r="D958" s="94"/>
    </row>
    <row r="959">
      <c r="A959" s="94"/>
      <c r="B959" s="94"/>
      <c r="C959" s="94"/>
      <c r="D959" s="94"/>
    </row>
    <row r="960">
      <c r="A960" s="94"/>
      <c r="B960" s="94"/>
      <c r="C960" s="94"/>
      <c r="D960" s="94"/>
    </row>
    <row r="961">
      <c r="A961" s="94"/>
      <c r="B961" s="94"/>
      <c r="C961" s="94"/>
      <c r="D961" s="94"/>
    </row>
    <row r="962">
      <c r="A962" s="94"/>
      <c r="B962" s="94"/>
      <c r="C962" s="94"/>
      <c r="D962" s="94"/>
    </row>
    <row r="963">
      <c r="A963" s="94"/>
      <c r="B963" s="94"/>
      <c r="C963" s="94"/>
      <c r="D963" s="94"/>
    </row>
    <row r="964">
      <c r="A964" s="94"/>
      <c r="B964" s="94"/>
      <c r="C964" s="94"/>
      <c r="D964" s="94"/>
    </row>
    <row r="965">
      <c r="A965" s="94"/>
      <c r="B965" s="94"/>
      <c r="C965" s="94"/>
      <c r="D965" s="94"/>
    </row>
    <row r="966">
      <c r="A966" s="94"/>
      <c r="B966" s="94"/>
      <c r="C966" s="94"/>
      <c r="D966" s="94"/>
    </row>
    <row r="967">
      <c r="A967" s="94"/>
      <c r="B967" s="94"/>
      <c r="C967" s="94"/>
      <c r="D967" s="94"/>
    </row>
    <row r="968">
      <c r="A968" s="94"/>
      <c r="B968" s="94"/>
      <c r="C968" s="94"/>
      <c r="D968" s="94"/>
    </row>
    <row r="969">
      <c r="A969" s="94"/>
      <c r="B969" s="94"/>
      <c r="C969" s="94"/>
      <c r="D969" s="94"/>
    </row>
    <row r="970">
      <c r="A970" s="94"/>
      <c r="B970" s="94"/>
      <c r="C970" s="94"/>
      <c r="D970" s="94"/>
    </row>
    <row r="971">
      <c r="A971" s="94"/>
      <c r="B971" s="94"/>
      <c r="C971" s="94"/>
      <c r="D971" s="94"/>
    </row>
    <row r="972">
      <c r="A972" s="94"/>
      <c r="B972" s="94"/>
      <c r="C972" s="94"/>
      <c r="D972" s="94"/>
    </row>
    <row r="973">
      <c r="A973" s="94"/>
      <c r="B973" s="94"/>
      <c r="C973" s="94"/>
      <c r="D973" s="94"/>
    </row>
    <row r="974">
      <c r="A974" s="94"/>
      <c r="B974" s="94"/>
      <c r="C974" s="94"/>
      <c r="D974" s="94"/>
    </row>
    <row r="975">
      <c r="A975" s="94"/>
      <c r="B975" s="94"/>
      <c r="C975" s="94"/>
      <c r="D975" s="94"/>
    </row>
    <row r="976">
      <c r="A976" s="94"/>
      <c r="B976" s="94"/>
      <c r="C976" s="94"/>
      <c r="D976" s="94"/>
    </row>
    <row r="977">
      <c r="A977" s="94"/>
      <c r="B977" s="94"/>
      <c r="C977" s="94"/>
      <c r="D977" s="94"/>
    </row>
    <row r="978">
      <c r="A978" s="94"/>
      <c r="B978" s="94"/>
      <c r="C978" s="94"/>
      <c r="D978" s="94"/>
    </row>
    <row r="979">
      <c r="A979" s="94"/>
      <c r="B979" s="94"/>
      <c r="C979" s="94"/>
      <c r="D979" s="94"/>
    </row>
    <row r="980">
      <c r="A980" s="94"/>
      <c r="B980" s="94"/>
      <c r="C980" s="94"/>
      <c r="D980" s="94"/>
    </row>
    <row r="981">
      <c r="A981" s="94"/>
      <c r="B981" s="94"/>
      <c r="C981" s="94"/>
      <c r="D981" s="94"/>
    </row>
    <row r="982">
      <c r="A982" s="94"/>
      <c r="B982" s="94"/>
      <c r="C982" s="94"/>
      <c r="D982" s="94"/>
    </row>
    <row r="983">
      <c r="A983" s="94"/>
      <c r="B983" s="94"/>
      <c r="C983" s="94"/>
      <c r="D983" s="94"/>
    </row>
    <row r="984">
      <c r="A984" s="94"/>
      <c r="B984" s="94"/>
      <c r="C984" s="94"/>
      <c r="D984" s="94"/>
    </row>
    <row r="985">
      <c r="A985" s="94"/>
      <c r="B985" s="94"/>
      <c r="C985" s="94"/>
      <c r="D985" s="94"/>
    </row>
    <row r="986">
      <c r="A986" s="94"/>
      <c r="B986" s="94"/>
      <c r="C986" s="94"/>
      <c r="D986" s="94"/>
    </row>
    <row r="987">
      <c r="A987" s="94"/>
      <c r="B987" s="94"/>
      <c r="C987" s="94"/>
      <c r="D987" s="94"/>
    </row>
    <row r="988">
      <c r="A988" s="94"/>
      <c r="B988" s="94"/>
      <c r="C988" s="94"/>
      <c r="D988" s="94"/>
    </row>
    <row r="989">
      <c r="A989" s="94"/>
      <c r="B989" s="94"/>
      <c r="C989" s="94"/>
      <c r="D989" s="94"/>
    </row>
    <row r="990">
      <c r="A990" s="94"/>
      <c r="B990" s="94"/>
      <c r="C990" s="94"/>
      <c r="D990" s="94"/>
    </row>
    <row r="991">
      <c r="A991" s="94"/>
      <c r="B991" s="94"/>
      <c r="C991" s="94"/>
      <c r="D991" s="94"/>
    </row>
    <row r="992">
      <c r="A992" s="94"/>
      <c r="B992" s="94"/>
      <c r="C992" s="94"/>
      <c r="D992" s="94"/>
    </row>
    <row r="993">
      <c r="A993" s="94"/>
      <c r="B993" s="94"/>
      <c r="C993" s="94"/>
      <c r="D993" s="94"/>
    </row>
    <row r="994">
      <c r="A994" s="94"/>
      <c r="B994" s="94"/>
      <c r="C994" s="94"/>
      <c r="D994" s="94"/>
    </row>
  </sheetData>
  <mergeCells count="2">
    <mergeCell ref="A1:C7"/>
    <mergeCell ref="A44:A73"/>
  </mergeCells>
  <dataValidations>
    <dataValidation type="list" allowBlank="1" showErrorMessage="1" sqref="O44:P71 S44:S71 U44:U71 X44:Z71">
      <formula1>"Yes,NO"</formula1>
    </dataValidation>
    <dataValidation type="list" allowBlank="1" showErrorMessage="1" sqref="W44:W71">
      <formula1>"Bahut,Kuch Had Tak,Nahi"</formula1>
    </dataValidation>
    <dataValidation type="list" allowBlank="1" showErrorMessage="1" sqref="E44:E71">
      <formula1>"Male,Female"</formula1>
    </dataValidation>
    <dataValidation type="list" allowBlank="1" showErrorMessage="1" sqref="D9:D38 N44:N71">
      <formula1>"Connected,Call Back Later,Busy,Switch off,Not Received,Wrong No."</formula1>
    </dataValidation>
    <dataValidation type="list" allowBlank="1" showErrorMessage="1" sqref="E9:E38">
      <formula1>"CONFIRMED,NOT CONFIRMED"</formula1>
    </dataValidation>
    <dataValidation type="list" allowBlank="1" showErrorMessage="1" sqref="AA44:AA71">
      <formula1>"Verified,Not Verified"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68" t="s">
        <v>1850</v>
      </c>
      <c r="D1" s="3"/>
      <c r="E1" s="3"/>
      <c r="F1" s="3"/>
    </row>
    <row r="2">
      <c r="D2" s="3"/>
      <c r="E2" s="3"/>
      <c r="F2" s="3"/>
    </row>
    <row r="3">
      <c r="D3" s="3"/>
      <c r="E3" s="3"/>
      <c r="F3" s="3"/>
    </row>
    <row r="4" ht="18.75" customHeight="1">
      <c r="D4" s="3"/>
      <c r="E4" s="3"/>
      <c r="F4" s="3"/>
    </row>
    <row r="5" ht="25.5" customHeight="1">
      <c r="D5" s="3"/>
      <c r="E5" s="3"/>
      <c r="F5" s="3"/>
    </row>
    <row r="6">
      <c r="A6" s="72" t="s">
        <v>5</v>
      </c>
      <c r="B6" s="72" t="s">
        <v>6</v>
      </c>
      <c r="C6" s="72" t="s">
        <v>7</v>
      </c>
      <c r="D6" s="73" t="s">
        <v>1847</v>
      </c>
      <c r="E6" s="74" t="s">
        <v>2</v>
      </c>
      <c r="F6" s="91" t="s">
        <v>3</v>
      </c>
      <c r="G6" s="92"/>
      <c r="H6" s="92"/>
    </row>
    <row r="7">
      <c r="A7" s="54">
        <v>1.0</v>
      </c>
      <c r="B7" s="17" t="s">
        <v>929</v>
      </c>
      <c r="C7" s="17">
        <v>7.520145681E9</v>
      </c>
      <c r="D7" s="79" t="s">
        <v>9</v>
      </c>
      <c r="E7" s="80" t="s">
        <v>1623</v>
      </c>
    </row>
    <row r="8">
      <c r="A8" s="54">
        <v>2.0</v>
      </c>
      <c r="B8" s="17" t="s">
        <v>938</v>
      </c>
      <c r="C8" s="17">
        <v>9.939489345E9</v>
      </c>
      <c r="D8" s="79" t="s">
        <v>9</v>
      </c>
      <c r="E8" s="80" t="s">
        <v>1623</v>
      </c>
    </row>
    <row r="9">
      <c r="A9" s="54">
        <v>3.0</v>
      </c>
      <c r="B9" s="17" t="s">
        <v>942</v>
      </c>
      <c r="C9" s="17" t="s">
        <v>943</v>
      </c>
      <c r="D9" s="79" t="s">
        <v>9</v>
      </c>
      <c r="E9" s="80" t="s">
        <v>1623</v>
      </c>
    </row>
    <row r="10">
      <c r="A10" s="54">
        <v>4.0</v>
      </c>
      <c r="B10" s="17" t="s">
        <v>947</v>
      </c>
      <c r="C10" s="17" t="s">
        <v>948</v>
      </c>
      <c r="D10" s="79" t="s">
        <v>9</v>
      </c>
      <c r="E10" s="80" t="s">
        <v>1623</v>
      </c>
    </row>
    <row r="11">
      <c r="A11" s="54">
        <v>5.0</v>
      </c>
      <c r="B11" s="17" t="s">
        <v>949</v>
      </c>
      <c r="C11" s="17">
        <v>7.903381812E9</v>
      </c>
      <c r="D11" s="79" t="s">
        <v>9</v>
      </c>
      <c r="E11" s="80" t="s">
        <v>1623</v>
      </c>
    </row>
    <row r="12">
      <c r="A12" s="54">
        <v>6.0</v>
      </c>
      <c r="B12" s="17" t="s">
        <v>955</v>
      </c>
      <c r="C12" s="17">
        <v>9.264167757E9</v>
      </c>
      <c r="D12" s="79" t="s">
        <v>9</v>
      </c>
      <c r="E12" s="80" t="s">
        <v>1623</v>
      </c>
    </row>
    <row r="13">
      <c r="A13" s="54">
        <v>7.0</v>
      </c>
      <c r="B13" s="17" t="s">
        <v>966</v>
      </c>
      <c r="C13" s="17">
        <v>9.798147335E9</v>
      </c>
      <c r="D13" s="79" t="s">
        <v>9</v>
      </c>
      <c r="E13" s="80" t="s">
        <v>1623</v>
      </c>
    </row>
    <row r="14">
      <c r="A14" s="54">
        <v>8.0</v>
      </c>
      <c r="B14" s="17" t="s">
        <v>721</v>
      </c>
      <c r="C14" s="17">
        <v>8.873758984E9</v>
      </c>
      <c r="D14" s="79" t="s">
        <v>9</v>
      </c>
      <c r="E14" s="80" t="s">
        <v>1623</v>
      </c>
    </row>
    <row r="15">
      <c r="A15" s="54">
        <v>9.0</v>
      </c>
      <c r="B15" s="17" t="s">
        <v>973</v>
      </c>
      <c r="C15" s="17">
        <v>9.661518971E9</v>
      </c>
      <c r="D15" s="79" t="s">
        <v>9</v>
      </c>
      <c r="E15" s="80" t="s">
        <v>1623</v>
      </c>
    </row>
    <row r="16">
      <c r="A16" s="54">
        <v>10.0</v>
      </c>
      <c r="B16" s="17" t="s">
        <v>975</v>
      </c>
      <c r="C16" s="17">
        <v>8.210787306E9</v>
      </c>
      <c r="D16" s="79" t="s">
        <v>9</v>
      </c>
      <c r="E16" s="80" t="s">
        <v>1623</v>
      </c>
    </row>
    <row r="17">
      <c r="A17" s="54">
        <v>11.0</v>
      </c>
      <c r="B17" s="17" t="s">
        <v>977</v>
      </c>
      <c r="C17" s="17">
        <v>7.903915451E9</v>
      </c>
      <c r="D17" s="79" t="s">
        <v>9</v>
      </c>
      <c r="E17" s="80" t="s">
        <v>1623</v>
      </c>
    </row>
    <row r="18">
      <c r="A18" s="54">
        <v>12.0</v>
      </c>
      <c r="B18" s="17" t="s">
        <v>979</v>
      </c>
      <c r="C18" s="17">
        <v>9.939026809E9</v>
      </c>
      <c r="D18" s="79" t="s">
        <v>9</v>
      </c>
      <c r="E18" s="80" t="s">
        <v>1623</v>
      </c>
    </row>
    <row r="19">
      <c r="A19" s="54">
        <v>13.0</v>
      </c>
      <c r="B19" s="17" t="s">
        <v>981</v>
      </c>
      <c r="C19" s="17">
        <v>7.631212149E9</v>
      </c>
      <c r="D19" s="79" t="s">
        <v>9</v>
      </c>
      <c r="E19" s="80" t="s">
        <v>1623</v>
      </c>
    </row>
    <row r="20">
      <c r="A20" s="54">
        <v>14.0</v>
      </c>
      <c r="B20" s="17" t="s">
        <v>984</v>
      </c>
      <c r="C20" s="17">
        <v>7.367838076E9</v>
      </c>
      <c r="D20" s="79" t="s">
        <v>9</v>
      </c>
      <c r="E20" s="80" t="s">
        <v>1623</v>
      </c>
    </row>
    <row r="21">
      <c r="A21" s="54">
        <v>15.0</v>
      </c>
      <c r="B21" s="17" t="s">
        <v>988</v>
      </c>
      <c r="C21" s="17">
        <v>9.508652602E9</v>
      </c>
      <c r="D21" s="79" t="s">
        <v>9</v>
      </c>
      <c r="E21" s="80" t="s">
        <v>1623</v>
      </c>
    </row>
    <row r="22">
      <c r="A22" s="54">
        <v>16.0</v>
      </c>
      <c r="B22" s="17" t="s">
        <v>992</v>
      </c>
      <c r="C22" s="17">
        <v>9.113325794E9</v>
      </c>
      <c r="D22" s="79" t="s">
        <v>9</v>
      </c>
      <c r="E22" s="80" t="s">
        <v>1623</v>
      </c>
    </row>
    <row r="23">
      <c r="A23" s="54">
        <v>17.0</v>
      </c>
      <c r="B23" s="17" t="s">
        <v>995</v>
      </c>
      <c r="C23" s="17">
        <v>8.292199733E9</v>
      </c>
      <c r="D23" s="79" t="s">
        <v>9</v>
      </c>
      <c r="E23" s="80" t="s">
        <v>1623</v>
      </c>
    </row>
    <row r="24">
      <c r="A24" s="54">
        <v>18.0</v>
      </c>
      <c r="B24" s="17" t="s">
        <v>999</v>
      </c>
      <c r="C24" s="17">
        <v>9.30491355E9</v>
      </c>
      <c r="D24" s="79" t="s">
        <v>9</v>
      </c>
      <c r="E24" s="80" t="s">
        <v>1623</v>
      </c>
    </row>
    <row r="25">
      <c r="A25" s="54">
        <v>19.0</v>
      </c>
      <c r="B25" s="17" t="s">
        <v>1006</v>
      </c>
      <c r="C25" s="17">
        <v>6.377194795E9</v>
      </c>
      <c r="D25" s="79" t="s">
        <v>9</v>
      </c>
      <c r="E25" s="80" t="s">
        <v>1623</v>
      </c>
    </row>
    <row r="26">
      <c r="A26" s="54">
        <v>20.0</v>
      </c>
      <c r="B26" s="17" t="s">
        <v>1010</v>
      </c>
      <c r="C26" s="17">
        <v>8.97241464E9</v>
      </c>
      <c r="D26" s="79" t="s">
        <v>9</v>
      </c>
      <c r="E26" s="80" t="s">
        <v>1623</v>
      </c>
    </row>
    <row r="27">
      <c r="A27" s="54">
        <v>21.0</v>
      </c>
      <c r="B27" s="17" t="s">
        <v>1016</v>
      </c>
      <c r="C27" s="17">
        <v>9.162258006E9</v>
      </c>
      <c r="D27" s="79" t="s">
        <v>9</v>
      </c>
      <c r="E27" s="80" t="s">
        <v>1623</v>
      </c>
    </row>
    <row r="28">
      <c r="A28" s="54">
        <v>22.0</v>
      </c>
      <c r="B28" s="17" t="s">
        <v>1019</v>
      </c>
      <c r="C28" s="17">
        <v>8.102597758E9</v>
      </c>
      <c r="D28" s="79" t="s">
        <v>9</v>
      </c>
      <c r="E28" s="80" t="s">
        <v>1623</v>
      </c>
    </row>
    <row r="29">
      <c r="A29" s="54">
        <v>23.0</v>
      </c>
      <c r="B29" s="17" t="s">
        <v>1021</v>
      </c>
      <c r="C29" s="17">
        <v>8.368302453E9</v>
      </c>
      <c r="D29" s="79" t="s">
        <v>9</v>
      </c>
      <c r="E29" s="80" t="s">
        <v>1623</v>
      </c>
    </row>
    <row r="30">
      <c r="A30" s="54">
        <v>24.0</v>
      </c>
      <c r="B30" s="17" t="s">
        <v>1027</v>
      </c>
      <c r="C30" s="17">
        <v>7.274878501E9</v>
      </c>
      <c r="D30" s="79" t="s">
        <v>9</v>
      </c>
      <c r="E30" s="80" t="s">
        <v>1623</v>
      </c>
    </row>
    <row r="31">
      <c r="A31" s="54">
        <v>25.0</v>
      </c>
      <c r="B31" s="17" t="s">
        <v>991</v>
      </c>
      <c r="C31" s="17">
        <v>6.202368484E9</v>
      </c>
      <c r="D31" s="79" t="s">
        <v>9</v>
      </c>
      <c r="E31" s="80" t="s">
        <v>1623</v>
      </c>
    </row>
    <row r="32">
      <c r="A32" s="54">
        <v>26.0</v>
      </c>
      <c r="B32" s="17" t="s">
        <v>1036</v>
      </c>
      <c r="C32" s="17">
        <v>9.650501192E9</v>
      </c>
      <c r="D32" s="79" t="s">
        <v>9</v>
      </c>
      <c r="E32" s="80" t="s">
        <v>1623</v>
      </c>
    </row>
    <row r="33">
      <c r="A33" s="54">
        <v>27.0</v>
      </c>
      <c r="B33" s="17" t="s">
        <v>1041</v>
      </c>
      <c r="C33" s="17">
        <v>9.934019475E9</v>
      </c>
      <c r="D33" s="79" t="s">
        <v>9</v>
      </c>
      <c r="E33" s="80" t="s">
        <v>1623</v>
      </c>
    </row>
    <row r="34">
      <c r="A34" s="54">
        <v>28.0</v>
      </c>
      <c r="B34" s="17" t="s">
        <v>1047</v>
      </c>
      <c r="C34" s="17">
        <v>9.973950437E9</v>
      </c>
      <c r="D34" s="79" t="s">
        <v>9</v>
      </c>
      <c r="E34" s="80" t="s">
        <v>1623</v>
      </c>
    </row>
    <row r="35">
      <c r="A35" s="54">
        <v>29.0</v>
      </c>
      <c r="B35" s="17" t="s">
        <v>1052</v>
      </c>
      <c r="C35" s="18">
        <v>9.931730841E9</v>
      </c>
      <c r="D35" s="79" t="s">
        <v>9</v>
      </c>
      <c r="E35" s="80" t="s">
        <v>1623</v>
      </c>
    </row>
    <row r="36">
      <c r="B36" s="17" t="s">
        <v>953</v>
      </c>
      <c r="C36" s="17">
        <v>7.643067272E9</v>
      </c>
    </row>
    <row r="37">
      <c r="B37" s="17" t="s">
        <v>954</v>
      </c>
      <c r="C37" s="17">
        <v>8.252412964E9</v>
      </c>
    </row>
    <row r="38">
      <c r="B38" s="17" t="s">
        <v>961</v>
      </c>
      <c r="C38" s="17">
        <v>7.739916619E9</v>
      </c>
    </row>
    <row r="39">
      <c r="B39" s="17" t="s">
        <v>962</v>
      </c>
      <c r="C39" s="17" t="s">
        <v>963</v>
      </c>
    </row>
    <row r="40">
      <c r="B40" s="17" t="s">
        <v>964</v>
      </c>
      <c r="C40" s="17">
        <v>7.320883378E9</v>
      </c>
    </row>
    <row r="41">
      <c r="B41" s="17" t="s">
        <v>965</v>
      </c>
      <c r="C41" s="17">
        <v>7.033056676E9</v>
      </c>
    </row>
    <row r="42">
      <c r="B42" s="17" t="s">
        <v>976</v>
      </c>
      <c r="C42" s="17">
        <v>9.996405211E9</v>
      </c>
    </row>
    <row r="43">
      <c r="B43" s="17" t="s">
        <v>983</v>
      </c>
      <c r="C43" s="17">
        <v>7.03301347E9</v>
      </c>
    </row>
    <row r="44">
      <c r="B44" s="17" t="s">
        <v>990</v>
      </c>
      <c r="C44" s="17">
        <v>7.543848949E9</v>
      </c>
    </row>
    <row r="45">
      <c r="B45" s="17" t="s">
        <v>991</v>
      </c>
      <c r="C45" s="17">
        <v>8.092728916E9</v>
      </c>
    </row>
    <row r="46">
      <c r="B46" s="17" t="s">
        <v>998</v>
      </c>
      <c r="C46" s="17">
        <v>9.955445933E9</v>
      </c>
    </row>
    <row r="47">
      <c r="B47" s="17" t="s">
        <v>1008</v>
      </c>
      <c r="C47" s="17">
        <v>7.091361785E9</v>
      </c>
    </row>
    <row r="48">
      <c r="B48" s="17" t="s">
        <v>1009</v>
      </c>
      <c r="C48" s="17">
        <v>8.084852393E9</v>
      </c>
    </row>
    <row r="49">
      <c r="B49" s="17" t="s">
        <v>1015</v>
      </c>
      <c r="C49" s="17">
        <v>7.488257331E9</v>
      </c>
    </row>
    <row r="50">
      <c r="B50" s="17" t="s">
        <v>1026</v>
      </c>
      <c r="C50" s="17">
        <v>9.304212043E9</v>
      </c>
    </row>
    <row r="51">
      <c r="B51" s="17" t="s">
        <v>1031</v>
      </c>
      <c r="C51" s="17">
        <v>6.299737282E9</v>
      </c>
    </row>
    <row r="52">
      <c r="B52" s="17" t="s">
        <v>1032</v>
      </c>
      <c r="C52" s="17">
        <v>8.809354786E9</v>
      </c>
    </row>
    <row r="53">
      <c r="B53" s="17" t="s">
        <v>1033</v>
      </c>
      <c r="C53" s="17">
        <v>7.739969599E9</v>
      </c>
    </row>
    <row r="56" ht="84.75" customHeight="1">
      <c r="A56" s="10" t="s">
        <v>339</v>
      </c>
      <c r="B56" s="11" t="s">
        <v>340</v>
      </c>
      <c r="C56" s="12" t="s">
        <v>341</v>
      </c>
      <c r="D56" s="11" t="s">
        <v>342</v>
      </c>
      <c r="E56" s="11" t="s">
        <v>343</v>
      </c>
      <c r="F56" s="11" t="s">
        <v>344</v>
      </c>
      <c r="G56" s="11" t="s">
        <v>345</v>
      </c>
      <c r="H56" s="11" t="s">
        <v>346</v>
      </c>
      <c r="I56" s="11" t="s">
        <v>347</v>
      </c>
      <c r="J56" s="12" t="s">
        <v>348</v>
      </c>
      <c r="K56" s="12" t="s">
        <v>349</v>
      </c>
      <c r="L56" s="11" t="s">
        <v>350</v>
      </c>
      <c r="M56" s="11" t="s">
        <v>351</v>
      </c>
      <c r="N56" s="11" t="s">
        <v>1</v>
      </c>
      <c r="O56" s="11" t="s">
        <v>352</v>
      </c>
      <c r="P56" s="11" t="s">
        <v>353</v>
      </c>
      <c r="Q56" s="11" t="s">
        <v>354</v>
      </c>
      <c r="R56" s="11" t="s">
        <v>355</v>
      </c>
      <c r="S56" s="11" t="s">
        <v>356</v>
      </c>
      <c r="T56" s="11" t="s">
        <v>357</v>
      </c>
      <c r="U56" s="11" t="s">
        <v>358</v>
      </c>
      <c r="V56" s="11" t="s">
        <v>359</v>
      </c>
      <c r="W56" s="11" t="s">
        <v>360</v>
      </c>
      <c r="X56" s="11" t="s">
        <v>361</v>
      </c>
      <c r="Y56" s="11" t="s">
        <v>362</v>
      </c>
      <c r="Z56" s="11" t="s">
        <v>363</v>
      </c>
      <c r="AA56" s="13" t="s">
        <v>364</v>
      </c>
      <c r="AB56" s="14" t="s">
        <v>3</v>
      </c>
      <c r="AC56" s="15"/>
      <c r="AD56" s="15"/>
    </row>
    <row r="57">
      <c r="A57" s="16" t="s">
        <v>1851</v>
      </c>
      <c r="B57" s="17" t="s">
        <v>929</v>
      </c>
      <c r="C57" s="17">
        <v>7.520145681E9</v>
      </c>
      <c r="D57" s="17">
        <v>54.0</v>
      </c>
      <c r="E57" s="55" t="s">
        <v>367</v>
      </c>
      <c r="F57" s="37" t="s">
        <v>374</v>
      </c>
      <c r="G57" s="37" t="s">
        <v>518</v>
      </c>
      <c r="H57" s="37" t="s">
        <v>512</v>
      </c>
      <c r="I57" s="37" t="s">
        <v>518</v>
      </c>
      <c r="J57" s="37" t="s">
        <v>930</v>
      </c>
      <c r="K57" s="17" t="s">
        <v>931</v>
      </c>
      <c r="L57" s="37" t="s">
        <v>932</v>
      </c>
      <c r="M57" s="37" t="s">
        <v>933</v>
      </c>
      <c r="N57" s="56" t="s">
        <v>9</v>
      </c>
      <c r="O57" s="55" t="s">
        <v>4</v>
      </c>
      <c r="P57" s="55" t="s">
        <v>4</v>
      </c>
      <c r="Q57" s="37" t="s">
        <v>444</v>
      </c>
      <c r="R57" s="37" t="s">
        <v>934</v>
      </c>
      <c r="S57" s="55" t="s">
        <v>4</v>
      </c>
      <c r="T57" s="37" t="s">
        <v>935</v>
      </c>
      <c r="U57" s="55" t="s">
        <v>4</v>
      </c>
      <c r="V57" s="37" t="s">
        <v>936</v>
      </c>
      <c r="W57" s="37" t="s">
        <v>937</v>
      </c>
      <c r="X57" s="55" t="s">
        <v>4</v>
      </c>
      <c r="Y57" s="55" t="s">
        <v>4</v>
      </c>
      <c r="Z57" s="55" t="s">
        <v>4</v>
      </c>
      <c r="AA57" s="37" t="s">
        <v>391</v>
      </c>
      <c r="AB57" s="28"/>
      <c r="AC57" s="24"/>
      <c r="AD57" s="24"/>
    </row>
    <row r="58">
      <c r="A58" s="25"/>
      <c r="B58" s="17" t="s">
        <v>938</v>
      </c>
      <c r="C58" s="17">
        <v>9.939489345E9</v>
      </c>
      <c r="D58" s="17">
        <v>45.0</v>
      </c>
      <c r="E58" s="55" t="s">
        <v>367</v>
      </c>
      <c r="F58" s="37" t="s">
        <v>939</v>
      </c>
      <c r="G58" s="37" t="s">
        <v>518</v>
      </c>
      <c r="H58" s="37" t="s">
        <v>512</v>
      </c>
      <c r="I58" s="37" t="s">
        <v>518</v>
      </c>
      <c r="J58" s="37" t="s">
        <v>930</v>
      </c>
      <c r="K58" s="17" t="s">
        <v>931</v>
      </c>
      <c r="L58" s="37" t="s">
        <v>932</v>
      </c>
      <c r="M58" s="37" t="s">
        <v>933</v>
      </c>
      <c r="N58" s="56" t="s">
        <v>9</v>
      </c>
      <c r="O58" s="55" t="s">
        <v>4</v>
      </c>
      <c r="P58" s="55" t="s">
        <v>380</v>
      </c>
      <c r="Q58" s="52"/>
      <c r="R58" s="52"/>
      <c r="S58" s="55" t="s">
        <v>4</v>
      </c>
      <c r="T58" s="37" t="s">
        <v>940</v>
      </c>
      <c r="U58" s="55" t="s">
        <v>4</v>
      </c>
      <c r="V58" s="37" t="s">
        <v>941</v>
      </c>
      <c r="W58" s="37" t="s">
        <v>937</v>
      </c>
      <c r="X58" s="55" t="s">
        <v>4</v>
      </c>
      <c r="Y58" s="55" t="s">
        <v>4</v>
      </c>
      <c r="Z58" s="55" t="s">
        <v>4</v>
      </c>
      <c r="AA58" s="37" t="s">
        <v>391</v>
      </c>
      <c r="AB58" s="28"/>
      <c r="AC58" s="24"/>
      <c r="AD58" s="24"/>
    </row>
    <row r="59">
      <c r="A59" s="25"/>
      <c r="B59" s="17" t="s">
        <v>942</v>
      </c>
      <c r="C59" s="17" t="s">
        <v>943</v>
      </c>
      <c r="D59" s="28"/>
      <c r="E59" s="55" t="s">
        <v>367</v>
      </c>
      <c r="F59" s="37" t="s">
        <v>944</v>
      </c>
      <c r="G59" s="37" t="s">
        <v>518</v>
      </c>
      <c r="H59" s="37" t="s">
        <v>407</v>
      </c>
      <c r="I59" s="37" t="s">
        <v>518</v>
      </c>
      <c r="J59" s="37" t="s">
        <v>930</v>
      </c>
      <c r="K59" s="17" t="s">
        <v>931</v>
      </c>
      <c r="L59" s="37" t="s">
        <v>932</v>
      </c>
      <c r="M59" s="37" t="s">
        <v>933</v>
      </c>
      <c r="N59" s="56" t="s">
        <v>9</v>
      </c>
      <c r="O59" s="55" t="s">
        <v>4</v>
      </c>
      <c r="P59" s="55" t="s">
        <v>4</v>
      </c>
      <c r="Q59" s="37" t="s">
        <v>444</v>
      </c>
      <c r="R59" s="37" t="s">
        <v>945</v>
      </c>
      <c r="S59" s="55" t="s">
        <v>380</v>
      </c>
      <c r="T59" s="52"/>
      <c r="U59" s="55" t="s">
        <v>380</v>
      </c>
      <c r="V59" s="52"/>
      <c r="W59" s="37" t="s">
        <v>946</v>
      </c>
      <c r="X59" s="55" t="s">
        <v>4</v>
      </c>
      <c r="Y59" s="55" t="s">
        <v>4</v>
      </c>
      <c r="Z59" s="55" t="s">
        <v>4</v>
      </c>
      <c r="AA59" s="37" t="s">
        <v>391</v>
      </c>
      <c r="AB59" s="28"/>
      <c r="AC59" s="24"/>
      <c r="AD59" s="24"/>
    </row>
    <row r="60">
      <c r="A60" s="25"/>
      <c r="B60" s="17" t="s">
        <v>947</v>
      </c>
      <c r="C60" s="17" t="s">
        <v>948</v>
      </c>
      <c r="D60" s="17">
        <v>48.0</v>
      </c>
      <c r="E60" s="55" t="s">
        <v>367</v>
      </c>
      <c r="F60" s="37" t="s">
        <v>441</v>
      </c>
      <c r="G60" s="37" t="s">
        <v>518</v>
      </c>
      <c r="H60" s="52"/>
      <c r="I60" s="37" t="s">
        <v>518</v>
      </c>
      <c r="J60" s="37" t="s">
        <v>930</v>
      </c>
      <c r="K60" s="17" t="s">
        <v>931</v>
      </c>
      <c r="L60" s="37" t="s">
        <v>932</v>
      </c>
      <c r="M60" s="37" t="s">
        <v>933</v>
      </c>
      <c r="N60" s="56" t="s">
        <v>9</v>
      </c>
      <c r="O60" s="55" t="s">
        <v>4</v>
      </c>
      <c r="P60" s="55" t="s">
        <v>4</v>
      </c>
      <c r="Q60" s="37" t="s">
        <v>444</v>
      </c>
      <c r="R60" s="52"/>
      <c r="S60" s="55" t="s">
        <v>380</v>
      </c>
      <c r="T60" s="52"/>
      <c r="U60" s="55" t="s">
        <v>380</v>
      </c>
      <c r="V60" s="52"/>
      <c r="W60" s="37" t="s">
        <v>937</v>
      </c>
      <c r="X60" s="55" t="s">
        <v>4</v>
      </c>
      <c r="Y60" s="55" t="s">
        <v>4</v>
      </c>
      <c r="Z60" s="55" t="s">
        <v>4</v>
      </c>
      <c r="AA60" s="37" t="s">
        <v>391</v>
      </c>
      <c r="AB60" s="28"/>
      <c r="AC60" s="24"/>
      <c r="AD60" s="24"/>
    </row>
    <row r="61">
      <c r="A61" s="25"/>
      <c r="B61" s="17" t="s">
        <v>949</v>
      </c>
      <c r="C61" s="17">
        <v>7.903381812E9</v>
      </c>
      <c r="D61" s="17">
        <v>27.0</v>
      </c>
      <c r="E61" s="55" t="s">
        <v>367</v>
      </c>
      <c r="F61" s="37" t="s">
        <v>950</v>
      </c>
      <c r="G61" s="37" t="s">
        <v>518</v>
      </c>
      <c r="H61" s="37" t="s">
        <v>512</v>
      </c>
      <c r="I61" s="37" t="s">
        <v>518</v>
      </c>
      <c r="J61" s="37" t="s">
        <v>930</v>
      </c>
      <c r="K61" s="17" t="s">
        <v>931</v>
      </c>
      <c r="L61" s="37" t="s">
        <v>932</v>
      </c>
      <c r="M61" s="37" t="s">
        <v>933</v>
      </c>
      <c r="N61" s="56" t="s">
        <v>9</v>
      </c>
      <c r="O61" s="55" t="s">
        <v>4</v>
      </c>
      <c r="P61" s="55" t="s">
        <v>380</v>
      </c>
      <c r="Q61" s="52"/>
      <c r="R61" s="52"/>
      <c r="S61" s="55" t="s">
        <v>4</v>
      </c>
      <c r="T61" s="37" t="s">
        <v>951</v>
      </c>
      <c r="U61" s="55" t="s">
        <v>380</v>
      </c>
      <c r="V61" s="52"/>
      <c r="W61" s="37" t="s">
        <v>937</v>
      </c>
      <c r="X61" s="55" t="s">
        <v>4</v>
      </c>
      <c r="Y61" s="55" t="s">
        <v>4</v>
      </c>
      <c r="Z61" s="55" t="s">
        <v>4</v>
      </c>
      <c r="AA61" s="37" t="s">
        <v>391</v>
      </c>
      <c r="AB61" s="17" t="s">
        <v>952</v>
      </c>
      <c r="AC61" s="24"/>
      <c r="AD61" s="24"/>
    </row>
    <row r="62">
      <c r="A62" s="25"/>
      <c r="B62" s="17" t="s">
        <v>953</v>
      </c>
      <c r="C62" s="17">
        <v>7.643067272E9</v>
      </c>
      <c r="D62" s="17"/>
      <c r="E62" s="55"/>
      <c r="F62" s="52"/>
      <c r="G62" s="52"/>
      <c r="H62" s="52"/>
      <c r="I62" s="52"/>
      <c r="J62" s="37" t="s">
        <v>930</v>
      </c>
      <c r="K62" s="17" t="s">
        <v>931</v>
      </c>
      <c r="L62" s="52"/>
      <c r="M62" s="52"/>
      <c r="N62" s="56" t="s">
        <v>23</v>
      </c>
      <c r="O62" s="55"/>
      <c r="P62" s="55"/>
      <c r="Q62" s="52"/>
      <c r="R62" s="52"/>
      <c r="S62" s="55"/>
      <c r="T62" s="52"/>
      <c r="U62" s="55"/>
      <c r="V62" s="52"/>
      <c r="W62" s="52"/>
      <c r="X62" s="55"/>
      <c r="Y62" s="55"/>
      <c r="Z62" s="55"/>
      <c r="AA62" s="37"/>
      <c r="AB62" s="28"/>
      <c r="AC62" s="24"/>
      <c r="AD62" s="24"/>
    </row>
    <row r="63">
      <c r="A63" s="25"/>
      <c r="B63" s="17" t="s">
        <v>954</v>
      </c>
      <c r="C63" s="17">
        <v>8.252412964E9</v>
      </c>
      <c r="D63" s="17"/>
      <c r="E63" s="55"/>
      <c r="F63" s="52"/>
      <c r="G63" s="52"/>
      <c r="H63" s="52"/>
      <c r="I63" s="52"/>
      <c r="J63" s="37" t="s">
        <v>930</v>
      </c>
      <c r="K63" s="17" t="s">
        <v>931</v>
      </c>
      <c r="L63" s="52"/>
      <c r="M63" s="52"/>
      <c r="N63" s="56" t="s">
        <v>13</v>
      </c>
      <c r="O63" s="55"/>
      <c r="P63" s="55"/>
      <c r="Q63" s="52"/>
      <c r="R63" s="52"/>
      <c r="S63" s="55"/>
      <c r="T63" s="52"/>
      <c r="U63" s="55"/>
      <c r="V63" s="52"/>
      <c r="W63" s="52"/>
      <c r="X63" s="55"/>
      <c r="Y63" s="55"/>
      <c r="Z63" s="55"/>
      <c r="AA63" s="37"/>
      <c r="AB63" s="28"/>
      <c r="AC63" s="24"/>
      <c r="AD63" s="24"/>
    </row>
    <row r="64">
      <c r="A64" s="25"/>
      <c r="B64" s="17" t="s">
        <v>955</v>
      </c>
      <c r="C64" s="17">
        <v>9.264167757E9</v>
      </c>
      <c r="D64" s="17">
        <v>56.0</v>
      </c>
      <c r="E64" s="55" t="s">
        <v>367</v>
      </c>
      <c r="F64" s="37" t="s">
        <v>956</v>
      </c>
      <c r="G64" s="52"/>
      <c r="H64" s="37" t="s">
        <v>407</v>
      </c>
      <c r="I64" s="37" t="s">
        <v>957</v>
      </c>
      <c r="J64" s="37" t="s">
        <v>930</v>
      </c>
      <c r="K64" s="17" t="s">
        <v>931</v>
      </c>
      <c r="L64" s="37" t="s">
        <v>932</v>
      </c>
      <c r="M64" s="37" t="s">
        <v>958</v>
      </c>
      <c r="N64" s="56" t="s">
        <v>9</v>
      </c>
      <c r="O64" s="55" t="s">
        <v>4</v>
      </c>
      <c r="P64" s="55" t="s">
        <v>4</v>
      </c>
      <c r="Q64" s="37" t="s">
        <v>444</v>
      </c>
      <c r="R64" s="52"/>
      <c r="S64" s="55" t="s">
        <v>4</v>
      </c>
      <c r="T64" s="37" t="s">
        <v>959</v>
      </c>
      <c r="U64" s="55" t="s">
        <v>4</v>
      </c>
      <c r="V64" s="37" t="s">
        <v>960</v>
      </c>
      <c r="W64" s="37" t="s">
        <v>937</v>
      </c>
      <c r="X64" s="55" t="s">
        <v>4</v>
      </c>
      <c r="Y64" s="55" t="s">
        <v>4</v>
      </c>
      <c r="Z64" s="55" t="s">
        <v>4</v>
      </c>
      <c r="AA64" s="37" t="s">
        <v>391</v>
      </c>
      <c r="AB64" s="28"/>
      <c r="AC64" s="24"/>
      <c r="AD64" s="24"/>
    </row>
    <row r="65">
      <c r="A65" s="25"/>
      <c r="B65" s="17" t="s">
        <v>961</v>
      </c>
      <c r="C65" s="17">
        <v>7.739916619E9</v>
      </c>
      <c r="D65" s="17"/>
      <c r="E65" s="55"/>
      <c r="F65" s="52"/>
      <c r="G65" s="52"/>
      <c r="H65" s="52"/>
      <c r="I65" s="52"/>
      <c r="J65" s="37" t="s">
        <v>930</v>
      </c>
      <c r="K65" s="17" t="s">
        <v>931</v>
      </c>
      <c r="L65" s="52"/>
      <c r="M65" s="52"/>
      <c r="N65" s="56" t="s">
        <v>13</v>
      </c>
      <c r="O65" s="55"/>
      <c r="P65" s="55"/>
      <c r="Q65" s="52"/>
      <c r="R65" s="52"/>
      <c r="S65" s="55"/>
      <c r="T65" s="52"/>
      <c r="U65" s="55"/>
      <c r="V65" s="52"/>
      <c r="W65" s="52"/>
      <c r="X65" s="55"/>
      <c r="Y65" s="55"/>
      <c r="Z65" s="55"/>
      <c r="AA65" s="37"/>
      <c r="AB65" s="28"/>
      <c r="AC65" s="24"/>
      <c r="AD65" s="24"/>
    </row>
    <row r="66">
      <c r="A66" s="25"/>
      <c r="B66" s="17" t="s">
        <v>962</v>
      </c>
      <c r="C66" s="17" t="s">
        <v>963</v>
      </c>
      <c r="D66" s="17"/>
      <c r="E66" s="55"/>
      <c r="F66" s="52"/>
      <c r="G66" s="52"/>
      <c r="H66" s="52"/>
      <c r="I66" s="52"/>
      <c r="J66" s="37" t="s">
        <v>930</v>
      </c>
      <c r="K66" s="17" t="s">
        <v>931</v>
      </c>
      <c r="L66" s="52"/>
      <c r="M66" s="52"/>
      <c r="N66" s="56" t="s">
        <v>23</v>
      </c>
      <c r="O66" s="55"/>
      <c r="P66" s="55"/>
      <c r="Q66" s="52"/>
      <c r="R66" s="52"/>
      <c r="S66" s="55"/>
      <c r="T66" s="52"/>
      <c r="U66" s="55"/>
      <c r="V66" s="52"/>
      <c r="W66" s="52"/>
      <c r="X66" s="55"/>
      <c r="Y66" s="55"/>
      <c r="Z66" s="55"/>
      <c r="AA66" s="37"/>
      <c r="AB66" s="28"/>
      <c r="AC66" s="24"/>
      <c r="AD66" s="24"/>
    </row>
    <row r="67">
      <c r="A67" s="25"/>
      <c r="B67" s="17" t="s">
        <v>964</v>
      </c>
      <c r="C67" s="17">
        <v>7.320883378E9</v>
      </c>
      <c r="D67" s="17"/>
      <c r="E67" s="55"/>
      <c r="F67" s="52"/>
      <c r="G67" s="52"/>
      <c r="H67" s="52"/>
      <c r="I67" s="52"/>
      <c r="J67" s="37" t="s">
        <v>930</v>
      </c>
      <c r="K67" s="17" t="s">
        <v>931</v>
      </c>
      <c r="L67" s="52"/>
      <c r="M67" s="52"/>
      <c r="N67" s="56" t="s">
        <v>13</v>
      </c>
      <c r="O67" s="55"/>
      <c r="P67" s="55"/>
      <c r="Q67" s="52"/>
      <c r="R67" s="52"/>
      <c r="S67" s="55"/>
      <c r="T67" s="52"/>
      <c r="U67" s="55"/>
      <c r="V67" s="52"/>
      <c r="W67" s="52"/>
      <c r="X67" s="55"/>
      <c r="Y67" s="55"/>
      <c r="Z67" s="55"/>
      <c r="AA67" s="37"/>
      <c r="AB67" s="28"/>
      <c r="AC67" s="24"/>
      <c r="AD67" s="24"/>
    </row>
    <row r="68">
      <c r="A68" s="25"/>
      <c r="B68" s="17" t="s">
        <v>965</v>
      </c>
      <c r="C68" s="17">
        <v>7.033056676E9</v>
      </c>
      <c r="D68" s="17"/>
      <c r="E68" s="55"/>
      <c r="F68" s="52"/>
      <c r="G68" s="52"/>
      <c r="H68" s="52"/>
      <c r="I68" s="52"/>
      <c r="J68" s="37" t="s">
        <v>930</v>
      </c>
      <c r="K68" s="17" t="s">
        <v>931</v>
      </c>
      <c r="L68" s="52"/>
      <c r="M68" s="52"/>
      <c r="N68" s="56" t="s">
        <v>23</v>
      </c>
      <c r="O68" s="55"/>
      <c r="P68" s="55"/>
      <c r="Q68" s="52"/>
      <c r="R68" s="52"/>
      <c r="S68" s="55"/>
      <c r="T68" s="52"/>
      <c r="U68" s="55"/>
      <c r="V68" s="52"/>
      <c r="W68" s="52"/>
      <c r="X68" s="55"/>
      <c r="Y68" s="55"/>
      <c r="Z68" s="55"/>
      <c r="AA68" s="37"/>
      <c r="AB68" s="28"/>
      <c r="AC68" s="24"/>
      <c r="AD68" s="24"/>
    </row>
    <row r="69">
      <c r="A69" s="25"/>
      <c r="B69" s="17" t="s">
        <v>966</v>
      </c>
      <c r="C69" s="17">
        <v>9.798147335E9</v>
      </c>
      <c r="D69" s="17">
        <v>52.0</v>
      </c>
      <c r="E69" s="55" t="s">
        <v>367</v>
      </c>
      <c r="F69" s="37" t="s">
        <v>374</v>
      </c>
      <c r="G69" s="37" t="s">
        <v>518</v>
      </c>
      <c r="H69" s="52"/>
      <c r="I69" s="37" t="s">
        <v>518</v>
      </c>
      <c r="J69" s="37" t="s">
        <v>930</v>
      </c>
      <c r="K69" s="17" t="s">
        <v>931</v>
      </c>
      <c r="L69" s="37" t="s">
        <v>932</v>
      </c>
      <c r="M69" s="37" t="s">
        <v>967</v>
      </c>
      <c r="N69" s="56" t="s">
        <v>9</v>
      </c>
      <c r="O69" s="55" t="s">
        <v>4</v>
      </c>
      <c r="P69" s="55" t="s">
        <v>4</v>
      </c>
      <c r="Q69" s="37" t="s">
        <v>444</v>
      </c>
      <c r="R69" s="37" t="s">
        <v>968</v>
      </c>
      <c r="S69" s="55" t="s">
        <v>380</v>
      </c>
      <c r="T69" s="52"/>
      <c r="U69" s="55" t="s">
        <v>380</v>
      </c>
      <c r="V69" s="52"/>
      <c r="W69" s="37" t="s">
        <v>937</v>
      </c>
      <c r="X69" s="55" t="s">
        <v>4</v>
      </c>
      <c r="Y69" s="55" t="s">
        <v>4</v>
      </c>
      <c r="Z69" s="55" t="s">
        <v>4</v>
      </c>
      <c r="AA69" s="37" t="s">
        <v>391</v>
      </c>
      <c r="AB69" s="28"/>
      <c r="AC69" s="24"/>
      <c r="AD69" s="24"/>
    </row>
    <row r="70">
      <c r="A70" s="25"/>
      <c r="B70" s="17" t="s">
        <v>721</v>
      </c>
      <c r="C70" s="17">
        <v>8.873758984E9</v>
      </c>
      <c r="D70" s="17">
        <v>32.0</v>
      </c>
      <c r="E70" s="55" t="s">
        <v>367</v>
      </c>
      <c r="F70" s="37" t="s">
        <v>382</v>
      </c>
      <c r="G70" s="37" t="s">
        <v>518</v>
      </c>
      <c r="H70" s="37" t="s">
        <v>518</v>
      </c>
      <c r="I70" s="37" t="s">
        <v>518</v>
      </c>
      <c r="J70" s="37" t="s">
        <v>930</v>
      </c>
      <c r="K70" s="17" t="s">
        <v>931</v>
      </c>
      <c r="L70" s="37" t="s">
        <v>932</v>
      </c>
      <c r="M70" s="37" t="s">
        <v>969</v>
      </c>
      <c r="N70" s="56" t="s">
        <v>9</v>
      </c>
      <c r="O70" s="55" t="s">
        <v>4</v>
      </c>
      <c r="P70" s="55" t="s">
        <v>4</v>
      </c>
      <c r="Q70" s="37" t="s">
        <v>444</v>
      </c>
      <c r="R70" s="37" t="s">
        <v>970</v>
      </c>
      <c r="S70" s="55" t="s">
        <v>4</v>
      </c>
      <c r="T70" s="37" t="s">
        <v>971</v>
      </c>
      <c r="U70" s="55" t="s">
        <v>4</v>
      </c>
      <c r="V70" s="37" t="s">
        <v>972</v>
      </c>
      <c r="W70" s="37" t="s">
        <v>937</v>
      </c>
      <c r="X70" s="55" t="s">
        <v>4</v>
      </c>
      <c r="Y70" s="55" t="s">
        <v>4</v>
      </c>
      <c r="Z70" s="55" t="s">
        <v>4</v>
      </c>
      <c r="AA70" s="37" t="s">
        <v>391</v>
      </c>
      <c r="AB70" s="28"/>
      <c r="AC70" s="24"/>
      <c r="AD70" s="24"/>
    </row>
    <row r="71">
      <c r="A71" s="25"/>
      <c r="B71" s="17" t="s">
        <v>973</v>
      </c>
      <c r="C71" s="17">
        <v>9.661518971E9</v>
      </c>
      <c r="D71" s="17">
        <v>52.0</v>
      </c>
      <c r="E71" s="55" t="s">
        <v>367</v>
      </c>
      <c r="F71" s="37" t="s">
        <v>974</v>
      </c>
      <c r="G71" s="37" t="s">
        <v>518</v>
      </c>
      <c r="H71" s="52"/>
      <c r="I71" s="37" t="s">
        <v>551</v>
      </c>
      <c r="J71" s="37" t="s">
        <v>930</v>
      </c>
      <c r="K71" s="17" t="s">
        <v>931</v>
      </c>
      <c r="L71" s="37" t="s">
        <v>932</v>
      </c>
      <c r="M71" s="37" t="s">
        <v>969</v>
      </c>
      <c r="N71" s="56" t="s">
        <v>9</v>
      </c>
      <c r="O71" s="55" t="s">
        <v>4</v>
      </c>
      <c r="P71" s="55" t="s">
        <v>4</v>
      </c>
      <c r="Q71" s="37" t="s">
        <v>444</v>
      </c>
      <c r="R71" s="52"/>
      <c r="S71" s="55" t="s">
        <v>380</v>
      </c>
      <c r="T71" s="52"/>
      <c r="U71" s="55" t="s">
        <v>380</v>
      </c>
      <c r="V71" s="52"/>
      <c r="W71" s="37" t="s">
        <v>937</v>
      </c>
      <c r="X71" s="55" t="s">
        <v>4</v>
      </c>
      <c r="Y71" s="55" t="s">
        <v>4</v>
      </c>
      <c r="Z71" s="55" t="s">
        <v>4</v>
      </c>
      <c r="AA71" s="37" t="s">
        <v>391</v>
      </c>
      <c r="AB71" s="28"/>
      <c r="AC71" s="24"/>
      <c r="AD71" s="24"/>
    </row>
    <row r="72">
      <c r="A72" s="25"/>
      <c r="B72" s="17" t="s">
        <v>975</v>
      </c>
      <c r="C72" s="17">
        <v>8.210787306E9</v>
      </c>
      <c r="D72" s="17">
        <v>35.0</v>
      </c>
      <c r="E72" s="55" t="s">
        <v>367</v>
      </c>
      <c r="F72" s="52"/>
      <c r="G72" s="37" t="s">
        <v>518</v>
      </c>
      <c r="H72" s="52"/>
      <c r="I72" s="37" t="s">
        <v>518</v>
      </c>
      <c r="J72" s="37" t="s">
        <v>930</v>
      </c>
      <c r="K72" s="17" t="s">
        <v>931</v>
      </c>
      <c r="L72" s="52"/>
      <c r="M72" s="52"/>
      <c r="N72" s="56" t="s">
        <v>9</v>
      </c>
      <c r="O72" s="55" t="s">
        <v>4</v>
      </c>
      <c r="P72" s="55" t="s">
        <v>4</v>
      </c>
      <c r="Q72" s="37" t="s">
        <v>444</v>
      </c>
      <c r="R72" s="52"/>
      <c r="S72" s="55" t="s">
        <v>380</v>
      </c>
      <c r="T72" s="52"/>
      <c r="U72" s="55" t="s">
        <v>380</v>
      </c>
      <c r="V72" s="52"/>
      <c r="W72" s="52"/>
      <c r="X72" s="55" t="s">
        <v>4</v>
      </c>
      <c r="Y72" s="55" t="s">
        <v>4</v>
      </c>
      <c r="Z72" s="55" t="s">
        <v>4</v>
      </c>
      <c r="AA72" s="37" t="s">
        <v>391</v>
      </c>
      <c r="AB72" s="28"/>
      <c r="AC72" s="24"/>
      <c r="AD72" s="24"/>
    </row>
    <row r="73">
      <c r="A73" s="25"/>
      <c r="B73" s="17" t="s">
        <v>976</v>
      </c>
      <c r="C73" s="17">
        <v>9.996405211E9</v>
      </c>
      <c r="D73" s="17"/>
      <c r="E73" s="55"/>
      <c r="F73" s="37"/>
      <c r="G73" s="37"/>
      <c r="H73" s="37"/>
      <c r="I73" s="37"/>
      <c r="J73" s="37" t="s">
        <v>930</v>
      </c>
      <c r="K73" s="17" t="s">
        <v>931</v>
      </c>
      <c r="L73" s="37"/>
      <c r="M73" s="37"/>
      <c r="N73" s="56" t="s">
        <v>13</v>
      </c>
      <c r="O73" s="55"/>
      <c r="P73" s="55"/>
      <c r="Q73" s="37"/>
      <c r="R73" s="52"/>
      <c r="S73" s="55"/>
      <c r="T73" s="37"/>
      <c r="U73" s="55"/>
      <c r="V73" s="52"/>
      <c r="W73" s="52"/>
      <c r="X73" s="55"/>
      <c r="Y73" s="55"/>
      <c r="Z73" s="55"/>
      <c r="AA73" s="37"/>
      <c r="AB73" s="28"/>
      <c r="AC73" s="24"/>
      <c r="AD73" s="24"/>
    </row>
    <row r="74">
      <c r="A74" s="25"/>
      <c r="B74" s="17" t="s">
        <v>977</v>
      </c>
      <c r="C74" s="17">
        <v>7.903915451E9</v>
      </c>
      <c r="D74" s="17">
        <v>28.0</v>
      </c>
      <c r="E74" s="55" t="s">
        <v>367</v>
      </c>
      <c r="F74" s="37" t="s">
        <v>382</v>
      </c>
      <c r="G74" s="37" t="s">
        <v>518</v>
      </c>
      <c r="H74" s="37" t="s">
        <v>383</v>
      </c>
      <c r="I74" s="37" t="s">
        <v>551</v>
      </c>
      <c r="J74" s="37" t="s">
        <v>930</v>
      </c>
      <c r="K74" s="17" t="s">
        <v>931</v>
      </c>
      <c r="L74" s="37" t="s">
        <v>932</v>
      </c>
      <c r="M74" s="37" t="s">
        <v>932</v>
      </c>
      <c r="N74" s="56" t="s">
        <v>9</v>
      </c>
      <c r="O74" s="55" t="s">
        <v>4</v>
      </c>
      <c r="P74" s="55" t="s">
        <v>4</v>
      </c>
      <c r="Q74" s="37" t="s">
        <v>444</v>
      </c>
      <c r="R74" s="52"/>
      <c r="S74" s="55" t="s">
        <v>4</v>
      </c>
      <c r="T74" s="37" t="s">
        <v>978</v>
      </c>
      <c r="U74" s="55" t="s">
        <v>380</v>
      </c>
      <c r="V74" s="52"/>
      <c r="W74" s="37" t="s">
        <v>937</v>
      </c>
      <c r="X74" s="55" t="s">
        <v>4</v>
      </c>
      <c r="Y74" s="55" t="s">
        <v>4</v>
      </c>
      <c r="Z74" s="55" t="s">
        <v>4</v>
      </c>
      <c r="AA74" s="37" t="s">
        <v>391</v>
      </c>
      <c r="AB74" s="28"/>
      <c r="AC74" s="24"/>
      <c r="AD74" s="24"/>
    </row>
    <row r="75">
      <c r="A75" s="25"/>
      <c r="B75" s="17" t="s">
        <v>979</v>
      </c>
      <c r="C75" s="17">
        <v>9.939026809E9</v>
      </c>
      <c r="D75" s="17">
        <v>70.0</v>
      </c>
      <c r="E75" s="55" t="s">
        <v>367</v>
      </c>
      <c r="F75" s="52"/>
      <c r="G75" s="37" t="s">
        <v>375</v>
      </c>
      <c r="H75" s="37" t="s">
        <v>407</v>
      </c>
      <c r="I75" s="37" t="s">
        <v>980</v>
      </c>
      <c r="J75" s="37" t="s">
        <v>930</v>
      </c>
      <c r="K75" s="17" t="s">
        <v>931</v>
      </c>
      <c r="L75" s="37" t="s">
        <v>932</v>
      </c>
      <c r="M75" s="37" t="s">
        <v>932</v>
      </c>
      <c r="N75" s="56" t="s">
        <v>9</v>
      </c>
      <c r="O75" s="55" t="s">
        <v>4</v>
      </c>
      <c r="P75" s="55" t="s">
        <v>4</v>
      </c>
      <c r="Q75" s="37" t="s">
        <v>444</v>
      </c>
      <c r="R75" s="52"/>
      <c r="S75" s="55" t="s">
        <v>380</v>
      </c>
      <c r="T75" s="52"/>
      <c r="U75" s="55" t="s">
        <v>380</v>
      </c>
      <c r="V75" s="52"/>
      <c r="W75" s="37" t="s">
        <v>937</v>
      </c>
      <c r="X75" s="55" t="s">
        <v>4</v>
      </c>
      <c r="Y75" s="55" t="s">
        <v>4</v>
      </c>
      <c r="Z75" s="55" t="s">
        <v>4</v>
      </c>
      <c r="AA75" s="37" t="s">
        <v>391</v>
      </c>
      <c r="AB75" s="28"/>
      <c r="AC75" s="24"/>
      <c r="AD75" s="24"/>
    </row>
    <row r="76">
      <c r="A76" s="25"/>
      <c r="B76" s="17" t="s">
        <v>981</v>
      </c>
      <c r="C76" s="17">
        <v>7.631212149E9</v>
      </c>
      <c r="D76" s="17">
        <v>24.0</v>
      </c>
      <c r="E76" s="55" t="s">
        <v>367</v>
      </c>
      <c r="F76" s="37" t="s">
        <v>382</v>
      </c>
      <c r="G76" s="37" t="s">
        <v>518</v>
      </c>
      <c r="H76" s="37" t="s">
        <v>512</v>
      </c>
      <c r="I76" s="37" t="s">
        <v>518</v>
      </c>
      <c r="J76" s="37" t="s">
        <v>930</v>
      </c>
      <c r="K76" s="17" t="s">
        <v>931</v>
      </c>
      <c r="L76" s="37" t="s">
        <v>932</v>
      </c>
      <c r="M76" s="37" t="s">
        <v>982</v>
      </c>
      <c r="N76" s="56" t="s">
        <v>9</v>
      </c>
      <c r="O76" s="55" t="s">
        <v>4</v>
      </c>
      <c r="P76" s="55" t="s">
        <v>380</v>
      </c>
      <c r="Q76" s="52"/>
      <c r="R76" s="52"/>
      <c r="S76" s="55" t="s">
        <v>380</v>
      </c>
      <c r="T76" s="52"/>
      <c r="U76" s="55" t="s">
        <v>380</v>
      </c>
      <c r="V76" s="52"/>
      <c r="W76" s="37" t="s">
        <v>937</v>
      </c>
      <c r="X76" s="55" t="s">
        <v>4</v>
      </c>
      <c r="Y76" s="55" t="s">
        <v>4</v>
      </c>
      <c r="Z76" s="55" t="s">
        <v>4</v>
      </c>
      <c r="AA76" s="37" t="s">
        <v>391</v>
      </c>
      <c r="AB76" s="28"/>
      <c r="AC76" s="24"/>
      <c r="AD76" s="24"/>
    </row>
    <row r="77">
      <c r="A77" s="25"/>
      <c r="B77" s="17" t="s">
        <v>983</v>
      </c>
      <c r="C77" s="17">
        <v>7.03301347E9</v>
      </c>
      <c r="D77" s="17"/>
      <c r="E77" s="55"/>
      <c r="F77" s="52"/>
      <c r="G77" s="52"/>
      <c r="H77" s="52"/>
      <c r="I77" s="52"/>
      <c r="J77" s="37" t="s">
        <v>930</v>
      </c>
      <c r="K77" s="17" t="s">
        <v>931</v>
      </c>
      <c r="L77" s="52"/>
      <c r="M77" s="52"/>
      <c r="N77" s="56" t="s">
        <v>13</v>
      </c>
      <c r="O77" s="55"/>
      <c r="P77" s="55"/>
      <c r="Q77" s="52"/>
      <c r="R77" s="52"/>
      <c r="S77" s="55"/>
      <c r="T77" s="52"/>
      <c r="U77" s="55"/>
      <c r="V77" s="52"/>
      <c r="W77" s="52"/>
      <c r="X77" s="55"/>
      <c r="Y77" s="55"/>
      <c r="Z77" s="55"/>
      <c r="AA77" s="37"/>
      <c r="AB77" s="28"/>
      <c r="AC77" s="24"/>
      <c r="AD77" s="24"/>
    </row>
    <row r="78">
      <c r="A78" s="25"/>
      <c r="B78" s="17" t="s">
        <v>984</v>
      </c>
      <c r="C78" s="17">
        <v>7.367838076E9</v>
      </c>
      <c r="D78" s="17">
        <v>52.0</v>
      </c>
      <c r="E78" s="55" t="s">
        <v>367</v>
      </c>
      <c r="F78" s="37" t="s">
        <v>536</v>
      </c>
      <c r="G78" s="37" t="s">
        <v>518</v>
      </c>
      <c r="H78" s="37" t="s">
        <v>418</v>
      </c>
      <c r="I78" s="37" t="s">
        <v>518</v>
      </c>
      <c r="J78" s="37" t="s">
        <v>930</v>
      </c>
      <c r="K78" s="17" t="s">
        <v>931</v>
      </c>
      <c r="L78" s="37" t="s">
        <v>932</v>
      </c>
      <c r="M78" s="37" t="s">
        <v>982</v>
      </c>
      <c r="N78" s="56" t="s">
        <v>9</v>
      </c>
      <c r="O78" s="55" t="s">
        <v>4</v>
      </c>
      <c r="P78" s="55" t="s">
        <v>4</v>
      </c>
      <c r="Q78" s="37" t="s">
        <v>444</v>
      </c>
      <c r="R78" s="37" t="s">
        <v>985</v>
      </c>
      <c r="S78" s="55" t="s">
        <v>4</v>
      </c>
      <c r="T78" s="37" t="s">
        <v>986</v>
      </c>
      <c r="U78" s="55" t="s">
        <v>4</v>
      </c>
      <c r="V78" s="37" t="s">
        <v>987</v>
      </c>
      <c r="W78" s="37" t="s">
        <v>937</v>
      </c>
      <c r="X78" s="55" t="s">
        <v>4</v>
      </c>
      <c r="Y78" s="55" t="s">
        <v>4</v>
      </c>
      <c r="Z78" s="55" t="s">
        <v>4</v>
      </c>
      <c r="AA78" s="37" t="s">
        <v>391</v>
      </c>
      <c r="AB78" s="28"/>
      <c r="AC78" s="24"/>
      <c r="AD78" s="24"/>
    </row>
    <row r="79">
      <c r="A79" s="25"/>
      <c r="B79" s="17" t="s">
        <v>988</v>
      </c>
      <c r="C79" s="17">
        <v>9.508652602E9</v>
      </c>
      <c r="D79" s="17">
        <v>39.0</v>
      </c>
      <c r="E79" s="55" t="s">
        <v>367</v>
      </c>
      <c r="F79" s="37" t="s">
        <v>441</v>
      </c>
      <c r="G79" s="37" t="s">
        <v>518</v>
      </c>
      <c r="H79" s="52"/>
      <c r="I79" s="37" t="s">
        <v>518</v>
      </c>
      <c r="J79" s="37" t="s">
        <v>930</v>
      </c>
      <c r="K79" s="17" t="s">
        <v>931</v>
      </c>
      <c r="L79" s="37" t="s">
        <v>932</v>
      </c>
      <c r="M79" s="37" t="s">
        <v>982</v>
      </c>
      <c r="N79" s="56" t="s">
        <v>9</v>
      </c>
      <c r="O79" s="55" t="s">
        <v>4</v>
      </c>
      <c r="P79" s="55" t="s">
        <v>4</v>
      </c>
      <c r="Q79" s="37" t="s">
        <v>444</v>
      </c>
      <c r="R79" s="52"/>
      <c r="S79" s="55" t="s">
        <v>4</v>
      </c>
      <c r="T79" s="37" t="s">
        <v>959</v>
      </c>
      <c r="U79" s="55" t="s">
        <v>4</v>
      </c>
      <c r="V79" s="37" t="s">
        <v>989</v>
      </c>
      <c r="W79" s="37" t="s">
        <v>937</v>
      </c>
      <c r="X79" s="55" t="s">
        <v>4</v>
      </c>
      <c r="Y79" s="55" t="s">
        <v>4</v>
      </c>
      <c r="Z79" s="55" t="s">
        <v>4</v>
      </c>
      <c r="AA79" s="37" t="s">
        <v>391</v>
      </c>
      <c r="AB79" s="28"/>
      <c r="AC79" s="24"/>
      <c r="AD79" s="24"/>
    </row>
    <row r="80">
      <c r="A80" s="25"/>
      <c r="B80" s="17" t="s">
        <v>990</v>
      </c>
      <c r="C80" s="17">
        <v>7.543848949E9</v>
      </c>
      <c r="D80" s="17"/>
      <c r="E80" s="55"/>
      <c r="F80" s="52"/>
      <c r="G80" s="52"/>
      <c r="H80" s="52"/>
      <c r="I80" s="52"/>
      <c r="J80" s="37" t="s">
        <v>930</v>
      </c>
      <c r="K80" s="17" t="s">
        <v>931</v>
      </c>
      <c r="L80" s="52"/>
      <c r="M80" s="52"/>
      <c r="N80" s="56" t="s">
        <v>13</v>
      </c>
      <c r="O80" s="55"/>
      <c r="P80" s="55"/>
      <c r="Q80" s="52"/>
      <c r="R80" s="52"/>
      <c r="S80" s="55"/>
      <c r="T80" s="52"/>
      <c r="U80" s="55"/>
      <c r="V80" s="52"/>
      <c r="W80" s="52"/>
      <c r="X80" s="55"/>
      <c r="Y80" s="55"/>
      <c r="Z80" s="55"/>
      <c r="AA80" s="37"/>
      <c r="AB80" s="28"/>
      <c r="AC80" s="24"/>
      <c r="AD80" s="24"/>
    </row>
    <row r="81">
      <c r="A81" s="25"/>
      <c r="B81" s="17" t="s">
        <v>991</v>
      </c>
      <c r="C81" s="17">
        <v>8.092728916E9</v>
      </c>
      <c r="D81" s="17"/>
      <c r="E81" s="55"/>
      <c r="F81" s="52"/>
      <c r="G81" s="52"/>
      <c r="H81" s="52"/>
      <c r="I81" s="52"/>
      <c r="J81" s="37" t="s">
        <v>930</v>
      </c>
      <c r="K81" s="17" t="s">
        <v>931</v>
      </c>
      <c r="L81" s="52"/>
      <c r="M81" s="52"/>
      <c r="N81" s="56" t="s">
        <v>27</v>
      </c>
      <c r="O81" s="55"/>
      <c r="P81" s="55"/>
      <c r="Q81" s="52"/>
      <c r="R81" s="52"/>
      <c r="S81" s="55"/>
      <c r="T81" s="52"/>
      <c r="U81" s="55"/>
      <c r="V81" s="52"/>
      <c r="W81" s="52"/>
      <c r="X81" s="55"/>
      <c r="Y81" s="55"/>
      <c r="Z81" s="55"/>
      <c r="AA81" s="37"/>
      <c r="AB81" s="28"/>
      <c r="AC81" s="24"/>
      <c r="AD81" s="24"/>
    </row>
    <row r="82">
      <c r="A82" s="25"/>
      <c r="B82" s="17" t="s">
        <v>992</v>
      </c>
      <c r="C82" s="17">
        <v>9.113325794E9</v>
      </c>
      <c r="D82" s="17">
        <v>29.0</v>
      </c>
      <c r="E82" s="55" t="s">
        <v>367</v>
      </c>
      <c r="F82" s="37" t="s">
        <v>536</v>
      </c>
      <c r="G82" s="37" t="s">
        <v>518</v>
      </c>
      <c r="H82" s="37" t="s">
        <v>512</v>
      </c>
      <c r="I82" s="37" t="s">
        <v>518</v>
      </c>
      <c r="J82" s="37" t="s">
        <v>930</v>
      </c>
      <c r="K82" s="17" t="s">
        <v>931</v>
      </c>
      <c r="L82" s="37" t="s">
        <v>932</v>
      </c>
      <c r="M82" s="37" t="s">
        <v>993</v>
      </c>
      <c r="N82" s="56" t="s">
        <v>9</v>
      </c>
      <c r="O82" s="55" t="s">
        <v>4</v>
      </c>
      <c r="P82" s="55" t="s">
        <v>4</v>
      </c>
      <c r="Q82" s="37" t="s">
        <v>444</v>
      </c>
      <c r="R82" s="37" t="s">
        <v>994</v>
      </c>
      <c r="S82" s="55" t="s">
        <v>380</v>
      </c>
      <c r="T82" s="52"/>
      <c r="U82" s="55" t="s">
        <v>380</v>
      </c>
      <c r="V82" s="52"/>
      <c r="W82" s="37" t="s">
        <v>937</v>
      </c>
      <c r="X82" s="55" t="s">
        <v>4</v>
      </c>
      <c r="Y82" s="55" t="s">
        <v>4</v>
      </c>
      <c r="Z82" s="55" t="s">
        <v>4</v>
      </c>
      <c r="AA82" s="37" t="s">
        <v>391</v>
      </c>
      <c r="AB82" s="28"/>
      <c r="AC82" s="24"/>
      <c r="AD82" s="24"/>
    </row>
    <row r="83">
      <c r="A83" s="25"/>
      <c r="B83" s="17" t="s">
        <v>995</v>
      </c>
      <c r="C83" s="17">
        <v>8.292199733E9</v>
      </c>
      <c r="D83" s="17">
        <v>32.0</v>
      </c>
      <c r="E83" s="55" t="s">
        <v>367</v>
      </c>
      <c r="F83" s="37" t="s">
        <v>996</v>
      </c>
      <c r="G83" s="37" t="s">
        <v>518</v>
      </c>
      <c r="H83" s="37" t="s">
        <v>512</v>
      </c>
      <c r="I83" s="37" t="s">
        <v>518</v>
      </c>
      <c r="J83" s="37" t="s">
        <v>930</v>
      </c>
      <c r="K83" s="17" t="s">
        <v>931</v>
      </c>
      <c r="L83" s="37" t="s">
        <v>932</v>
      </c>
      <c r="M83" s="37" t="s">
        <v>997</v>
      </c>
      <c r="N83" s="56" t="s">
        <v>9</v>
      </c>
      <c r="O83" s="55" t="s">
        <v>4</v>
      </c>
      <c r="P83" s="55" t="s">
        <v>4</v>
      </c>
      <c r="Q83" s="37" t="s">
        <v>444</v>
      </c>
      <c r="R83" s="52"/>
      <c r="S83" s="55" t="s">
        <v>380</v>
      </c>
      <c r="T83" s="52"/>
      <c r="U83" s="55" t="s">
        <v>380</v>
      </c>
      <c r="V83" s="52"/>
      <c r="W83" s="37" t="s">
        <v>937</v>
      </c>
      <c r="X83" s="55" t="s">
        <v>4</v>
      </c>
      <c r="Y83" s="55" t="s">
        <v>4</v>
      </c>
      <c r="Z83" s="55" t="s">
        <v>4</v>
      </c>
      <c r="AA83" s="37" t="s">
        <v>391</v>
      </c>
      <c r="AB83" s="28"/>
      <c r="AC83" s="24"/>
      <c r="AD83" s="24"/>
    </row>
    <row r="84">
      <c r="A84" s="25"/>
      <c r="B84" s="17" t="s">
        <v>998</v>
      </c>
      <c r="C84" s="17">
        <v>9.955445933E9</v>
      </c>
      <c r="D84" s="17"/>
      <c r="E84" s="55"/>
      <c r="F84" s="52"/>
      <c r="G84" s="52"/>
      <c r="H84" s="52"/>
      <c r="I84" s="52"/>
      <c r="J84" s="37" t="s">
        <v>930</v>
      </c>
      <c r="K84" s="17" t="s">
        <v>931</v>
      </c>
      <c r="L84" s="52"/>
      <c r="M84" s="52"/>
      <c r="N84" s="56" t="s">
        <v>23</v>
      </c>
      <c r="O84" s="55"/>
      <c r="P84" s="55"/>
      <c r="Q84" s="52"/>
      <c r="R84" s="52"/>
      <c r="S84" s="55"/>
      <c r="T84" s="52"/>
      <c r="U84" s="55"/>
      <c r="V84" s="52"/>
      <c r="W84" s="52"/>
      <c r="X84" s="55"/>
      <c r="Y84" s="55"/>
      <c r="Z84" s="55"/>
      <c r="AA84" s="37"/>
      <c r="AB84" s="28"/>
      <c r="AC84" s="24"/>
      <c r="AD84" s="24"/>
    </row>
    <row r="85">
      <c r="A85" s="25"/>
      <c r="B85" s="17" t="s">
        <v>999</v>
      </c>
      <c r="C85" s="17">
        <v>9.30491355E9</v>
      </c>
      <c r="D85" s="17">
        <v>27.0</v>
      </c>
      <c r="E85" s="55" t="s">
        <v>367</v>
      </c>
      <c r="F85" s="37" t="s">
        <v>1000</v>
      </c>
      <c r="G85" s="37" t="s">
        <v>518</v>
      </c>
      <c r="H85" s="37" t="s">
        <v>1001</v>
      </c>
      <c r="I85" s="37" t="s">
        <v>518</v>
      </c>
      <c r="J85" s="37" t="s">
        <v>930</v>
      </c>
      <c r="K85" s="17" t="s">
        <v>931</v>
      </c>
      <c r="L85" s="37" t="s">
        <v>932</v>
      </c>
      <c r="M85" s="37" t="s">
        <v>1002</v>
      </c>
      <c r="N85" s="56" t="s">
        <v>9</v>
      </c>
      <c r="O85" s="55" t="s">
        <v>4</v>
      </c>
      <c r="P85" s="55" t="s">
        <v>380</v>
      </c>
      <c r="Q85" s="52"/>
      <c r="R85" s="37" t="s">
        <v>1003</v>
      </c>
      <c r="S85" s="55" t="s">
        <v>4</v>
      </c>
      <c r="T85" s="37" t="s">
        <v>1004</v>
      </c>
      <c r="U85" s="55" t="s">
        <v>4</v>
      </c>
      <c r="V85" s="37" t="s">
        <v>1005</v>
      </c>
      <c r="W85" s="37" t="s">
        <v>937</v>
      </c>
      <c r="X85" s="55" t="s">
        <v>4</v>
      </c>
      <c r="Y85" s="55" t="s">
        <v>4</v>
      </c>
      <c r="Z85" s="55" t="s">
        <v>4</v>
      </c>
      <c r="AA85" s="37" t="s">
        <v>391</v>
      </c>
      <c r="AB85" s="28"/>
      <c r="AC85" s="24"/>
      <c r="AD85" s="24"/>
    </row>
    <row r="86">
      <c r="A86" s="25"/>
      <c r="B86" s="17" t="s">
        <v>1006</v>
      </c>
      <c r="C86" s="17">
        <v>6.377194795E9</v>
      </c>
      <c r="D86" s="17">
        <v>28.0</v>
      </c>
      <c r="E86" s="55" t="s">
        <v>367</v>
      </c>
      <c r="F86" s="37" t="s">
        <v>382</v>
      </c>
      <c r="G86" s="37" t="s">
        <v>518</v>
      </c>
      <c r="H86" s="37" t="s">
        <v>512</v>
      </c>
      <c r="I86" s="37" t="s">
        <v>518</v>
      </c>
      <c r="J86" s="37" t="s">
        <v>930</v>
      </c>
      <c r="K86" s="17" t="s">
        <v>931</v>
      </c>
      <c r="L86" s="37" t="s">
        <v>932</v>
      </c>
      <c r="M86" s="37" t="s">
        <v>1007</v>
      </c>
      <c r="N86" s="56" t="s">
        <v>9</v>
      </c>
      <c r="O86" s="55" t="s">
        <v>4</v>
      </c>
      <c r="P86" s="55" t="s">
        <v>380</v>
      </c>
      <c r="Q86" s="52"/>
      <c r="R86" s="52"/>
      <c r="S86" s="55" t="s">
        <v>380</v>
      </c>
      <c r="T86" s="52"/>
      <c r="U86" s="55" t="s">
        <v>380</v>
      </c>
      <c r="V86" s="52"/>
      <c r="W86" s="37" t="s">
        <v>937</v>
      </c>
      <c r="X86" s="55" t="s">
        <v>4</v>
      </c>
      <c r="Y86" s="55" t="s">
        <v>4</v>
      </c>
      <c r="Z86" s="55" t="s">
        <v>4</v>
      </c>
      <c r="AA86" s="37" t="s">
        <v>391</v>
      </c>
      <c r="AB86" s="28"/>
      <c r="AC86" s="24"/>
      <c r="AD86" s="24"/>
    </row>
    <row r="87">
      <c r="A87" s="25"/>
      <c r="B87" s="17" t="s">
        <v>1008</v>
      </c>
      <c r="C87" s="17">
        <v>7.091361785E9</v>
      </c>
      <c r="D87" s="17"/>
      <c r="E87" s="55"/>
      <c r="F87" s="52"/>
      <c r="G87" s="52"/>
      <c r="H87" s="52"/>
      <c r="I87" s="52"/>
      <c r="J87" s="37" t="s">
        <v>930</v>
      </c>
      <c r="K87" s="17" t="s">
        <v>931</v>
      </c>
      <c r="L87" s="52"/>
      <c r="M87" s="52"/>
      <c r="N87" s="56" t="s">
        <v>23</v>
      </c>
      <c r="O87" s="55"/>
      <c r="P87" s="55"/>
      <c r="Q87" s="52"/>
      <c r="R87" s="52"/>
      <c r="S87" s="55"/>
      <c r="T87" s="52"/>
      <c r="U87" s="55"/>
      <c r="V87" s="52"/>
      <c r="W87" s="52"/>
      <c r="X87" s="55"/>
      <c r="Y87" s="55"/>
      <c r="Z87" s="55"/>
      <c r="AA87" s="37"/>
      <c r="AB87" s="28"/>
      <c r="AC87" s="24"/>
      <c r="AD87" s="24"/>
    </row>
    <row r="88">
      <c r="A88" s="25"/>
      <c r="B88" s="17" t="s">
        <v>1009</v>
      </c>
      <c r="C88" s="17">
        <v>8.084852393E9</v>
      </c>
      <c r="D88" s="17"/>
      <c r="E88" s="55"/>
      <c r="F88" s="52"/>
      <c r="G88" s="52"/>
      <c r="H88" s="52"/>
      <c r="I88" s="52"/>
      <c r="J88" s="37" t="s">
        <v>930</v>
      </c>
      <c r="K88" s="17" t="s">
        <v>931</v>
      </c>
      <c r="L88" s="52"/>
      <c r="M88" s="52"/>
      <c r="N88" s="56" t="s">
        <v>27</v>
      </c>
      <c r="O88" s="55"/>
      <c r="P88" s="55"/>
      <c r="Q88" s="52"/>
      <c r="R88" s="52"/>
      <c r="S88" s="55"/>
      <c r="T88" s="52"/>
      <c r="U88" s="55"/>
      <c r="V88" s="52"/>
      <c r="W88" s="52"/>
      <c r="X88" s="55"/>
      <c r="Y88" s="55"/>
      <c r="Z88" s="55"/>
      <c r="AA88" s="37"/>
      <c r="AB88" s="28"/>
      <c r="AC88" s="24"/>
      <c r="AD88" s="24"/>
    </row>
    <row r="89">
      <c r="A89" s="25"/>
      <c r="B89" s="17" t="s">
        <v>1010</v>
      </c>
      <c r="C89" s="17">
        <v>8.97241464E9</v>
      </c>
      <c r="D89" s="17">
        <v>31.0</v>
      </c>
      <c r="E89" s="55" t="s">
        <v>367</v>
      </c>
      <c r="F89" s="37" t="s">
        <v>1011</v>
      </c>
      <c r="G89" s="37" t="s">
        <v>518</v>
      </c>
      <c r="H89" s="37" t="s">
        <v>512</v>
      </c>
      <c r="I89" s="37" t="s">
        <v>518</v>
      </c>
      <c r="J89" s="37" t="s">
        <v>930</v>
      </c>
      <c r="K89" s="17" t="s">
        <v>931</v>
      </c>
      <c r="L89" s="37" t="s">
        <v>932</v>
      </c>
      <c r="M89" s="37" t="s">
        <v>1012</v>
      </c>
      <c r="N89" s="56" t="s">
        <v>9</v>
      </c>
      <c r="O89" s="55" t="s">
        <v>4</v>
      </c>
      <c r="P89" s="55" t="s">
        <v>380</v>
      </c>
      <c r="Q89" s="52"/>
      <c r="R89" s="52"/>
      <c r="S89" s="55" t="s">
        <v>4</v>
      </c>
      <c r="T89" s="37" t="s">
        <v>1013</v>
      </c>
      <c r="U89" s="55" t="s">
        <v>4</v>
      </c>
      <c r="V89" s="37" t="s">
        <v>1014</v>
      </c>
      <c r="W89" s="37" t="s">
        <v>937</v>
      </c>
      <c r="X89" s="55" t="s">
        <v>4</v>
      </c>
      <c r="Y89" s="55" t="s">
        <v>4</v>
      </c>
      <c r="Z89" s="55" t="s">
        <v>4</v>
      </c>
      <c r="AA89" s="37" t="s">
        <v>391</v>
      </c>
      <c r="AB89" s="28"/>
      <c r="AC89" s="24"/>
      <c r="AD89" s="24"/>
    </row>
    <row r="90">
      <c r="A90" s="25"/>
      <c r="B90" s="17" t="s">
        <v>1015</v>
      </c>
      <c r="C90" s="17">
        <v>7.488257331E9</v>
      </c>
      <c r="D90" s="17"/>
      <c r="E90" s="55"/>
      <c r="F90" s="52"/>
      <c r="G90" s="52"/>
      <c r="H90" s="52"/>
      <c r="I90" s="52"/>
      <c r="J90" s="37" t="s">
        <v>930</v>
      </c>
      <c r="K90" s="17" t="s">
        <v>931</v>
      </c>
      <c r="L90" s="52"/>
      <c r="M90" s="52"/>
      <c r="N90" s="56" t="s">
        <v>23</v>
      </c>
      <c r="O90" s="55"/>
      <c r="P90" s="55"/>
      <c r="Q90" s="52"/>
      <c r="R90" s="52"/>
      <c r="S90" s="55"/>
      <c r="T90" s="52"/>
      <c r="U90" s="55"/>
      <c r="V90" s="52"/>
      <c r="W90" s="52"/>
      <c r="X90" s="55"/>
      <c r="Y90" s="55"/>
      <c r="Z90" s="55"/>
      <c r="AA90" s="37"/>
      <c r="AB90" s="28"/>
      <c r="AC90" s="24"/>
      <c r="AD90" s="24"/>
    </row>
    <row r="91">
      <c r="A91" s="25"/>
      <c r="B91" s="17" t="s">
        <v>1016</v>
      </c>
      <c r="C91" s="17">
        <v>9.162258006E9</v>
      </c>
      <c r="D91" s="17">
        <v>29.0</v>
      </c>
      <c r="E91" s="55" t="s">
        <v>405</v>
      </c>
      <c r="F91" s="52"/>
      <c r="G91" s="37" t="s">
        <v>375</v>
      </c>
      <c r="H91" s="37" t="s">
        <v>407</v>
      </c>
      <c r="I91" s="37" t="s">
        <v>1017</v>
      </c>
      <c r="J91" s="37" t="s">
        <v>930</v>
      </c>
      <c r="K91" s="17" t="s">
        <v>931</v>
      </c>
      <c r="L91" s="37" t="s">
        <v>932</v>
      </c>
      <c r="M91" s="37" t="s">
        <v>1018</v>
      </c>
      <c r="N91" s="56" t="s">
        <v>9</v>
      </c>
      <c r="O91" s="55" t="s">
        <v>4</v>
      </c>
      <c r="P91" s="55" t="s">
        <v>380</v>
      </c>
      <c r="Q91" s="52"/>
      <c r="R91" s="52"/>
      <c r="S91" s="55" t="s">
        <v>380</v>
      </c>
      <c r="T91" s="52"/>
      <c r="U91" s="55" t="s">
        <v>380</v>
      </c>
      <c r="V91" s="52"/>
      <c r="W91" s="37" t="s">
        <v>937</v>
      </c>
      <c r="X91" s="55" t="s">
        <v>4</v>
      </c>
      <c r="Y91" s="55" t="s">
        <v>380</v>
      </c>
      <c r="Z91" s="55" t="s">
        <v>4</v>
      </c>
      <c r="AA91" s="37" t="s">
        <v>391</v>
      </c>
      <c r="AB91" s="28"/>
      <c r="AC91" s="24"/>
      <c r="AD91" s="24"/>
    </row>
    <row r="92">
      <c r="A92" s="25"/>
      <c r="B92" s="17" t="s">
        <v>1019</v>
      </c>
      <c r="C92" s="17">
        <v>8.102597758E9</v>
      </c>
      <c r="D92" s="17">
        <v>27.0</v>
      </c>
      <c r="E92" s="55" t="s">
        <v>367</v>
      </c>
      <c r="F92" s="52"/>
      <c r="G92" s="37" t="s">
        <v>375</v>
      </c>
      <c r="H92" s="37" t="s">
        <v>1020</v>
      </c>
      <c r="I92" s="37" t="s">
        <v>375</v>
      </c>
      <c r="J92" s="37" t="s">
        <v>930</v>
      </c>
      <c r="K92" s="17" t="s">
        <v>931</v>
      </c>
      <c r="L92" s="37" t="s">
        <v>932</v>
      </c>
      <c r="M92" s="37" t="s">
        <v>1018</v>
      </c>
      <c r="N92" s="56" t="s">
        <v>9</v>
      </c>
      <c r="O92" s="55" t="s">
        <v>4</v>
      </c>
      <c r="P92" s="55" t="s">
        <v>4</v>
      </c>
      <c r="Q92" s="52"/>
      <c r="R92" s="52"/>
      <c r="S92" s="55" t="s">
        <v>380</v>
      </c>
      <c r="T92" s="52"/>
      <c r="U92" s="55" t="s">
        <v>380</v>
      </c>
      <c r="V92" s="52"/>
      <c r="W92" s="37" t="s">
        <v>937</v>
      </c>
      <c r="X92" s="55" t="s">
        <v>4</v>
      </c>
      <c r="Y92" s="55" t="s">
        <v>4</v>
      </c>
      <c r="Z92" s="55" t="s">
        <v>4</v>
      </c>
      <c r="AA92" s="37" t="s">
        <v>391</v>
      </c>
      <c r="AB92" s="28"/>
      <c r="AC92" s="24"/>
      <c r="AD92" s="24"/>
    </row>
    <row r="93">
      <c r="A93" s="25"/>
      <c r="B93" s="17" t="s">
        <v>1021</v>
      </c>
      <c r="C93" s="17">
        <v>8.368302453E9</v>
      </c>
      <c r="D93" s="17">
        <v>38.0</v>
      </c>
      <c r="E93" s="55" t="s">
        <v>367</v>
      </c>
      <c r="F93" s="37" t="s">
        <v>441</v>
      </c>
      <c r="G93" s="37" t="s">
        <v>518</v>
      </c>
      <c r="H93" s="37" t="s">
        <v>512</v>
      </c>
      <c r="I93" s="37" t="s">
        <v>518</v>
      </c>
      <c r="J93" s="37" t="s">
        <v>930</v>
      </c>
      <c r="K93" s="17" t="s">
        <v>931</v>
      </c>
      <c r="L93" s="37" t="s">
        <v>932</v>
      </c>
      <c r="M93" s="37" t="s">
        <v>1022</v>
      </c>
      <c r="N93" s="56" t="s">
        <v>9</v>
      </c>
      <c r="O93" s="55" t="s">
        <v>4</v>
      </c>
      <c r="P93" s="55" t="s">
        <v>4</v>
      </c>
      <c r="Q93" s="37" t="s">
        <v>444</v>
      </c>
      <c r="R93" s="37" t="s">
        <v>1023</v>
      </c>
      <c r="S93" s="55" t="s">
        <v>4</v>
      </c>
      <c r="T93" s="37" t="s">
        <v>1024</v>
      </c>
      <c r="U93" s="55" t="s">
        <v>4</v>
      </c>
      <c r="V93" s="37" t="s">
        <v>1025</v>
      </c>
      <c r="W93" s="37" t="s">
        <v>937</v>
      </c>
      <c r="X93" s="55" t="s">
        <v>4</v>
      </c>
      <c r="Y93" s="55" t="s">
        <v>4</v>
      </c>
      <c r="Z93" s="55" t="s">
        <v>4</v>
      </c>
      <c r="AA93" s="37" t="s">
        <v>391</v>
      </c>
      <c r="AB93" s="28"/>
      <c r="AC93" s="24"/>
      <c r="AD93" s="24"/>
    </row>
    <row r="94">
      <c r="A94" s="25"/>
      <c r="B94" s="17" t="s">
        <v>1026</v>
      </c>
      <c r="C94" s="17">
        <v>9.304212043E9</v>
      </c>
      <c r="D94" s="17"/>
      <c r="E94" s="55"/>
      <c r="F94" s="52"/>
      <c r="G94" s="52"/>
      <c r="H94" s="52"/>
      <c r="I94" s="52"/>
      <c r="J94" s="37" t="s">
        <v>930</v>
      </c>
      <c r="K94" s="17" t="s">
        <v>931</v>
      </c>
      <c r="L94" s="52"/>
      <c r="M94" s="52"/>
      <c r="N94" s="56" t="s">
        <v>23</v>
      </c>
      <c r="O94" s="55"/>
      <c r="P94" s="55"/>
      <c r="Q94" s="52"/>
      <c r="R94" s="52"/>
      <c r="S94" s="55"/>
      <c r="T94" s="52"/>
      <c r="U94" s="55"/>
      <c r="V94" s="52"/>
      <c r="W94" s="52"/>
      <c r="X94" s="55"/>
      <c r="Y94" s="55"/>
      <c r="Z94" s="55"/>
      <c r="AA94" s="37"/>
      <c r="AB94" s="28"/>
      <c r="AC94" s="24"/>
      <c r="AD94" s="24"/>
    </row>
    <row r="95">
      <c r="A95" s="25"/>
      <c r="B95" s="17" t="s">
        <v>1027</v>
      </c>
      <c r="C95" s="17">
        <v>7.274878501E9</v>
      </c>
      <c r="D95" s="17">
        <v>33.0</v>
      </c>
      <c r="E95" s="55" t="s">
        <v>367</v>
      </c>
      <c r="F95" s="37" t="s">
        <v>1028</v>
      </c>
      <c r="G95" s="37" t="s">
        <v>375</v>
      </c>
      <c r="H95" s="37" t="s">
        <v>383</v>
      </c>
      <c r="I95" s="37" t="s">
        <v>1029</v>
      </c>
      <c r="J95" s="37" t="s">
        <v>930</v>
      </c>
      <c r="K95" s="17" t="s">
        <v>931</v>
      </c>
      <c r="L95" s="37" t="s">
        <v>932</v>
      </c>
      <c r="M95" s="37" t="s">
        <v>1030</v>
      </c>
      <c r="N95" s="56" t="s">
        <v>9</v>
      </c>
      <c r="O95" s="55" t="s">
        <v>4</v>
      </c>
      <c r="P95" s="55" t="s">
        <v>380</v>
      </c>
      <c r="Q95" s="52"/>
      <c r="R95" s="52"/>
      <c r="S95" s="55" t="s">
        <v>380</v>
      </c>
      <c r="T95" s="52"/>
      <c r="U95" s="55" t="s">
        <v>380</v>
      </c>
      <c r="V95" s="52"/>
      <c r="W95" s="37" t="s">
        <v>937</v>
      </c>
      <c r="X95" s="55" t="s">
        <v>4</v>
      </c>
      <c r="Y95" s="55" t="s">
        <v>4</v>
      </c>
      <c r="Z95" s="55" t="s">
        <v>4</v>
      </c>
      <c r="AA95" s="37" t="s">
        <v>391</v>
      </c>
      <c r="AB95" s="28"/>
      <c r="AC95" s="24"/>
      <c r="AD95" s="24"/>
    </row>
    <row r="96">
      <c r="A96" s="25"/>
      <c r="B96" s="17" t="s">
        <v>1031</v>
      </c>
      <c r="C96" s="17">
        <v>6.299737282E9</v>
      </c>
      <c r="D96" s="17"/>
      <c r="E96" s="55"/>
      <c r="F96" s="52"/>
      <c r="G96" s="52"/>
      <c r="H96" s="52"/>
      <c r="I96" s="52"/>
      <c r="J96" s="37" t="s">
        <v>930</v>
      </c>
      <c r="K96" s="17" t="s">
        <v>931</v>
      </c>
      <c r="L96" s="52"/>
      <c r="M96" s="52"/>
      <c r="N96" s="56" t="s">
        <v>13</v>
      </c>
      <c r="O96" s="55"/>
      <c r="P96" s="55"/>
      <c r="Q96" s="52"/>
      <c r="R96" s="52"/>
      <c r="S96" s="55"/>
      <c r="T96" s="52"/>
      <c r="U96" s="55"/>
      <c r="V96" s="52"/>
      <c r="W96" s="52"/>
      <c r="X96" s="55"/>
      <c r="Y96" s="55"/>
      <c r="Z96" s="55"/>
      <c r="AA96" s="37"/>
      <c r="AB96" s="28"/>
      <c r="AC96" s="24"/>
      <c r="AD96" s="24"/>
    </row>
    <row r="97">
      <c r="A97" s="25"/>
      <c r="B97" s="17" t="s">
        <v>1032</v>
      </c>
      <c r="C97" s="17">
        <v>8.809354786E9</v>
      </c>
      <c r="D97" s="17"/>
      <c r="E97" s="55"/>
      <c r="F97" s="52"/>
      <c r="G97" s="52"/>
      <c r="H97" s="52"/>
      <c r="I97" s="52"/>
      <c r="J97" s="37" t="s">
        <v>930</v>
      </c>
      <c r="K97" s="17" t="s">
        <v>931</v>
      </c>
      <c r="L97" s="52"/>
      <c r="M97" s="52"/>
      <c r="N97" s="56" t="s">
        <v>13</v>
      </c>
      <c r="O97" s="55"/>
      <c r="P97" s="55"/>
      <c r="Q97" s="52"/>
      <c r="R97" s="52"/>
      <c r="S97" s="55"/>
      <c r="T97" s="52"/>
      <c r="U97" s="55"/>
      <c r="V97" s="52"/>
      <c r="W97" s="52"/>
      <c r="X97" s="55"/>
      <c r="Y97" s="55"/>
      <c r="Z97" s="55"/>
      <c r="AA97" s="37"/>
      <c r="AB97" s="28"/>
      <c r="AC97" s="24"/>
      <c r="AD97" s="24"/>
    </row>
    <row r="98">
      <c r="A98" s="25"/>
      <c r="B98" s="17" t="s">
        <v>1033</v>
      </c>
      <c r="C98" s="17">
        <v>7.739969599E9</v>
      </c>
      <c r="D98" s="17"/>
      <c r="E98" s="55"/>
      <c r="F98" s="52"/>
      <c r="G98" s="52"/>
      <c r="H98" s="52"/>
      <c r="I98" s="52"/>
      <c r="J98" s="37" t="s">
        <v>930</v>
      </c>
      <c r="K98" s="17" t="s">
        <v>931</v>
      </c>
      <c r="L98" s="52"/>
      <c r="M98" s="52"/>
      <c r="N98" s="56" t="s">
        <v>13</v>
      </c>
      <c r="O98" s="55"/>
      <c r="P98" s="55"/>
      <c r="Q98" s="52"/>
      <c r="R98" s="52"/>
      <c r="S98" s="55"/>
      <c r="T98" s="52"/>
      <c r="U98" s="55"/>
      <c r="V98" s="52"/>
      <c r="W98" s="52"/>
      <c r="X98" s="55"/>
      <c r="Y98" s="55"/>
      <c r="Z98" s="55"/>
      <c r="AA98" s="37"/>
      <c r="AB98" s="28"/>
      <c r="AC98" s="24"/>
      <c r="AD98" s="24"/>
    </row>
    <row r="99">
      <c r="A99" s="25"/>
      <c r="B99" s="17" t="s">
        <v>991</v>
      </c>
      <c r="C99" s="17">
        <v>6.202368484E9</v>
      </c>
      <c r="D99" s="17">
        <v>49.0</v>
      </c>
      <c r="E99" s="55" t="s">
        <v>367</v>
      </c>
      <c r="F99" s="52"/>
      <c r="G99" s="37" t="s">
        <v>375</v>
      </c>
      <c r="H99" s="37" t="s">
        <v>407</v>
      </c>
      <c r="I99" s="37" t="s">
        <v>1017</v>
      </c>
      <c r="J99" s="37" t="s">
        <v>930</v>
      </c>
      <c r="K99" s="17" t="s">
        <v>931</v>
      </c>
      <c r="L99" s="37" t="s">
        <v>932</v>
      </c>
      <c r="M99" s="37" t="s">
        <v>1034</v>
      </c>
      <c r="N99" s="56" t="s">
        <v>9</v>
      </c>
      <c r="O99" s="55" t="s">
        <v>4</v>
      </c>
      <c r="P99" s="55" t="s">
        <v>4</v>
      </c>
      <c r="Q99" s="37" t="s">
        <v>444</v>
      </c>
      <c r="R99" s="52"/>
      <c r="S99" s="55" t="s">
        <v>4</v>
      </c>
      <c r="T99" s="37" t="s">
        <v>1035</v>
      </c>
      <c r="U99" s="55" t="s">
        <v>380</v>
      </c>
      <c r="V99" s="52"/>
      <c r="W99" s="37" t="s">
        <v>937</v>
      </c>
      <c r="X99" s="55" t="s">
        <v>4</v>
      </c>
      <c r="Y99" s="55" t="s">
        <v>4</v>
      </c>
      <c r="Z99" s="55" t="s">
        <v>4</v>
      </c>
      <c r="AA99" s="37" t="s">
        <v>391</v>
      </c>
      <c r="AB99" s="28"/>
      <c r="AC99" s="24"/>
      <c r="AD99" s="24"/>
    </row>
    <row r="100">
      <c r="A100" s="25"/>
      <c r="B100" s="17" t="s">
        <v>1036</v>
      </c>
      <c r="C100" s="17">
        <v>9.650501192E9</v>
      </c>
      <c r="D100" s="17">
        <v>34.0</v>
      </c>
      <c r="E100" s="55" t="s">
        <v>367</v>
      </c>
      <c r="F100" s="52"/>
      <c r="G100" s="37" t="s">
        <v>518</v>
      </c>
      <c r="H100" s="37" t="s">
        <v>407</v>
      </c>
      <c r="I100" s="37" t="s">
        <v>518</v>
      </c>
      <c r="J100" s="37" t="s">
        <v>930</v>
      </c>
      <c r="K100" s="17" t="s">
        <v>931</v>
      </c>
      <c r="L100" s="37" t="s">
        <v>932</v>
      </c>
      <c r="M100" s="37" t="s">
        <v>1037</v>
      </c>
      <c r="N100" s="56" t="s">
        <v>9</v>
      </c>
      <c r="O100" s="55" t="s">
        <v>4</v>
      </c>
      <c r="P100" s="55" t="s">
        <v>4</v>
      </c>
      <c r="Q100" s="37" t="s">
        <v>444</v>
      </c>
      <c r="R100" s="52"/>
      <c r="S100" s="55" t="s">
        <v>4</v>
      </c>
      <c r="T100" s="37" t="s">
        <v>1038</v>
      </c>
      <c r="U100" s="55" t="s">
        <v>4</v>
      </c>
      <c r="V100" s="37" t="s">
        <v>1039</v>
      </c>
      <c r="W100" s="37" t="s">
        <v>1040</v>
      </c>
      <c r="X100" s="55" t="s">
        <v>4</v>
      </c>
      <c r="Y100" s="55" t="s">
        <v>4</v>
      </c>
      <c r="Z100" s="55" t="s">
        <v>4</v>
      </c>
      <c r="AA100" s="37" t="s">
        <v>391</v>
      </c>
      <c r="AB100" s="28"/>
      <c r="AC100" s="24"/>
      <c r="AD100" s="24"/>
    </row>
    <row r="101">
      <c r="A101" s="25"/>
      <c r="B101" s="17" t="s">
        <v>1041</v>
      </c>
      <c r="C101" s="17">
        <v>9.934019475E9</v>
      </c>
      <c r="D101" s="17">
        <v>36.0</v>
      </c>
      <c r="E101" s="55" t="s">
        <v>367</v>
      </c>
      <c r="F101" s="52"/>
      <c r="G101" s="37" t="s">
        <v>518</v>
      </c>
      <c r="H101" s="37" t="s">
        <v>1042</v>
      </c>
      <c r="I101" s="37" t="s">
        <v>518</v>
      </c>
      <c r="J101" s="37" t="s">
        <v>930</v>
      </c>
      <c r="K101" s="17" t="s">
        <v>931</v>
      </c>
      <c r="L101" s="37" t="s">
        <v>1043</v>
      </c>
      <c r="M101" s="37" t="s">
        <v>1044</v>
      </c>
      <c r="N101" s="56" t="s">
        <v>9</v>
      </c>
      <c r="O101" s="55" t="s">
        <v>4</v>
      </c>
      <c r="P101" s="55" t="s">
        <v>4</v>
      </c>
      <c r="Q101" s="37" t="s">
        <v>444</v>
      </c>
      <c r="R101" s="52"/>
      <c r="S101" s="55" t="s">
        <v>4</v>
      </c>
      <c r="T101" s="37" t="s">
        <v>1045</v>
      </c>
      <c r="U101" s="55" t="s">
        <v>4</v>
      </c>
      <c r="V101" s="37" t="s">
        <v>1046</v>
      </c>
      <c r="W101" s="37" t="s">
        <v>1040</v>
      </c>
      <c r="X101" s="55" t="s">
        <v>4</v>
      </c>
      <c r="Y101" s="55" t="s">
        <v>4</v>
      </c>
      <c r="Z101" s="55" t="s">
        <v>4</v>
      </c>
      <c r="AA101" s="37" t="s">
        <v>391</v>
      </c>
      <c r="AB101" s="28"/>
      <c r="AC101" s="24"/>
      <c r="AD101" s="24"/>
    </row>
    <row r="102">
      <c r="A102" s="25"/>
      <c r="B102" s="17" t="s">
        <v>1047</v>
      </c>
      <c r="C102" s="17">
        <v>9.973950437E9</v>
      </c>
      <c r="D102" s="17">
        <v>55.0</v>
      </c>
      <c r="E102" s="55" t="s">
        <v>367</v>
      </c>
      <c r="F102" s="52"/>
      <c r="G102" s="37" t="s">
        <v>375</v>
      </c>
      <c r="H102" s="37" t="s">
        <v>637</v>
      </c>
      <c r="I102" s="37" t="s">
        <v>1048</v>
      </c>
      <c r="J102" s="37" t="s">
        <v>930</v>
      </c>
      <c r="K102" s="17" t="s">
        <v>931</v>
      </c>
      <c r="L102" s="37" t="s">
        <v>932</v>
      </c>
      <c r="M102" s="37" t="s">
        <v>1049</v>
      </c>
      <c r="N102" s="56" t="s">
        <v>9</v>
      </c>
      <c r="O102" s="55" t="s">
        <v>4</v>
      </c>
      <c r="P102" s="55" t="s">
        <v>4</v>
      </c>
      <c r="Q102" s="37" t="s">
        <v>444</v>
      </c>
      <c r="R102" s="52"/>
      <c r="S102" s="55" t="s">
        <v>4</v>
      </c>
      <c r="T102" s="37" t="s">
        <v>1050</v>
      </c>
      <c r="U102" s="55" t="s">
        <v>4</v>
      </c>
      <c r="V102" s="37" t="s">
        <v>1051</v>
      </c>
      <c r="W102" s="37" t="s">
        <v>1040</v>
      </c>
      <c r="X102" s="55" t="s">
        <v>4</v>
      </c>
      <c r="Y102" s="55" t="s">
        <v>4</v>
      </c>
      <c r="Z102" s="55" t="s">
        <v>4</v>
      </c>
      <c r="AA102" s="37" t="s">
        <v>391</v>
      </c>
      <c r="AB102" s="28"/>
      <c r="AC102" s="24"/>
      <c r="AD102" s="24"/>
    </row>
    <row r="103">
      <c r="A103" s="31"/>
      <c r="B103" s="17" t="s">
        <v>1052</v>
      </c>
      <c r="C103" s="18">
        <v>9.931730841E9</v>
      </c>
      <c r="D103" s="26">
        <v>33.0</v>
      </c>
      <c r="E103" s="55" t="s">
        <v>367</v>
      </c>
      <c r="F103" s="26" t="s">
        <v>441</v>
      </c>
      <c r="G103" s="26" t="s">
        <v>551</v>
      </c>
      <c r="H103" s="26" t="s">
        <v>383</v>
      </c>
      <c r="I103" s="26" t="s">
        <v>880</v>
      </c>
      <c r="J103" s="37" t="s">
        <v>930</v>
      </c>
      <c r="K103" s="17" t="s">
        <v>931</v>
      </c>
      <c r="L103" s="26" t="s">
        <v>1053</v>
      </c>
      <c r="M103" s="26" t="s">
        <v>1044</v>
      </c>
      <c r="N103" s="56" t="s">
        <v>9</v>
      </c>
      <c r="O103" s="55" t="s">
        <v>4</v>
      </c>
      <c r="P103" s="55" t="s">
        <v>4</v>
      </c>
      <c r="Q103" s="26" t="s">
        <v>867</v>
      </c>
      <c r="R103" s="26" t="s">
        <v>652</v>
      </c>
      <c r="S103" s="55" t="s">
        <v>4</v>
      </c>
      <c r="T103" s="37"/>
      <c r="U103" s="55" t="s">
        <v>4</v>
      </c>
      <c r="V103" s="37"/>
      <c r="W103" s="37" t="s">
        <v>869</v>
      </c>
      <c r="X103" s="55" t="s">
        <v>4</v>
      </c>
      <c r="Y103" s="55" t="s">
        <v>4</v>
      </c>
      <c r="Z103" s="55" t="s">
        <v>4</v>
      </c>
      <c r="AA103" s="37" t="s">
        <v>391</v>
      </c>
      <c r="AB103" s="28"/>
      <c r="AC103" s="24"/>
      <c r="AD103" s="24"/>
    </row>
    <row r="105">
      <c r="B105" s="105" t="s">
        <v>1822</v>
      </c>
      <c r="C105" s="105" t="s">
        <v>1823</v>
      </c>
      <c r="D105" s="105" t="s">
        <v>1824</v>
      </c>
      <c r="E105" s="105" t="s">
        <v>1825</v>
      </c>
      <c r="F105" s="105" t="s">
        <v>391</v>
      </c>
      <c r="G105" s="105" t="s">
        <v>1826</v>
      </c>
      <c r="H105" s="105" t="s">
        <v>23</v>
      </c>
      <c r="I105" s="105" t="s">
        <v>13</v>
      </c>
      <c r="J105" s="105" t="s">
        <v>1827</v>
      </c>
      <c r="K105" s="105" t="s">
        <v>1828</v>
      </c>
      <c r="L105" s="105" t="s">
        <v>54</v>
      </c>
      <c r="M105" s="105" t="s">
        <v>3</v>
      </c>
      <c r="N105" s="129" t="s">
        <v>1829</v>
      </c>
    </row>
    <row r="106">
      <c r="B106" s="109" t="s">
        <v>931</v>
      </c>
      <c r="C106" s="112" t="s">
        <v>1836</v>
      </c>
      <c r="D106" s="110">
        <v>47.0</v>
      </c>
      <c r="E106" s="109">
        <v>29.0</v>
      </c>
      <c r="F106" s="109">
        <v>29.0</v>
      </c>
      <c r="G106" s="109">
        <v>0.0</v>
      </c>
      <c r="H106" s="109">
        <v>7.0</v>
      </c>
      <c r="I106" s="110">
        <v>9.0</v>
      </c>
      <c r="J106" s="109">
        <v>2.0</v>
      </c>
      <c r="K106" s="109">
        <v>0.0</v>
      </c>
      <c r="L106" s="110">
        <v>0.0</v>
      </c>
      <c r="M106" s="111"/>
      <c r="N106" s="113">
        <v>45866.0</v>
      </c>
      <c r="O106" s="87"/>
    </row>
  </sheetData>
  <mergeCells count="2">
    <mergeCell ref="A1:C5"/>
    <mergeCell ref="A57:A103"/>
  </mergeCells>
  <dataValidations>
    <dataValidation type="list" allowBlank="1" showErrorMessage="1" sqref="O57:P103 S57:S103 U57:U103 X57:Z103">
      <formula1>"Yes,NO"</formula1>
    </dataValidation>
    <dataValidation type="list" allowBlank="1" showErrorMessage="1" sqref="E57:E103">
      <formula1>"Male,Female"</formula1>
    </dataValidation>
    <dataValidation type="list" allowBlank="1" showErrorMessage="1" sqref="D7:D35 N57:N103">
      <formula1>"Connected,Call Back Later,Busy,Switch off,Not Received,Wrong No."</formula1>
    </dataValidation>
    <dataValidation type="list" allowBlank="1" showErrorMessage="1" sqref="E7:E35">
      <formula1>"CONFIRMED,NOT CONFIRMED"</formula1>
    </dataValidation>
    <dataValidation type="list" allowBlank="1" showErrorMessage="1" sqref="AA57:AA103">
      <formula1>"Verified,Not Verified"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19.13"/>
  </cols>
  <sheetData>
    <row r="1">
      <c r="A1" s="68" t="s">
        <v>1852</v>
      </c>
      <c r="D1" s="3"/>
      <c r="E1" s="3"/>
      <c r="F1" s="3"/>
    </row>
    <row r="2">
      <c r="D2" s="3"/>
      <c r="E2" s="3"/>
      <c r="F2" s="3"/>
    </row>
    <row r="3">
      <c r="D3" s="3"/>
      <c r="E3" s="3"/>
      <c r="F3" s="3"/>
    </row>
    <row r="4" ht="11.25" customHeight="1">
      <c r="D4" s="3"/>
      <c r="E4" s="3"/>
      <c r="F4" s="3"/>
    </row>
    <row r="5" ht="15.75" customHeight="1">
      <c r="D5" s="3"/>
      <c r="E5" s="3"/>
      <c r="F5" s="3"/>
    </row>
    <row r="6">
      <c r="A6" s="72" t="s">
        <v>5</v>
      </c>
      <c r="B6" s="72" t="s">
        <v>6</v>
      </c>
      <c r="C6" s="72" t="s">
        <v>7</v>
      </c>
      <c r="D6" s="73" t="s">
        <v>1738</v>
      </c>
      <c r="E6" s="74" t="s">
        <v>2</v>
      </c>
      <c r="F6" s="91" t="s">
        <v>3</v>
      </c>
      <c r="G6" s="92"/>
    </row>
    <row r="7">
      <c r="A7" s="39">
        <v>1.0</v>
      </c>
      <c r="B7" s="17" t="s">
        <v>1363</v>
      </c>
      <c r="C7" s="17">
        <v>9.430081363E9</v>
      </c>
      <c r="D7" s="20" t="s">
        <v>9</v>
      </c>
      <c r="E7" s="20" t="s">
        <v>1623</v>
      </c>
    </row>
    <row r="8">
      <c r="A8" s="39">
        <v>2.0</v>
      </c>
      <c r="B8" s="17" t="s">
        <v>1370</v>
      </c>
      <c r="C8" s="17">
        <v>9.608007073E9</v>
      </c>
      <c r="D8" s="20" t="s">
        <v>9</v>
      </c>
      <c r="E8" s="20" t="s">
        <v>1623</v>
      </c>
    </row>
    <row r="9">
      <c r="A9" s="39">
        <v>3.0</v>
      </c>
      <c r="B9" s="17" t="s">
        <v>1373</v>
      </c>
      <c r="C9" s="17">
        <v>7.908608094E9</v>
      </c>
      <c r="D9" s="20" t="s">
        <v>9</v>
      </c>
      <c r="E9" s="20" t="s">
        <v>1623</v>
      </c>
    </row>
    <row r="10">
      <c r="A10" s="39">
        <v>4.0</v>
      </c>
      <c r="B10" s="17" t="s">
        <v>1376</v>
      </c>
      <c r="C10" s="17">
        <v>9.564198822E9</v>
      </c>
      <c r="D10" s="20" t="s">
        <v>13</v>
      </c>
      <c r="E10" s="22"/>
    </row>
    <row r="11">
      <c r="A11" s="39">
        <v>5.0</v>
      </c>
      <c r="B11" s="17" t="s">
        <v>1378</v>
      </c>
      <c r="C11" s="17">
        <v>6.206192169E9</v>
      </c>
      <c r="D11" s="20" t="s">
        <v>9</v>
      </c>
      <c r="E11" s="20" t="s">
        <v>1623</v>
      </c>
    </row>
    <row r="12">
      <c r="A12" s="39">
        <v>6.0</v>
      </c>
      <c r="B12" s="17" t="s">
        <v>1383</v>
      </c>
      <c r="C12" s="17">
        <v>6.201816401E9</v>
      </c>
      <c r="D12" s="20" t="s">
        <v>23</v>
      </c>
      <c r="E12" s="22"/>
    </row>
    <row r="13">
      <c r="A13" s="39">
        <v>7.0</v>
      </c>
      <c r="B13" s="17" t="s">
        <v>1386</v>
      </c>
      <c r="C13" s="17">
        <v>7.667519336E9</v>
      </c>
      <c r="D13" s="20" t="s">
        <v>9</v>
      </c>
      <c r="E13" s="20" t="s">
        <v>1623</v>
      </c>
    </row>
    <row r="14">
      <c r="A14" s="39">
        <v>8.0</v>
      </c>
      <c r="B14" s="17" t="s">
        <v>1388</v>
      </c>
      <c r="C14" s="17">
        <v>9.241370743E9</v>
      </c>
      <c r="D14" s="20" t="s">
        <v>23</v>
      </c>
      <c r="E14" s="22"/>
    </row>
    <row r="15">
      <c r="A15" s="39">
        <v>9.0</v>
      </c>
      <c r="B15" s="17" t="s">
        <v>1392</v>
      </c>
      <c r="C15" s="17">
        <v>8.521888445E9</v>
      </c>
      <c r="D15" s="20" t="s">
        <v>23</v>
      </c>
      <c r="E15" s="22"/>
    </row>
    <row r="16">
      <c r="A16" s="39">
        <v>10.0</v>
      </c>
      <c r="B16" s="17" t="s">
        <v>1395</v>
      </c>
      <c r="C16" s="17">
        <v>9.933904605E9</v>
      </c>
      <c r="D16" s="20" t="s">
        <v>9</v>
      </c>
      <c r="E16" s="20" t="s">
        <v>1623</v>
      </c>
    </row>
    <row r="17">
      <c r="A17" s="39">
        <v>11.0</v>
      </c>
      <c r="B17" s="17" t="s">
        <v>1399</v>
      </c>
      <c r="C17" s="17">
        <v>9.478685134E9</v>
      </c>
      <c r="D17" s="20" t="s">
        <v>23</v>
      </c>
      <c r="E17" s="22"/>
    </row>
    <row r="18">
      <c r="A18" s="39">
        <v>12.0</v>
      </c>
      <c r="B18" s="17" t="s">
        <v>1400</v>
      </c>
      <c r="C18" s="17">
        <v>9.113700252E9</v>
      </c>
      <c r="D18" s="20" t="s">
        <v>9</v>
      </c>
      <c r="E18" s="20" t="s">
        <v>1623</v>
      </c>
    </row>
    <row r="19">
      <c r="A19" s="39">
        <v>13.0</v>
      </c>
      <c r="B19" s="17" t="s">
        <v>1401</v>
      </c>
      <c r="C19" s="17">
        <v>7.292830314E9</v>
      </c>
      <c r="D19" s="20" t="s">
        <v>9</v>
      </c>
      <c r="E19" s="20" t="s">
        <v>1623</v>
      </c>
    </row>
    <row r="20">
      <c r="A20" s="39">
        <v>14.0</v>
      </c>
      <c r="B20" s="17" t="s">
        <v>1404</v>
      </c>
      <c r="C20" s="17">
        <v>6.201981464E9</v>
      </c>
      <c r="D20" s="20" t="s">
        <v>9</v>
      </c>
      <c r="E20" s="20" t="s">
        <v>1623</v>
      </c>
    </row>
    <row r="21">
      <c r="A21" s="39">
        <v>15.0</v>
      </c>
      <c r="B21" s="17" t="s">
        <v>1406</v>
      </c>
      <c r="C21" s="17">
        <v>7.739320475E9</v>
      </c>
      <c r="D21" s="20" t="s">
        <v>9</v>
      </c>
      <c r="E21" s="20" t="s">
        <v>1623</v>
      </c>
    </row>
    <row r="22">
      <c r="A22" s="39">
        <v>16.0</v>
      </c>
      <c r="B22" s="17" t="s">
        <v>1407</v>
      </c>
      <c r="C22" s="17">
        <v>9.234539898E9</v>
      </c>
      <c r="D22" s="20" t="s">
        <v>9</v>
      </c>
      <c r="E22" s="20" t="s">
        <v>1623</v>
      </c>
    </row>
    <row r="23">
      <c r="A23" s="39">
        <v>17.0</v>
      </c>
      <c r="B23" s="17" t="s">
        <v>1408</v>
      </c>
      <c r="C23" s="17">
        <v>6.299419122E9</v>
      </c>
      <c r="D23" s="20" t="s">
        <v>9</v>
      </c>
      <c r="E23" s="20" t="s">
        <v>1623</v>
      </c>
    </row>
    <row r="24">
      <c r="A24" s="39">
        <v>18.0</v>
      </c>
      <c r="B24" s="17" t="s">
        <v>1411</v>
      </c>
      <c r="C24" s="17">
        <v>6.202309302E9</v>
      </c>
      <c r="D24" s="20" t="s">
        <v>9</v>
      </c>
      <c r="E24" s="20" t="s">
        <v>1623</v>
      </c>
    </row>
    <row r="25">
      <c r="A25" s="39">
        <v>19.0</v>
      </c>
      <c r="B25" s="17" t="s">
        <v>1413</v>
      </c>
      <c r="C25" s="17">
        <v>6.201383079E9</v>
      </c>
      <c r="D25" s="20" t="s">
        <v>9</v>
      </c>
      <c r="E25" s="20" t="s">
        <v>1623</v>
      </c>
    </row>
    <row r="26">
      <c r="A26" s="39">
        <v>20.0</v>
      </c>
      <c r="B26" s="17" t="s">
        <v>1416</v>
      </c>
      <c r="C26" s="17">
        <v>9.631247871E9</v>
      </c>
      <c r="D26" s="20" t="s">
        <v>9</v>
      </c>
      <c r="E26" s="20" t="s">
        <v>1623</v>
      </c>
    </row>
    <row r="27">
      <c r="A27" s="39">
        <v>21.0</v>
      </c>
      <c r="B27" s="17" t="s">
        <v>1420</v>
      </c>
      <c r="C27" s="17">
        <v>8.00278352E9</v>
      </c>
      <c r="D27" s="20" t="s">
        <v>9</v>
      </c>
      <c r="E27" s="20" t="s">
        <v>1623</v>
      </c>
    </row>
    <row r="28">
      <c r="A28" s="39">
        <v>22.0</v>
      </c>
      <c r="B28" s="17" t="s">
        <v>1425</v>
      </c>
      <c r="C28" s="17">
        <v>9.835962089E9</v>
      </c>
      <c r="D28" s="20" t="s">
        <v>9</v>
      </c>
      <c r="E28" s="20" t="s">
        <v>1623</v>
      </c>
    </row>
    <row r="29">
      <c r="A29" s="39">
        <v>23.0</v>
      </c>
      <c r="B29" s="17" t="s">
        <v>1427</v>
      </c>
      <c r="C29" s="17">
        <v>9.693567984E9</v>
      </c>
      <c r="D29" s="20" t="s">
        <v>23</v>
      </c>
      <c r="E29" s="22"/>
    </row>
    <row r="30">
      <c r="A30" s="39">
        <v>24.0</v>
      </c>
      <c r="B30" s="17" t="s">
        <v>1429</v>
      </c>
      <c r="C30" s="17">
        <v>6.201595936E9</v>
      </c>
      <c r="D30" s="20" t="s">
        <v>9</v>
      </c>
      <c r="E30" s="20" t="s">
        <v>1623</v>
      </c>
    </row>
    <row r="31">
      <c r="A31" s="39">
        <v>25.0</v>
      </c>
      <c r="B31" s="17" t="s">
        <v>1430</v>
      </c>
      <c r="C31" s="17">
        <v>9.955090896E9</v>
      </c>
      <c r="D31" s="20" t="s">
        <v>9</v>
      </c>
      <c r="E31" s="20" t="s">
        <v>1623</v>
      </c>
    </row>
    <row r="32">
      <c r="A32" s="39">
        <v>26.0</v>
      </c>
      <c r="B32" s="17" t="s">
        <v>1397</v>
      </c>
      <c r="C32" s="17">
        <v>7.99237602E9</v>
      </c>
      <c r="D32" s="20" t="s">
        <v>9</v>
      </c>
      <c r="E32" s="20" t="s">
        <v>1623</v>
      </c>
    </row>
    <row r="33">
      <c r="A33" s="39">
        <v>27.0</v>
      </c>
      <c r="B33" s="17" t="s">
        <v>1398</v>
      </c>
      <c r="C33" s="17">
        <v>9.142165692E9</v>
      </c>
      <c r="D33" s="20" t="s">
        <v>9</v>
      </c>
      <c r="E33" s="20" t="s">
        <v>1623</v>
      </c>
    </row>
    <row r="34">
      <c r="A34" s="39">
        <v>28.0</v>
      </c>
      <c r="B34" s="17" t="s">
        <v>1424</v>
      </c>
      <c r="C34" s="17">
        <v>6.204005191E9</v>
      </c>
      <c r="D34" s="20" t="s">
        <v>9</v>
      </c>
      <c r="E34" s="20" t="s">
        <v>1623</v>
      </c>
    </row>
    <row r="35">
      <c r="D35" s="3"/>
      <c r="E35" s="3"/>
    </row>
    <row r="36" ht="84.75" customHeight="1">
      <c r="A36" s="10" t="s">
        <v>339</v>
      </c>
      <c r="B36" s="11" t="s">
        <v>340</v>
      </c>
      <c r="C36" s="12" t="s">
        <v>341</v>
      </c>
      <c r="D36" s="11" t="s">
        <v>342</v>
      </c>
      <c r="E36" s="11" t="s">
        <v>343</v>
      </c>
      <c r="F36" s="11" t="s">
        <v>344</v>
      </c>
      <c r="G36" s="11" t="s">
        <v>345</v>
      </c>
      <c r="H36" s="11" t="s">
        <v>346</v>
      </c>
      <c r="I36" s="11" t="s">
        <v>347</v>
      </c>
      <c r="J36" s="12" t="s">
        <v>348</v>
      </c>
      <c r="K36" s="12" t="s">
        <v>349</v>
      </c>
      <c r="L36" s="11" t="s">
        <v>350</v>
      </c>
      <c r="M36" s="11" t="s">
        <v>351</v>
      </c>
      <c r="N36" s="11" t="s">
        <v>1</v>
      </c>
      <c r="O36" s="11" t="s">
        <v>352</v>
      </c>
      <c r="P36" s="11" t="s">
        <v>353</v>
      </c>
      <c r="Q36" s="11" t="s">
        <v>354</v>
      </c>
      <c r="R36" s="11" t="s">
        <v>355</v>
      </c>
      <c r="S36" s="11" t="s">
        <v>356</v>
      </c>
      <c r="T36" s="11" t="s">
        <v>357</v>
      </c>
      <c r="U36" s="11" t="s">
        <v>358</v>
      </c>
      <c r="V36" s="11" t="s">
        <v>359</v>
      </c>
      <c r="W36" s="11" t="s">
        <v>360</v>
      </c>
      <c r="X36" s="11" t="s">
        <v>361</v>
      </c>
      <c r="Y36" s="11" t="s">
        <v>362</v>
      </c>
      <c r="Z36" s="11" t="s">
        <v>363</v>
      </c>
      <c r="AA36" s="13" t="s">
        <v>364</v>
      </c>
      <c r="AB36" s="14" t="s">
        <v>3</v>
      </c>
      <c r="AC36" s="15"/>
      <c r="AD36" s="15"/>
    </row>
    <row r="37">
      <c r="A37" s="16" t="s">
        <v>1362</v>
      </c>
      <c r="B37" s="17" t="s">
        <v>1363</v>
      </c>
      <c r="C37" s="17">
        <v>9.430081363E9</v>
      </c>
      <c r="D37" s="26">
        <v>35.0</v>
      </c>
      <c r="E37" s="20" t="s">
        <v>367</v>
      </c>
      <c r="F37" s="26" t="s">
        <v>437</v>
      </c>
      <c r="G37" s="26" t="s">
        <v>518</v>
      </c>
      <c r="H37" s="26" t="s">
        <v>507</v>
      </c>
      <c r="I37" s="26" t="s">
        <v>1364</v>
      </c>
      <c r="J37" s="26" t="s">
        <v>1365</v>
      </c>
      <c r="K37" s="18" t="s">
        <v>1366</v>
      </c>
      <c r="L37" s="26" t="s">
        <v>1365</v>
      </c>
      <c r="M37" s="26" t="s">
        <v>1367</v>
      </c>
      <c r="N37" s="21" t="s">
        <v>9</v>
      </c>
      <c r="O37" s="20" t="s">
        <v>4</v>
      </c>
      <c r="P37" s="20" t="s">
        <v>4</v>
      </c>
      <c r="Q37" s="26" t="s">
        <v>444</v>
      </c>
      <c r="R37" s="26" t="s">
        <v>1368</v>
      </c>
      <c r="S37" s="20" t="s">
        <v>4</v>
      </c>
      <c r="T37" s="26" t="s">
        <v>768</v>
      </c>
      <c r="U37" s="20" t="s">
        <v>4</v>
      </c>
      <c r="V37" s="26" t="s">
        <v>1369</v>
      </c>
      <c r="W37" s="26" t="s">
        <v>616</v>
      </c>
      <c r="X37" s="20" t="s">
        <v>4</v>
      </c>
      <c r="Y37" s="20" t="s">
        <v>4</v>
      </c>
      <c r="Z37" s="20" t="s">
        <v>4</v>
      </c>
      <c r="AA37" s="26" t="s">
        <v>391</v>
      </c>
      <c r="AB37" s="28"/>
      <c r="AC37" s="24"/>
      <c r="AD37" s="24"/>
    </row>
    <row r="38">
      <c r="A38" s="25"/>
      <c r="B38" s="17" t="s">
        <v>1370</v>
      </c>
      <c r="C38" s="17">
        <v>9.608007073E9</v>
      </c>
      <c r="D38" s="26">
        <v>33.0</v>
      </c>
      <c r="E38" s="20" t="s">
        <v>405</v>
      </c>
      <c r="F38" s="26" t="s">
        <v>1371</v>
      </c>
      <c r="G38" s="26" t="s">
        <v>375</v>
      </c>
      <c r="H38" s="26" t="s">
        <v>376</v>
      </c>
      <c r="I38" s="26" t="s">
        <v>1372</v>
      </c>
      <c r="J38" s="26" t="s">
        <v>1365</v>
      </c>
      <c r="K38" s="18" t="s">
        <v>1366</v>
      </c>
      <c r="L38" s="26" t="s">
        <v>1365</v>
      </c>
      <c r="M38" s="26" t="s">
        <v>1178</v>
      </c>
      <c r="N38" s="21" t="s">
        <v>9</v>
      </c>
      <c r="O38" s="20" t="s">
        <v>4</v>
      </c>
      <c r="P38" s="20" t="s">
        <v>380</v>
      </c>
      <c r="Q38" s="19"/>
      <c r="R38" s="19"/>
      <c r="S38" s="20" t="s">
        <v>380</v>
      </c>
      <c r="T38" s="19"/>
      <c r="U38" s="20" t="s">
        <v>380</v>
      </c>
      <c r="V38" s="19"/>
      <c r="W38" s="26" t="s">
        <v>612</v>
      </c>
      <c r="X38" s="20" t="s">
        <v>4</v>
      </c>
      <c r="Y38" s="20" t="s">
        <v>380</v>
      </c>
      <c r="Z38" s="20" t="s">
        <v>4</v>
      </c>
      <c r="AA38" s="26" t="s">
        <v>391</v>
      </c>
      <c r="AB38" s="28"/>
      <c r="AC38" s="24"/>
      <c r="AD38" s="24"/>
    </row>
    <row r="39">
      <c r="A39" s="25"/>
      <c r="B39" s="17" t="s">
        <v>1373</v>
      </c>
      <c r="C39" s="17">
        <v>7.908608094E9</v>
      </c>
      <c r="D39" s="26">
        <v>33.0</v>
      </c>
      <c r="E39" s="20" t="s">
        <v>367</v>
      </c>
      <c r="F39" s="26" t="s">
        <v>441</v>
      </c>
      <c r="G39" s="26" t="s">
        <v>518</v>
      </c>
      <c r="H39" s="26" t="s">
        <v>1185</v>
      </c>
      <c r="I39" s="19"/>
      <c r="J39" s="26" t="s">
        <v>1365</v>
      </c>
      <c r="K39" s="18" t="s">
        <v>1366</v>
      </c>
      <c r="L39" s="26" t="s">
        <v>1374</v>
      </c>
      <c r="M39" s="26" t="s">
        <v>1375</v>
      </c>
      <c r="N39" s="21" t="s">
        <v>9</v>
      </c>
      <c r="O39" s="20" t="s">
        <v>4</v>
      </c>
      <c r="P39" s="20" t="s">
        <v>4</v>
      </c>
      <c r="Q39" s="26" t="s">
        <v>444</v>
      </c>
      <c r="R39" s="19"/>
      <c r="S39" s="20" t="s">
        <v>4</v>
      </c>
      <c r="T39" s="26" t="s">
        <v>756</v>
      </c>
      <c r="U39" s="20" t="s">
        <v>4</v>
      </c>
      <c r="V39" s="26" t="s">
        <v>757</v>
      </c>
      <c r="W39" s="26" t="s">
        <v>616</v>
      </c>
      <c r="X39" s="20" t="s">
        <v>4</v>
      </c>
      <c r="Y39" s="20" t="s">
        <v>4</v>
      </c>
      <c r="Z39" s="20" t="s">
        <v>4</v>
      </c>
      <c r="AA39" s="26" t="s">
        <v>391</v>
      </c>
      <c r="AB39" s="28"/>
      <c r="AC39" s="24"/>
      <c r="AD39" s="24"/>
    </row>
    <row r="40">
      <c r="A40" s="25"/>
      <c r="B40" s="17" t="s">
        <v>1376</v>
      </c>
      <c r="C40" s="17">
        <v>9.564198822E9</v>
      </c>
      <c r="D40" s="26">
        <v>32.0</v>
      </c>
      <c r="E40" s="20" t="s">
        <v>367</v>
      </c>
      <c r="F40" s="26" t="s">
        <v>1184</v>
      </c>
      <c r="G40" s="26" t="s">
        <v>518</v>
      </c>
      <c r="H40" s="26" t="s">
        <v>376</v>
      </c>
      <c r="I40" s="19"/>
      <c r="J40" s="26" t="s">
        <v>1365</v>
      </c>
      <c r="K40" s="18" t="s">
        <v>1366</v>
      </c>
      <c r="L40" s="26" t="s">
        <v>1374</v>
      </c>
      <c r="M40" s="26" t="s">
        <v>1377</v>
      </c>
      <c r="N40" s="21" t="s">
        <v>9</v>
      </c>
      <c r="O40" s="20" t="s">
        <v>4</v>
      </c>
      <c r="P40" s="20" t="s">
        <v>4</v>
      </c>
      <c r="Q40" s="26" t="s">
        <v>444</v>
      </c>
      <c r="R40" s="19"/>
      <c r="S40" s="20" t="s">
        <v>380</v>
      </c>
      <c r="T40" s="19"/>
      <c r="U40" s="20" t="s">
        <v>380</v>
      </c>
      <c r="V40" s="19"/>
      <c r="W40" s="26" t="s">
        <v>616</v>
      </c>
      <c r="X40" s="20" t="s">
        <v>4</v>
      </c>
      <c r="Y40" s="20" t="s">
        <v>4</v>
      </c>
      <c r="Z40" s="20" t="s">
        <v>4</v>
      </c>
      <c r="AA40" s="26" t="s">
        <v>391</v>
      </c>
      <c r="AB40" s="28"/>
      <c r="AC40" s="24"/>
      <c r="AD40" s="24"/>
    </row>
    <row r="41">
      <c r="A41" s="25"/>
      <c r="B41" s="17" t="s">
        <v>1378</v>
      </c>
      <c r="C41" s="17">
        <v>6.206192169E9</v>
      </c>
      <c r="D41" s="26">
        <v>36.0</v>
      </c>
      <c r="E41" s="20" t="s">
        <v>367</v>
      </c>
      <c r="F41" s="26" t="s">
        <v>814</v>
      </c>
      <c r="G41" s="26" t="s">
        <v>375</v>
      </c>
      <c r="H41" s="26" t="s">
        <v>637</v>
      </c>
      <c r="I41" s="26" t="s">
        <v>1379</v>
      </c>
      <c r="J41" s="26" t="s">
        <v>1365</v>
      </c>
      <c r="K41" s="18" t="s">
        <v>1366</v>
      </c>
      <c r="L41" s="26" t="s">
        <v>1374</v>
      </c>
      <c r="M41" s="26" t="s">
        <v>1380</v>
      </c>
      <c r="N41" s="21" t="s">
        <v>9</v>
      </c>
      <c r="O41" s="20" t="s">
        <v>4</v>
      </c>
      <c r="P41" s="20" t="s">
        <v>4</v>
      </c>
      <c r="Q41" s="26" t="s">
        <v>1381</v>
      </c>
      <c r="R41" s="26" t="s">
        <v>1382</v>
      </c>
      <c r="S41" s="20" t="s">
        <v>4</v>
      </c>
      <c r="T41" s="26" t="s">
        <v>756</v>
      </c>
      <c r="U41" s="20" t="s">
        <v>380</v>
      </c>
      <c r="V41" s="19"/>
      <c r="W41" s="26" t="s">
        <v>616</v>
      </c>
      <c r="X41" s="20" t="s">
        <v>4</v>
      </c>
      <c r="Y41" s="20" t="s">
        <v>4</v>
      </c>
      <c r="Z41" s="20" t="s">
        <v>4</v>
      </c>
      <c r="AA41" s="26" t="s">
        <v>391</v>
      </c>
      <c r="AB41" s="28"/>
      <c r="AC41" s="24"/>
      <c r="AD41" s="24"/>
    </row>
    <row r="42">
      <c r="A42" s="25"/>
      <c r="B42" s="17" t="s">
        <v>1383</v>
      </c>
      <c r="C42" s="17">
        <v>6.201816401E9</v>
      </c>
      <c r="D42" s="26">
        <v>27.0</v>
      </c>
      <c r="E42" s="20" t="s">
        <v>367</v>
      </c>
      <c r="F42" s="26" t="s">
        <v>441</v>
      </c>
      <c r="G42" s="26" t="s">
        <v>518</v>
      </c>
      <c r="H42" s="26" t="s">
        <v>376</v>
      </c>
      <c r="I42" s="19"/>
      <c r="J42" s="26" t="s">
        <v>1365</v>
      </c>
      <c r="K42" s="18" t="s">
        <v>1366</v>
      </c>
      <c r="L42" s="26" t="s">
        <v>1374</v>
      </c>
      <c r="M42" s="26" t="s">
        <v>1384</v>
      </c>
      <c r="N42" s="21" t="s">
        <v>9</v>
      </c>
      <c r="O42" s="20" t="s">
        <v>4</v>
      </c>
      <c r="P42" s="20" t="s">
        <v>4</v>
      </c>
      <c r="Q42" s="26" t="s">
        <v>848</v>
      </c>
      <c r="R42" s="26" t="s">
        <v>1385</v>
      </c>
      <c r="S42" s="20" t="s">
        <v>4</v>
      </c>
      <c r="T42" s="26" t="s">
        <v>768</v>
      </c>
      <c r="U42" s="20" t="s">
        <v>4</v>
      </c>
      <c r="V42" s="26" t="s">
        <v>757</v>
      </c>
      <c r="W42" s="26" t="s">
        <v>612</v>
      </c>
      <c r="X42" s="20" t="s">
        <v>4</v>
      </c>
      <c r="Y42" s="20" t="s">
        <v>4</v>
      </c>
      <c r="Z42" s="20" t="s">
        <v>4</v>
      </c>
      <c r="AA42" s="26" t="s">
        <v>391</v>
      </c>
      <c r="AB42" s="28"/>
      <c r="AC42" s="24"/>
      <c r="AD42" s="24"/>
    </row>
    <row r="43">
      <c r="A43" s="25"/>
      <c r="B43" s="17" t="s">
        <v>1386</v>
      </c>
      <c r="C43" s="17">
        <v>7.667519336E9</v>
      </c>
      <c r="D43" s="26">
        <v>29.0</v>
      </c>
      <c r="E43" s="20" t="s">
        <v>367</v>
      </c>
      <c r="F43" s="26" t="s">
        <v>441</v>
      </c>
      <c r="G43" s="26" t="s">
        <v>518</v>
      </c>
      <c r="H43" s="26" t="s">
        <v>376</v>
      </c>
      <c r="I43" s="19"/>
      <c r="J43" s="26" t="s">
        <v>1365</v>
      </c>
      <c r="K43" s="18" t="s">
        <v>1366</v>
      </c>
      <c r="L43" s="26" t="s">
        <v>1374</v>
      </c>
      <c r="M43" s="26" t="s">
        <v>1387</v>
      </c>
      <c r="N43" s="21" t="s">
        <v>9</v>
      </c>
      <c r="O43" s="20" t="s">
        <v>4</v>
      </c>
      <c r="P43" s="20" t="s">
        <v>4</v>
      </c>
      <c r="Q43" s="26" t="s">
        <v>444</v>
      </c>
      <c r="R43" s="19"/>
      <c r="S43" s="20" t="s">
        <v>4</v>
      </c>
      <c r="T43" s="26" t="s">
        <v>756</v>
      </c>
      <c r="U43" s="20" t="s">
        <v>4</v>
      </c>
      <c r="V43" s="26" t="s">
        <v>757</v>
      </c>
      <c r="W43" s="26" t="s">
        <v>616</v>
      </c>
      <c r="X43" s="20" t="s">
        <v>4</v>
      </c>
      <c r="Y43" s="20" t="s">
        <v>4</v>
      </c>
      <c r="Z43" s="20" t="s">
        <v>4</v>
      </c>
      <c r="AA43" s="26" t="s">
        <v>391</v>
      </c>
      <c r="AB43" s="28"/>
      <c r="AC43" s="24"/>
      <c r="AD43" s="24"/>
    </row>
    <row r="44">
      <c r="A44" s="25"/>
      <c r="B44" s="17" t="s">
        <v>1388</v>
      </c>
      <c r="C44" s="17">
        <v>9.241370743E9</v>
      </c>
      <c r="D44" s="26">
        <v>29.0</v>
      </c>
      <c r="E44" s="20" t="s">
        <v>367</v>
      </c>
      <c r="F44" s="26" t="s">
        <v>1389</v>
      </c>
      <c r="G44" s="26" t="s">
        <v>518</v>
      </c>
      <c r="H44" s="26" t="s">
        <v>507</v>
      </c>
      <c r="I44" s="19"/>
      <c r="J44" s="26" t="s">
        <v>1365</v>
      </c>
      <c r="K44" s="18" t="s">
        <v>1366</v>
      </c>
      <c r="L44" s="26" t="s">
        <v>1390</v>
      </c>
      <c r="M44" s="26" t="s">
        <v>1391</v>
      </c>
      <c r="N44" s="21" t="s">
        <v>9</v>
      </c>
      <c r="O44" s="20" t="s">
        <v>4</v>
      </c>
      <c r="P44" s="20" t="s">
        <v>380</v>
      </c>
      <c r="Q44" s="19"/>
      <c r="R44" s="19"/>
      <c r="S44" s="20" t="s">
        <v>4</v>
      </c>
      <c r="T44" s="26" t="s">
        <v>768</v>
      </c>
      <c r="U44" s="20" t="s">
        <v>380</v>
      </c>
      <c r="V44" s="19"/>
      <c r="W44" s="26" t="s">
        <v>616</v>
      </c>
      <c r="X44" s="20" t="s">
        <v>4</v>
      </c>
      <c r="Y44" s="20" t="s">
        <v>4</v>
      </c>
      <c r="Z44" s="20" t="s">
        <v>4</v>
      </c>
      <c r="AA44" s="26" t="s">
        <v>391</v>
      </c>
      <c r="AB44" s="28"/>
      <c r="AC44" s="24"/>
      <c r="AD44" s="24"/>
    </row>
    <row r="45">
      <c r="A45" s="25"/>
      <c r="B45" s="17" t="s">
        <v>1392</v>
      </c>
      <c r="C45" s="17">
        <v>8.521888445E9</v>
      </c>
      <c r="D45" s="26">
        <v>30.0</v>
      </c>
      <c r="E45" s="20" t="s">
        <v>367</v>
      </c>
      <c r="F45" s="26" t="s">
        <v>382</v>
      </c>
      <c r="G45" s="26" t="s">
        <v>518</v>
      </c>
      <c r="H45" s="26" t="s">
        <v>376</v>
      </c>
      <c r="I45" s="19"/>
      <c r="J45" s="26" t="s">
        <v>1365</v>
      </c>
      <c r="K45" s="18" t="s">
        <v>1366</v>
      </c>
      <c r="L45" s="26" t="s">
        <v>1374</v>
      </c>
      <c r="M45" s="26" t="s">
        <v>1393</v>
      </c>
      <c r="N45" s="21" t="s">
        <v>9</v>
      </c>
      <c r="O45" s="20" t="s">
        <v>4</v>
      </c>
      <c r="P45" s="20" t="s">
        <v>4</v>
      </c>
      <c r="Q45" s="26" t="s">
        <v>444</v>
      </c>
      <c r="R45" s="19"/>
      <c r="S45" s="20" t="s">
        <v>4</v>
      </c>
      <c r="T45" s="26" t="s">
        <v>756</v>
      </c>
      <c r="U45" s="20" t="s">
        <v>4</v>
      </c>
      <c r="V45" s="26" t="s">
        <v>1394</v>
      </c>
      <c r="W45" s="26" t="s">
        <v>616</v>
      </c>
      <c r="X45" s="20" t="s">
        <v>4</v>
      </c>
      <c r="Y45" s="20" t="s">
        <v>4</v>
      </c>
      <c r="Z45" s="20" t="s">
        <v>4</v>
      </c>
      <c r="AA45" s="26" t="s">
        <v>391</v>
      </c>
      <c r="AB45" s="28"/>
      <c r="AC45" s="24"/>
      <c r="AD45" s="24"/>
    </row>
    <row r="46">
      <c r="A46" s="25"/>
      <c r="B46" s="17" t="s">
        <v>1395</v>
      </c>
      <c r="C46" s="17">
        <v>9.933904605E9</v>
      </c>
      <c r="D46" s="26">
        <v>25.0</v>
      </c>
      <c r="E46" s="20" t="s">
        <v>367</v>
      </c>
      <c r="F46" s="26" t="s">
        <v>441</v>
      </c>
      <c r="G46" s="26" t="s">
        <v>518</v>
      </c>
      <c r="H46" s="26" t="s">
        <v>507</v>
      </c>
      <c r="I46" s="19"/>
      <c r="J46" s="26" t="s">
        <v>1365</v>
      </c>
      <c r="K46" s="18" t="s">
        <v>1366</v>
      </c>
      <c r="L46" s="26" t="s">
        <v>1374</v>
      </c>
      <c r="M46" s="26" t="s">
        <v>1396</v>
      </c>
      <c r="N46" s="21" t="s">
        <v>9</v>
      </c>
      <c r="O46" s="20" t="s">
        <v>4</v>
      </c>
      <c r="P46" s="20" t="s">
        <v>4</v>
      </c>
      <c r="Q46" s="26" t="s">
        <v>444</v>
      </c>
      <c r="R46" s="19"/>
      <c r="S46" s="20" t="s">
        <v>4</v>
      </c>
      <c r="T46" s="26" t="s">
        <v>756</v>
      </c>
      <c r="U46" s="20" t="s">
        <v>4</v>
      </c>
      <c r="V46" s="26" t="s">
        <v>757</v>
      </c>
      <c r="W46" s="26" t="s">
        <v>616</v>
      </c>
      <c r="X46" s="20" t="s">
        <v>4</v>
      </c>
      <c r="Y46" s="20" t="s">
        <v>4</v>
      </c>
      <c r="Z46" s="20" t="s">
        <v>4</v>
      </c>
      <c r="AA46" s="26" t="s">
        <v>391</v>
      </c>
      <c r="AB46" s="28"/>
      <c r="AC46" s="24"/>
      <c r="AD46" s="24"/>
    </row>
    <row r="47">
      <c r="A47" s="25"/>
      <c r="B47" s="17" t="s">
        <v>1397</v>
      </c>
      <c r="C47" s="17">
        <v>7.99237602E9</v>
      </c>
      <c r="D47" s="19"/>
      <c r="E47" s="20" t="s">
        <v>367</v>
      </c>
      <c r="F47" s="19"/>
      <c r="G47" s="19"/>
      <c r="H47" s="19"/>
      <c r="I47" s="19"/>
      <c r="J47" s="19"/>
      <c r="K47" s="18" t="s">
        <v>1366</v>
      </c>
      <c r="L47" s="19"/>
      <c r="M47" s="19"/>
      <c r="N47" s="21" t="s">
        <v>54</v>
      </c>
      <c r="O47" s="20"/>
      <c r="P47" s="20"/>
      <c r="Q47" s="19"/>
      <c r="R47" s="19"/>
      <c r="S47" s="20"/>
      <c r="T47" s="19"/>
      <c r="U47" s="20"/>
      <c r="V47" s="19"/>
      <c r="W47" s="26"/>
      <c r="X47" s="20"/>
      <c r="Y47" s="20"/>
      <c r="Z47" s="20"/>
      <c r="AA47" s="26"/>
      <c r="AB47" s="28"/>
      <c r="AC47" s="24"/>
      <c r="AD47" s="24"/>
    </row>
    <row r="48">
      <c r="A48" s="25"/>
      <c r="B48" s="17" t="s">
        <v>1398</v>
      </c>
      <c r="C48" s="17">
        <v>9.142165692E9</v>
      </c>
      <c r="D48" s="19"/>
      <c r="E48" s="20" t="s">
        <v>367</v>
      </c>
      <c r="F48" s="19"/>
      <c r="G48" s="19"/>
      <c r="H48" s="19"/>
      <c r="I48" s="19"/>
      <c r="J48" s="19"/>
      <c r="K48" s="18" t="s">
        <v>1366</v>
      </c>
      <c r="L48" s="19"/>
      <c r="M48" s="19"/>
      <c r="N48" s="21" t="s">
        <v>54</v>
      </c>
      <c r="O48" s="20"/>
      <c r="P48" s="20"/>
      <c r="Q48" s="19"/>
      <c r="R48" s="19"/>
      <c r="S48" s="20"/>
      <c r="T48" s="19"/>
      <c r="U48" s="20"/>
      <c r="V48" s="19"/>
      <c r="W48" s="26"/>
      <c r="X48" s="20"/>
      <c r="Y48" s="20"/>
      <c r="Z48" s="20"/>
      <c r="AA48" s="26"/>
      <c r="AB48" s="28"/>
      <c r="AC48" s="24"/>
      <c r="AD48" s="24"/>
    </row>
    <row r="49">
      <c r="A49" s="25"/>
      <c r="B49" s="17" t="s">
        <v>1399</v>
      </c>
      <c r="C49" s="17">
        <v>9.478685134E9</v>
      </c>
      <c r="D49" s="26">
        <v>23.0</v>
      </c>
      <c r="E49" s="20" t="s">
        <v>367</v>
      </c>
      <c r="F49" s="26" t="s">
        <v>441</v>
      </c>
      <c r="G49" s="26" t="s">
        <v>518</v>
      </c>
      <c r="H49" s="26" t="s">
        <v>376</v>
      </c>
      <c r="I49" s="19"/>
      <c r="J49" s="26" t="s">
        <v>1365</v>
      </c>
      <c r="K49" s="18" t="s">
        <v>1366</v>
      </c>
      <c r="L49" s="26" t="s">
        <v>1374</v>
      </c>
      <c r="M49" s="26" t="s">
        <v>1393</v>
      </c>
      <c r="N49" s="21" t="s">
        <v>9</v>
      </c>
      <c r="O49" s="20" t="s">
        <v>4</v>
      </c>
      <c r="P49" s="20" t="s">
        <v>4</v>
      </c>
      <c r="Q49" s="26" t="s">
        <v>444</v>
      </c>
      <c r="R49" s="19"/>
      <c r="S49" s="20" t="s">
        <v>4</v>
      </c>
      <c r="T49" s="26" t="s">
        <v>756</v>
      </c>
      <c r="U49" s="20" t="s">
        <v>4</v>
      </c>
      <c r="V49" s="19"/>
      <c r="W49" s="26" t="s">
        <v>616</v>
      </c>
      <c r="X49" s="20" t="s">
        <v>4</v>
      </c>
      <c r="Y49" s="20" t="s">
        <v>4</v>
      </c>
      <c r="Z49" s="20" t="s">
        <v>4</v>
      </c>
      <c r="AA49" s="26" t="s">
        <v>391</v>
      </c>
      <c r="AB49" s="28"/>
      <c r="AC49" s="24"/>
      <c r="AD49" s="24"/>
    </row>
    <row r="50">
      <c r="A50" s="25"/>
      <c r="B50" s="17" t="s">
        <v>1400</v>
      </c>
      <c r="C50" s="17">
        <v>9.113700252E9</v>
      </c>
      <c r="D50" s="26">
        <v>34.0</v>
      </c>
      <c r="E50" s="20" t="s">
        <v>367</v>
      </c>
      <c r="F50" s="26" t="s">
        <v>441</v>
      </c>
      <c r="G50" s="26" t="s">
        <v>518</v>
      </c>
      <c r="H50" s="26" t="s">
        <v>376</v>
      </c>
      <c r="I50" s="19"/>
      <c r="J50" s="26" t="s">
        <v>1365</v>
      </c>
      <c r="K50" s="18" t="s">
        <v>1366</v>
      </c>
      <c r="L50" s="26" t="s">
        <v>1374</v>
      </c>
      <c r="M50" s="26" t="s">
        <v>1380</v>
      </c>
      <c r="N50" s="21" t="s">
        <v>9</v>
      </c>
      <c r="O50" s="20" t="s">
        <v>4</v>
      </c>
      <c r="P50" s="20" t="s">
        <v>4</v>
      </c>
      <c r="Q50" s="26" t="s">
        <v>444</v>
      </c>
      <c r="R50" s="19"/>
      <c r="S50" s="20" t="s">
        <v>4</v>
      </c>
      <c r="T50" s="26" t="s">
        <v>756</v>
      </c>
      <c r="U50" s="20" t="s">
        <v>4</v>
      </c>
      <c r="V50" s="26" t="s">
        <v>757</v>
      </c>
      <c r="W50" s="26" t="s">
        <v>612</v>
      </c>
      <c r="X50" s="20" t="s">
        <v>4</v>
      </c>
      <c r="Y50" s="20" t="s">
        <v>4</v>
      </c>
      <c r="Z50" s="20" t="s">
        <v>4</v>
      </c>
      <c r="AA50" s="26" t="s">
        <v>391</v>
      </c>
      <c r="AB50" s="28"/>
      <c r="AC50" s="24"/>
      <c r="AD50" s="24"/>
    </row>
    <row r="51">
      <c r="A51" s="25"/>
      <c r="B51" s="17" t="s">
        <v>1401</v>
      </c>
      <c r="C51" s="17">
        <v>7.292830314E9</v>
      </c>
      <c r="D51" s="26">
        <v>21.0</v>
      </c>
      <c r="E51" s="20" t="s">
        <v>367</v>
      </c>
      <c r="F51" s="26" t="s">
        <v>382</v>
      </c>
      <c r="G51" s="26" t="s">
        <v>518</v>
      </c>
      <c r="H51" s="26" t="s">
        <v>1402</v>
      </c>
      <c r="I51" s="19"/>
      <c r="J51" s="26" t="s">
        <v>1365</v>
      </c>
      <c r="K51" s="18" t="s">
        <v>1366</v>
      </c>
      <c r="L51" s="26" t="s">
        <v>1374</v>
      </c>
      <c r="M51" s="26" t="s">
        <v>1403</v>
      </c>
      <c r="N51" s="21" t="s">
        <v>9</v>
      </c>
      <c r="O51" s="20" t="s">
        <v>4</v>
      </c>
      <c r="P51" s="20" t="s">
        <v>380</v>
      </c>
      <c r="Q51" s="19"/>
      <c r="R51" s="19"/>
      <c r="S51" s="20" t="s">
        <v>4</v>
      </c>
      <c r="T51" s="26" t="s">
        <v>756</v>
      </c>
      <c r="U51" s="20" t="s">
        <v>4</v>
      </c>
      <c r="V51" s="26" t="s">
        <v>757</v>
      </c>
      <c r="W51" s="26" t="s">
        <v>616</v>
      </c>
      <c r="X51" s="20" t="s">
        <v>4</v>
      </c>
      <c r="Y51" s="20" t="s">
        <v>4</v>
      </c>
      <c r="Z51" s="20" t="s">
        <v>4</v>
      </c>
      <c r="AA51" s="26" t="s">
        <v>391</v>
      </c>
      <c r="AB51" s="28"/>
      <c r="AC51" s="24"/>
      <c r="AD51" s="24"/>
    </row>
    <row r="52">
      <c r="A52" s="25"/>
      <c r="B52" s="17" t="s">
        <v>1404</v>
      </c>
      <c r="C52" s="17">
        <v>6.201981464E9</v>
      </c>
      <c r="D52" s="26">
        <v>26.0</v>
      </c>
      <c r="E52" s="20" t="s">
        <v>367</v>
      </c>
      <c r="F52" s="26" t="s">
        <v>441</v>
      </c>
      <c r="G52" s="26" t="s">
        <v>518</v>
      </c>
      <c r="H52" s="26" t="s">
        <v>376</v>
      </c>
      <c r="I52" s="19"/>
      <c r="J52" s="26" t="s">
        <v>1365</v>
      </c>
      <c r="K52" s="18" t="s">
        <v>1366</v>
      </c>
      <c r="L52" s="26" t="s">
        <v>1374</v>
      </c>
      <c r="M52" s="26" t="s">
        <v>1405</v>
      </c>
      <c r="N52" s="21" t="s">
        <v>9</v>
      </c>
      <c r="O52" s="20" t="s">
        <v>4</v>
      </c>
      <c r="P52" s="20" t="s">
        <v>4</v>
      </c>
      <c r="Q52" s="26" t="s">
        <v>444</v>
      </c>
      <c r="R52" s="19"/>
      <c r="S52" s="20" t="s">
        <v>4</v>
      </c>
      <c r="T52" s="26" t="s">
        <v>756</v>
      </c>
      <c r="U52" s="20" t="s">
        <v>380</v>
      </c>
      <c r="V52" s="19"/>
      <c r="W52" s="26" t="s">
        <v>616</v>
      </c>
      <c r="X52" s="20" t="s">
        <v>4</v>
      </c>
      <c r="Y52" s="20" t="s">
        <v>4</v>
      </c>
      <c r="Z52" s="20" t="s">
        <v>4</v>
      </c>
      <c r="AA52" s="26" t="s">
        <v>391</v>
      </c>
      <c r="AB52" s="28"/>
      <c r="AC52" s="24"/>
      <c r="AD52" s="24"/>
    </row>
    <row r="53">
      <c r="A53" s="25"/>
      <c r="B53" s="17" t="s">
        <v>1406</v>
      </c>
      <c r="C53" s="17">
        <v>7.739320475E9</v>
      </c>
      <c r="D53" s="26">
        <v>48.0</v>
      </c>
      <c r="E53" s="20" t="s">
        <v>367</v>
      </c>
      <c r="F53" s="26" t="s">
        <v>374</v>
      </c>
      <c r="G53" s="26" t="s">
        <v>518</v>
      </c>
      <c r="H53" s="26" t="s">
        <v>507</v>
      </c>
      <c r="I53" s="19"/>
      <c r="J53" s="26" t="s">
        <v>1365</v>
      </c>
      <c r="K53" s="18" t="s">
        <v>1366</v>
      </c>
      <c r="L53" s="26" t="s">
        <v>1374</v>
      </c>
      <c r="M53" s="26" t="s">
        <v>1393</v>
      </c>
      <c r="N53" s="21" t="s">
        <v>9</v>
      </c>
      <c r="O53" s="20" t="s">
        <v>4</v>
      </c>
      <c r="P53" s="20" t="s">
        <v>4</v>
      </c>
      <c r="Q53" s="26" t="s">
        <v>444</v>
      </c>
      <c r="R53" s="19"/>
      <c r="S53" s="20" t="s">
        <v>4</v>
      </c>
      <c r="T53" s="26" t="s">
        <v>756</v>
      </c>
      <c r="U53" s="20" t="s">
        <v>4</v>
      </c>
      <c r="V53" s="26" t="s">
        <v>757</v>
      </c>
      <c r="W53" s="26" t="s">
        <v>616</v>
      </c>
      <c r="X53" s="20" t="s">
        <v>4</v>
      </c>
      <c r="Y53" s="20" t="s">
        <v>4</v>
      </c>
      <c r="Z53" s="20" t="s">
        <v>4</v>
      </c>
      <c r="AA53" s="26" t="s">
        <v>391</v>
      </c>
      <c r="AB53" s="28"/>
      <c r="AC53" s="24"/>
      <c r="AD53" s="24"/>
    </row>
    <row r="54">
      <c r="A54" s="25"/>
      <c r="B54" s="17" t="s">
        <v>1407</v>
      </c>
      <c r="C54" s="17">
        <v>9.234539898E9</v>
      </c>
      <c r="D54" s="26">
        <v>18.0</v>
      </c>
      <c r="E54" s="20" t="s">
        <v>367</v>
      </c>
      <c r="F54" s="26" t="s">
        <v>382</v>
      </c>
      <c r="G54" s="26" t="s">
        <v>518</v>
      </c>
      <c r="H54" s="26" t="s">
        <v>507</v>
      </c>
      <c r="I54" s="19"/>
      <c r="J54" s="26" t="s">
        <v>1365</v>
      </c>
      <c r="K54" s="18" t="s">
        <v>1366</v>
      </c>
      <c r="L54" s="26" t="s">
        <v>1365</v>
      </c>
      <c r="M54" s="26" t="s">
        <v>1178</v>
      </c>
      <c r="N54" s="21" t="s">
        <v>9</v>
      </c>
      <c r="O54" s="20" t="s">
        <v>380</v>
      </c>
      <c r="P54" s="20" t="s">
        <v>380</v>
      </c>
      <c r="Q54" s="19"/>
      <c r="R54" s="19"/>
      <c r="S54" s="20" t="s">
        <v>380</v>
      </c>
      <c r="T54" s="19"/>
      <c r="U54" s="20" t="s">
        <v>4</v>
      </c>
      <c r="V54" s="26" t="s">
        <v>807</v>
      </c>
      <c r="W54" s="26" t="s">
        <v>616</v>
      </c>
      <c r="X54" s="20" t="s">
        <v>4</v>
      </c>
      <c r="Y54" s="20" t="s">
        <v>380</v>
      </c>
      <c r="Z54" s="20" t="s">
        <v>4</v>
      </c>
      <c r="AA54" s="26" t="s">
        <v>391</v>
      </c>
      <c r="AB54" s="28"/>
      <c r="AC54" s="24"/>
      <c r="AD54" s="24"/>
    </row>
    <row r="55">
      <c r="A55" s="25"/>
      <c r="B55" s="17" t="s">
        <v>1408</v>
      </c>
      <c r="C55" s="17">
        <v>6.299419122E9</v>
      </c>
      <c r="D55" s="26">
        <v>32.0</v>
      </c>
      <c r="E55" s="20" t="s">
        <v>367</v>
      </c>
      <c r="F55" s="26" t="s">
        <v>441</v>
      </c>
      <c r="G55" s="26" t="s">
        <v>518</v>
      </c>
      <c r="H55" s="26" t="s">
        <v>507</v>
      </c>
      <c r="I55" s="19"/>
      <c r="J55" s="26" t="s">
        <v>1365</v>
      </c>
      <c r="K55" s="18" t="s">
        <v>1366</v>
      </c>
      <c r="L55" s="26" t="s">
        <v>1365</v>
      </c>
      <c r="M55" s="26" t="s">
        <v>1409</v>
      </c>
      <c r="N55" s="21" t="s">
        <v>9</v>
      </c>
      <c r="O55" s="20" t="s">
        <v>4</v>
      </c>
      <c r="P55" s="20" t="s">
        <v>4</v>
      </c>
      <c r="Q55" s="26" t="s">
        <v>444</v>
      </c>
      <c r="R55" s="26" t="s">
        <v>1410</v>
      </c>
      <c r="S55" s="20" t="s">
        <v>4</v>
      </c>
      <c r="T55" s="26" t="s">
        <v>756</v>
      </c>
      <c r="U55" s="20" t="s">
        <v>380</v>
      </c>
      <c r="V55" s="19"/>
      <c r="W55" s="26" t="s">
        <v>616</v>
      </c>
      <c r="X55" s="20" t="s">
        <v>4</v>
      </c>
      <c r="Y55" s="20" t="s">
        <v>4</v>
      </c>
      <c r="Z55" s="20" t="s">
        <v>4</v>
      </c>
      <c r="AA55" s="26" t="s">
        <v>391</v>
      </c>
      <c r="AB55" s="28"/>
      <c r="AC55" s="24"/>
      <c r="AD55" s="24"/>
    </row>
    <row r="56">
      <c r="A56" s="25"/>
      <c r="B56" s="17" t="s">
        <v>1411</v>
      </c>
      <c r="C56" s="17">
        <v>6.202309302E9</v>
      </c>
      <c r="D56" s="26">
        <v>22.0</v>
      </c>
      <c r="E56" s="20" t="s">
        <v>405</v>
      </c>
      <c r="F56" s="26" t="s">
        <v>814</v>
      </c>
      <c r="G56" s="26" t="s">
        <v>375</v>
      </c>
      <c r="H56" s="26" t="s">
        <v>376</v>
      </c>
      <c r="I56" s="26" t="s">
        <v>377</v>
      </c>
      <c r="J56" s="26" t="s">
        <v>1365</v>
      </c>
      <c r="K56" s="18" t="s">
        <v>1366</v>
      </c>
      <c r="L56" s="26" t="s">
        <v>1365</v>
      </c>
      <c r="M56" s="26" t="s">
        <v>1412</v>
      </c>
      <c r="N56" s="21" t="s">
        <v>9</v>
      </c>
      <c r="O56" s="20" t="s">
        <v>4</v>
      </c>
      <c r="P56" s="20" t="s">
        <v>380</v>
      </c>
      <c r="Q56" s="19"/>
      <c r="R56" s="19"/>
      <c r="S56" s="20" t="s">
        <v>4</v>
      </c>
      <c r="T56" s="26" t="s">
        <v>768</v>
      </c>
      <c r="U56" s="20" t="s">
        <v>380</v>
      </c>
      <c r="V56" s="19"/>
      <c r="W56" s="26" t="s">
        <v>612</v>
      </c>
      <c r="X56" s="20" t="s">
        <v>4</v>
      </c>
      <c r="Y56" s="20" t="s">
        <v>4</v>
      </c>
      <c r="Z56" s="20" t="s">
        <v>4</v>
      </c>
      <c r="AA56" s="26" t="s">
        <v>391</v>
      </c>
      <c r="AB56" s="28"/>
      <c r="AC56" s="24"/>
      <c r="AD56" s="24"/>
    </row>
    <row r="57">
      <c r="A57" s="25"/>
      <c r="B57" s="17" t="s">
        <v>1413</v>
      </c>
      <c r="C57" s="17">
        <v>6.201383079E9</v>
      </c>
      <c r="D57" s="26">
        <v>50.0</v>
      </c>
      <c r="E57" s="20" t="s">
        <v>367</v>
      </c>
      <c r="F57" s="26" t="s">
        <v>441</v>
      </c>
      <c r="G57" s="26" t="s">
        <v>375</v>
      </c>
      <c r="H57" s="26" t="s">
        <v>407</v>
      </c>
      <c r="I57" s="19"/>
      <c r="J57" s="26" t="s">
        <v>1365</v>
      </c>
      <c r="K57" s="18" t="s">
        <v>1366</v>
      </c>
      <c r="L57" s="26" t="s">
        <v>1414</v>
      </c>
      <c r="M57" s="26" t="s">
        <v>1415</v>
      </c>
      <c r="N57" s="21" t="s">
        <v>9</v>
      </c>
      <c r="O57" s="20" t="s">
        <v>4</v>
      </c>
      <c r="P57" s="20" t="s">
        <v>380</v>
      </c>
      <c r="Q57" s="19"/>
      <c r="R57" s="19"/>
      <c r="S57" s="20" t="s">
        <v>4</v>
      </c>
      <c r="T57" s="26" t="s">
        <v>756</v>
      </c>
      <c r="U57" s="20" t="s">
        <v>4</v>
      </c>
      <c r="V57" s="26" t="s">
        <v>757</v>
      </c>
      <c r="W57" s="26" t="s">
        <v>616</v>
      </c>
      <c r="X57" s="20" t="s">
        <v>4</v>
      </c>
      <c r="Y57" s="20" t="s">
        <v>4</v>
      </c>
      <c r="Z57" s="20" t="s">
        <v>4</v>
      </c>
      <c r="AA57" s="26" t="s">
        <v>391</v>
      </c>
      <c r="AB57" s="28"/>
      <c r="AC57" s="24"/>
      <c r="AD57" s="24"/>
    </row>
    <row r="58">
      <c r="A58" s="25"/>
      <c r="B58" s="17" t="s">
        <v>1416</v>
      </c>
      <c r="C58" s="17">
        <v>9.631247871E9</v>
      </c>
      <c r="D58" s="26">
        <v>44.0</v>
      </c>
      <c r="E58" s="20" t="s">
        <v>367</v>
      </c>
      <c r="F58" s="26" t="s">
        <v>441</v>
      </c>
      <c r="G58" s="26" t="s">
        <v>375</v>
      </c>
      <c r="H58" s="26" t="s">
        <v>376</v>
      </c>
      <c r="I58" s="19"/>
      <c r="J58" s="26" t="s">
        <v>1365</v>
      </c>
      <c r="K58" s="18" t="s">
        <v>1366</v>
      </c>
      <c r="L58" s="26" t="s">
        <v>1417</v>
      </c>
      <c r="M58" s="26" t="s">
        <v>1418</v>
      </c>
      <c r="N58" s="21" t="s">
        <v>9</v>
      </c>
      <c r="O58" s="20" t="s">
        <v>4</v>
      </c>
      <c r="P58" s="20" t="s">
        <v>380</v>
      </c>
      <c r="Q58" s="19"/>
      <c r="R58" s="19"/>
      <c r="S58" s="20" t="s">
        <v>4</v>
      </c>
      <c r="T58" s="26" t="s">
        <v>1419</v>
      </c>
      <c r="U58" s="20" t="s">
        <v>4</v>
      </c>
      <c r="V58" s="26" t="s">
        <v>1394</v>
      </c>
      <c r="W58" s="26" t="s">
        <v>616</v>
      </c>
      <c r="X58" s="20" t="s">
        <v>4</v>
      </c>
      <c r="Y58" s="20" t="s">
        <v>380</v>
      </c>
      <c r="Z58" s="20" t="s">
        <v>4</v>
      </c>
      <c r="AA58" s="26" t="s">
        <v>391</v>
      </c>
      <c r="AB58" s="28"/>
      <c r="AC58" s="24"/>
      <c r="AD58" s="24"/>
    </row>
    <row r="59">
      <c r="A59" s="25"/>
      <c r="B59" s="17" t="s">
        <v>1420</v>
      </c>
      <c r="C59" s="17">
        <v>8.00278352E9</v>
      </c>
      <c r="D59" s="26">
        <v>45.0</v>
      </c>
      <c r="E59" s="20" t="s">
        <v>367</v>
      </c>
      <c r="F59" s="26" t="s">
        <v>585</v>
      </c>
      <c r="G59" s="26" t="s">
        <v>375</v>
      </c>
      <c r="H59" s="26" t="s">
        <v>1185</v>
      </c>
      <c r="I59" s="19"/>
      <c r="J59" s="26" t="s">
        <v>1365</v>
      </c>
      <c r="K59" s="18" t="s">
        <v>1366</v>
      </c>
      <c r="L59" s="26" t="s">
        <v>1414</v>
      </c>
      <c r="M59" s="26" t="s">
        <v>1421</v>
      </c>
      <c r="N59" s="21" t="s">
        <v>9</v>
      </c>
      <c r="O59" s="20" t="s">
        <v>4</v>
      </c>
      <c r="P59" s="20" t="s">
        <v>4</v>
      </c>
      <c r="Q59" s="26" t="s">
        <v>1422</v>
      </c>
      <c r="R59" s="26" t="s">
        <v>1423</v>
      </c>
      <c r="S59" s="20" t="s">
        <v>4</v>
      </c>
      <c r="T59" s="26" t="s">
        <v>756</v>
      </c>
      <c r="U59" s="20" t="s">
        <v>4</v>
      </c>
      <c r="V59" s="26" t="s">
        <v>757</v>
      </c>
      <c r="W59" s="26" t="s">
        <v>616</v>
      </c>
      <c r="X59" s="20" t="s">
        <v>4</v>
      </c>
      <c r="Y59" s="20" t="s">
        <v>4</v>
      </c>
      <c r="Z59" s="20" t="s">
        <v>4</v>
      </c>
      <c r="AA59" s="26" t="s">
        <v>391</v>
      </c>
      <c r="AB59" s="28"/>
      <c r="AC59" s="24"/>
      <c r="AD59" s="24"/>
    </row>
    <row r="60">
      <c r="A60" s="25"/>
      <c r="B60" s="17" t="s">
        <v>1424</v>
      </c>
      <c r="C60" s="17">
        <v>6.204005191E9</v>
      </c>
      <c r="D60" s="19"/>
      <c r="E60" s="20" t="s">
        <v>367</v>
      </c>
      <c r="F60" s="19"/>
      <c r="G60" s="19"/>
      <c r="H60" s="19"/>
      <c r="I60" s="19"/>
      <c r="J60" s="19"/>
      <c r="K60" s="18" t="s">
        <v>1366</v>
      </c>
      <c r="L60" s="19"/>
      <c r="M60" s="19"/>
      <c r="N60" s="21" t="s">
        <v>23</v>
      </c>
      <c r="O60" s="20"/>
      <c r="P60" s="20"/>
      <c r="Q60" s="19"/>
      <c r="R60" s="19"/>
      <c r="S60" s="20"/>
      <c r="T60" s="19"/>
      <c r="U60" s="20"/>
      <c r="V60" s="19"/>
      <c r="W60" s="26"/>
      <c r="X60" s="20"/>
      <c r="Y60" s="20"/>
      <c r="Z60" s="20"/>
      <c r="AA60" s="26"/>
      <c r="AB60" s="28"/>
      <c r="AC60" s="24"/>
      <c r="AD60" s="24"/>
    </row>
    <row r="61">
      <c r="A61" s="25"/>
      <c r="B61" s="17" t="s">
        <v>1425</v>
      </c>
      <c r="C61" s="17">
        <v>9.835962089E9</v>
      </c>
      <c r="D61" s="26">
        <v>22.0</v>
      </c>
      <c r="E61" s="20" t="s">
        <v>405</v>
      </c>
      <c r="F61" s="26" t="s">
        <v>1205</v>
      </c>
      <c r="G61" s="26" t="s">
        <v>518</v>
      </c>
      <c r="H61" s="26" t="s">
        <v>376</v>
      </c>
      <c r="I61" s="19"/>
      <c r="J61" s="26" t="s">
        <v>1365</v>
      </c>
      <c r="K61" s="18" t="s">
        <v>1366</v>
      </c>
      <c r="L61" s="26" t="s">
        <v>1365</v>
      </c>
      <c r="M61" s="26" t="s">
        <v>1178</v>
      </c>
      <c r="N61" s="21" t="s">
        <v>9</v>
      </c>
      <c r="O61" s="20" t="s">
        <v>4</v>
      </c>
      <c r="P61" s="20" t="s">
        <v>4</v>
      </c>
      <c r="Q61" s="26" t="s">
        <v>444</v>
      </c>
      <c r="R61" s="19"/>
      <c r="S61" s="20" t="s">
        <v>4</v>
      </c>
      <c r="T61" s="26" t="s">
        <v>1426</v>
      </c>
      <c r="U61" s="20" t="s">
        <v>4</v>
      </c>
      <c r="V61" s="26" t="s">
        <v>757</v>
      </c>
      <c r="W61" s="26" t="s">
        <v>616</v>
      </c>
      <c r="X61" s="20" t="s">
        <v>4</v>
      </c>
      <c r="Y61" s="20" t="s">
        <v>380</v>
      </c>
      <c r="Z61" s="20" t="s">
        <v>4</v>
      </c>
      <c r="AA61" s="26" t="s">
        <v>391</v>
      </c>
      <c r="AB61" s="28"/>
      <c r="AC61" s="24"/>
      <c r="AD61" s="24"/>
    </row>
    <row r="62">
      <c r="A62" s="25"/>
      <c r="B62" s="17" t="s">
        <v>1427</v>
      </c>
      <c r="C62" s="17">
        <v>9.693567984E9</v>
      </c>
      <c r="D62" s="26">
        <v>21.0</v>
      </c>
      <c r="E62" s="20" t="s">
        <v>367</v>
      </c>
      <c r="F62" s="26" t="s">
        <v>382</v>
      </c>
      <c r="G62" s="26" t="s">
        <v>518</v>
      </c>
      <c r="H62" s="26" t="s">
        <v>376</v>
      </c>
      <c r="I62" s="19"/>
      <c r="J62" s="26" t="s">
        <v>1365</v>
      </c>
      <c r="K62" s="18" t="s">
        <v>1366</v>
      </c>
      <c r="L62" s="26" t="s">
        <v>1374</v>
      </c>
      <c r="M62" s="26" t="s">
        <v>1428</v>
      </c>
      <c r="N62" s="21" t="s">
        <v>9</v>
      </c>
      <c r="O62" s="20" t="s">
        <v>4</v>
      </c>
      <c r="P62" s="20" t="s">
        <v>380</v>
      </c>
      <c r="Q62" s="26"/>
      <c r="R62" s="19"/>
      <c r="S62" s="20" t="s">
        <v>4</v>
      </c>
      <c r="T62" s="26" t="s">
        <v>756</v>
      </c>
      <c r="U62" s="20" t="s">
        <v>4</v>
      </c>
      <c r="V62" s="26" t="s">
        <v>807</v>
      </c>
      <c r="W62" s="26" t="s">
        <v>616</v>
      </c>
      <c r="X62" s="20" t="s">
        <v>4</v>
      </c>
      <c r="Y62" s="20" t="s">
        <v>4</v>
      </c>
      <c r="Z62" s="20" t="s">
        <v>4</v>
      </c>
      <c r="AA62" s="26" t="s">
        <v>391</v>
      </c>
      <c r="AB62" s="28"/>
      <c r="AC62" s="24"/>
      <c r="AD62" s="24"/>
    </row>
    <row r="63">
      <c r="A63" s="25"/>
      <c r="B63" s="17" t="s">
        <v>1429</v>
      </c>
      <c r="C63" s="17">
        <v>6.201595936E9</v>
      </c>
      <c r="D63" s="26">
        <v>24.0</v>
      </c>
      <c r="E63" s="20" t="s">
        <v>367</v>
      </c>
      <c r="F63" s="26" t="s">
        <v>441</v>
      </c>
      <c r="G63" s="26" t="s">
        <v>518</v>
      </c>
      <c r="H63" s="26" t="s">
        <v>507</v>
      </c>
      <c r="I63" s="19"/>
      <c r="J63" s="26" t="s">
        <v>1365</v>
      </c>
      <c r="K63" s="18" t="s">
        <v>1366</v>
      </c>
      <c r="L63" s="26" t="s">
        <v>1374</v>
      </c>
      <c r="M63" s="26" t="s">
        <v>1428</v>
      </c>
      <c r="N63" s="21" t="s">
        <v>9</v>
      </c>
      <c r="O63" s="20" t="s">
        <v>4</v>
      </c>
      <c r="P63" s="20" t="s">
        <v>4</v>
      </c>
      <c r="Q63" s="26" t="s">
        <v>444</v>
      </c>
      <c r="R63" s="19"/>
      <c r="S63" s="20" t="s">
        <v>380</v>
      </c>
      <c r="T63" s="19"/>
      <c r="U63" s="20" t="s">
        <v>4</v>
      </c>
      <c r="V63" s="26" t="s">
        <v>757</v>
      </c>
      <c r="W63" s="26" t="s">
        <v>616</v>
      </c>
      <c r="X63" s="20" t="s">
        <v>4</v>
      </c>
      <c r="Y63" s="20" t="s">
        <v>4</v>
      </c>
      <c r="Z63" s="20" t="s">
        <v>4</v>
      </c>
      <c r="AA63" s="26" t="s">
        <v>391</v>
      </c>
      <c r="AB63" s="28"/>
      <c r="AC63" s="24"/>
      <c r="AD63" s="24"/>
    </row>
    <row r="64">
      <c r="A64" s="31"/>
      <c r="B64" s="17" t="s">
        <v>1430</v>
      </c>
      <c r="C64" s="17">
        <v>9.955090896E9</v>
      </c>
      <c r="D64" s="26">
        <v>28.0</v>
      </c>
      <c r="E64" s="20" t="s">
        <v>367</v>
      </c>
      <c r="F64" s="26" t="s">
        <v>1184</v>
      </c>
      <c r="G64" s="26" t="s">
        <v>518</v>
      </c>
      <c r="H64" s="26" t="s">
        <v>376</v>
      </c>
      <c r="I64" s="19"/>
      <c r="J64" s="26" t="s">
        <v>1365</v>
      </c>
      <c r="K64" s="18" t="s">
        <v>1366</v>
      </c>
      <c r="L64" s="26" t="s">
        <v>1374</v>
      </c>
      <c r="M64" s="26" t="s">
        <v>1428</v>
      </c>
      <c r="N64" s="21" t="s">
        <v>9</v>
      </c>
      <c r="O64" s="20" t="s">
        <v>4</v>
      </c>
      <c r="P64" s="20" t="s">
        <v>4</v>
      </c>
      <c r="Q64" s="26" t="s">
        <v>444</v>
      </c>
      <c r="R64" s="26" t="s">
        <v>1431</v>
      </c>
      <c r="S64" s="20" t="s">
        <v>4</v>
      </c>
      <c r="T64" s="26" t="s">
        <v>756</v>
      </c>
      <c r="U64" s="20" t="s">
        <v>4</v>
      </c>
      <c r="V64" s="26" t="s">
        <v>757</v>
      </c>
      <c r="W64" s="26" t="s">
        <v>616</v>
      </c>
      <c r="X64" s="20" t="s">
        <v>4</v>
      </c>
      <c r="Y64" s="20" t="s">
        <v>4</v>
      </c>
      <c r="Z64" s="20" t="s">
        <v>4</v>
      </c>
      <c r="AA64" s="26" t="s">
        <v>391</v>
      </c>
      <c r="AB64" s="28"/>
      <c r="AC64" s="24"/>
      <c r="AD64" s="24"/>
    </row>
    <row r="66">
      <c r="B66" s="105" t="s">
        <v>1822</v>
      </c>
      <c r="C66" s="105" t="s">
        <v>1823</v>
      </c>
      <c r="D66" s="105" t="s">
        <v>1824</v>
      </c>
      <c r="E66" s="105" t="s">
        <v>1825</v>
      </c>
      <c r="F66" s="105" t="s">
        <v>391</v>
      </c>
      <c r="G66" s="105" t="s">
        <v>1826</v>
      </c>
      <c r="H66" s="105" t="s">
        <v>23</v>
      </c>
      <c r="I66" s="105" t="s">
        <v>13</v>
      </c>
      <c r="J66" s="105" t="s">
        <v>1827</v>
      </c>
      <c r="K66" s="105" t="s">
        <v>1828</v>
      </c>
      <c r="L66" s="105" t="s">
        <v>54</v>
      </c>
      <c r="M66" s="105" t="s">
        <v>3</v>
      </c>
      <c r="N66" s="128" t="s">
        <v>1829</v>
      </c>
    </row>
    <row r="67">
      <c r="B67" s="53" t="s">
        <v>1366</v>
      </c>
      <c r="C67" s="53" t="s">
        <v>1844</v>
      </c>
      <c r="D67" s="95">
        <v>28.0</v>
      </c>
      <c r="E67" s="53">
        <v>25.0</v>
      </c>
      <c r="F67" s="53">
        <v>25.0</v>
      </c>
      <c r="G67" s="53">
        <v>0.0</v>
      </c>
      <c r="H67" s="53">
        <v>1.0</v>
      </c>
      <c r="I67" s="95">
        <v>0.0</v>
      </c>
      <c r="J67" s="53">
        <v>0.0</v>
      </c>
      <c r="K67" s="53">
        <v>0.0</v>
      </c>
      <c r="L67" s="95">
        <v>2.0</v>
      </c>
      <c r="M67" s="95"/>
      <c r="N67" s="95"/>
    </row>
  </sheetData>
  <mergeCells count="3">
    <mergeCell ref="A1:C5"/>
    <mergeCell ref="G6:H6"/>
    <mergeCell ref="A37:A64"/>
  </mergeCells>
  <dataValidations>
    <dataValidation type="list" allowBlank="1" showErrorMessage="1" sqref="O37:P64 S37:S64 U37:U64 X37:Z64">
      <formula1>"Yes,NO"</formula1>
    </dataValidation>
    <dataValidation type="list" allowBlank="1" showErrorMessage="1" sqref="W37:W64">
      <formula1>"Bahut,Kuch Had Tak,Nahi"</formula1>
    </dataValidation>
    <dataValidation type="list" allowBlank="1" showErrorMessage="1" sqref="E37:E64">
      <formula1>"Male,Female"</formula1>
    </dataValidation>
    <dataValidation type="list" allowBlank="1" showErrorMessage="1" sqref="D7:D34 N37:N64">
      <formula1>"Connected,Call Back Later,Busy,Switch off,Not Received,Wrong No."</formula1>
    </dataValidation>
    <dataValidation type="list" allowBlank="1" showErrorMessage="1" sqref="E7:E34">
      <formula1>"CONFIRMED,NOT CONFIRMED"</formula1>
    </dataValidation>
    <dataValidation type="list" allowBlank="1" showErrorMessage="1" sqref="AA37:AA64">
      <formula1>"Verified,Not Verified"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5"/>
    <col customWidth="1" min="4" max="4" width="13.75"/>
    <col customWidth="1" min="14" max="14" width="14.63"/>
  </cols>
  <sheetData>
    <row r="1" ht="21.75" customHeight="1">
      <c r="A1" s="68" t="s">
        <v>1853</v>
      </c>
      <c r="D1" s="3"/>
      <c r="E1" s="3"/>
      <c r="F1" s="3"/>
    </row>
    <row r="2">
      <c r="D2" s="3"/>
      <c r="E2" s="3"/>
      <c r="F2" s="3"/>
    </row>
    <row r="3">
      <c r="D3" s="3"/>
      <c r="E3" s="3"/>
      <c r="F3" s="3"/>
    </row>
    <row r="4" ht="18.75" customHeight="1">
      <c r="D4" s="3"/>
      <c r="E4" s="3"/>
      <c r="F4" s="3"/>
    </row>
    <row r="5" ht="18.75" customHeight="1">
      <c r="D5" s="3"/>
      <c r="E5" s="3"/>
      <c r="F5" s="3"/>
    </row>
    <row r="6">
      <c r="A6" s="72" t="s">
        <v>5</v>
      </c>
      <c r="B6" s="72" t="s">
        <v>6</v>
      </c>
      <c r="C6" s="72" t="s">
        <v>7</v>
      </c>
      <c r="D6" s="73" t="s">
        <v>1854</v>
      </c>
      <c r="E6" s="74" t="s">
        <v>2</v>
      </c>
      <c r="F6" s="91" t="s">
        <v>3</v>
      </c>
      <c r="G6" s="92"/>
      <c r="H6" s="92"/>
    </row>
    <row r="7">
      <c r="A7" s="39">
        <v>1.0</v>
      </c>
      <c r="B7" s="53" t="s">
        <v>1162</v>
      </c>
      <c r="C7" s="53">
        <v>9.852787878E9</v>
      </c>
      <c r="D7" s="79" t="s">
        <v>9</v>
      </c>
      <c r="E7" s="80" t="s">
        <v>1623</v>
      </c>
      <c r="F7" s="19"/>
    </row>
    <row r="8">
      <c r="A8" s="39">
        <v>2.0</v>
      </c>
      <c r="B8" s="53" t="s">
        <v>1169</v>
      </c>
      <c r="C8" s="53">
        <v>6.203448718E9</v>
      </c>
      <c r="D8" s="79" t="s">
        <v>23</v>
      </c>
      <c r="E8" s="80"/>
      <c r="F8" s="19"/>
    </row>
    <row r="9">
      <c r="A9" s="39">
        <v>3.0</v>
      </c>
      <c r="B9" s="53" t="s">
        <v>1172</v>
      </c>
      <c r="C9" s="53">
        <v>9.504732283E9</v>
      </c>
      <c r="D9" s="79" t="s">
        <v>9</v>
      </c>
      <c r="E9" s="80" t="s">
        <v>1623</v>
      </c>
      <c r="F9" s="19"/>
    </row>
    <row r="10">
      <c r="A10" s="39">
        <v>4.0</v>
      </c>
      <c r="B10" s="53" t="s">
        <v>1175</v>
      </c>
      <c r="C10" s="53">
        <v>9.931217442E9</v>
      </c>
      <c r="D10" s="79" t="s">
        <v>9</v>
      </c>
      <c r="E10" s="80" t="s">
        <v>1623</v>
      </c>
      <c r="F10" s="19"/>
    </row>
    <row r="11">
      <c r="A11" s="39">
        <v>5.0</v>
      </c>
      <c r="B11" s="53" t="s">
        <v>1182</v>
      </c>
      <c r="C11" s="53">
        <v>7.979032014E9</v>
      </c>
      <c r="D11" s="79" t="s">
        <v>9</v>
      </c>
      <c r="E11" s="80" t="s">
        <v>1624</v>
      </c>
      <c r="F11" s="19"/>
    </row>
    <row r="12">
      <c r="A12" s="39">
        <v>6.0</v>
      </c>
      <c r="B12" s="53" t="s">
        <v>1187</v>
      </c>
      <c r="C12" s="53">
        <v>9.452409541E9</v>
      </c>
      <c r="D12" s="79" t="s">
        <v>9</v>
      </c>
      <c r="E12" s="80" t="s">
        <v>1623</v>
      </c>
      <c r="F12" s="19"/>
    </row>
    <row r="13">
      <c r="A13" s="39">
        <v>7.0</v>
      </c>
      <c r="B13" s="53" t="s">
        <v>1189</v>
      </c>
      <c r="C13" s="53">
        <v>8.603520234E9</v>
      </c>
      <c r="D13" s="79" t="s">
        <v>9</v>
      </c>
      <c r="E13" s="80" t="s">
        <v>1623</v>
      </c>
      <c r="F13" s="19"/>
    </row>
    <row r="14">
      <c r="A14" s="39">
        <v>8.0</v>
      </c>
      <c r="B14" s="53" t="s">
        <v>1193</v>
      </c>
      <c r="C14" s="53">
        <v>9.57284213E9</v>
      </c>
      <c r="D14" s="79" t="s">
        <v>9</v>
      </c>
      <c r="E14" s="80" t="s">
        <v>1624</v>
      </c>
      <c r="F14" s="19"/>
    </row>
    <row r="15">
      <c r="A15" s="39">
        <v>9.0</v>
      </c>
      <c r="B15" s="53" t="s">
        <v>1197</v>
      </c>
      <c r="C15" s="53">
        <v>9.939312926E9</v>
      </c>
      <c r="D15" s="79" t="s">
        <v>13</v>
      </c>
      <c r="E15" s="80"/>
      <c r="F15" s="19"/>
    </row>
    <row r="16">
      <c r="A16" s="39">
        <v>10.0</v>
      </c>
      <c r="B16" s="53" t="s">
        <v>1202</v>
      </c>
      <c r="C16" s="53">
        <v>9.473294914E9</v>
      </c>
      <c r="D16" s="79" t="s">
        <v>9</v>
      </c>
      <c r="E16" s="80" t="s">
        <v>1623</v>
      </c>
      <c r="F16" s="19"/>
    </row>
    <row r="17">
      <c r="A17" s="39">
        <v>11.0</v>
      </c>
      <c r="B17" s="53" t="s">
        <v>1204</v>
      </c>
      <c r="C17" s="53">
        <v>8.969582082E9</v>
      </c>
      <c r="D17" s="79" t="s">
        <v>9</v>
      </c>
      <c r="E17" s="80" t="s">
        <v>1623</v>
      </c>
      <c r="F17" s="19"/>
    </row>
    <row r="18">
      <c r="A18" s="39">
        <v>12.0</v>
      </c>
      <c r="B18" s="53" t="s">
        <v>1207</v>
      </c>
      <c r="C18" s="53">
        <v>6.204785007E9</v>
      </c>
      <c r="D18" s="79" t="s">
        <v>13</v>
      </c>
      <c r="E18" s="80"/>
      <c r="F18" s="19"/>
    </row>
    <row r="19">
      <c r="A19" s="39">
        <v>13.0</v>
      </c>
      <c r="B19" s="53" t="s">
        <v>1210</v>
      </c>
      <c r="C19" s="53">
        <v>9.241038324E9</v>
      </c>
      <c r="D19" s="79" t="s">
        <v>23</v>
      </c>
      <c r="E19" s="80"/>
      <c r="F19" s="19"/>
    </row>
    <row r="20">
      <c r="A20" s="39">
        <v>14.0</v>
      </c>
      <c r="B20" s="53" t="s">
        <v>1212</v>
      </c>
      <c r="C20" s="53">
        <v>7.780062009E9</v>
      </c>
      <c r="D20" s="79" t="s">
        <v>9</v>
      </c>
      <c r="E20" s="80" t="s">
        <v>1623</v>
      </c>
      <c r="F20" s="19"/>
    </row>
    <row r="21">
      <c r="A21" s="39">
        <v>15.0</v>
      </c>
      <c r="B21" s="53" t="s">
        <v>188</v>
      </c>
      <c r="C21" s="53">
        <v>7.370918902E9</v>
      </c>
      <c r="D21" s="79" t="s">
        <v>9</v>
      </c>
      <c r="E21" s="80" t="s">
        <v>1623</v>
      </c>
      <c r="F21" s="19"/>
    </row>
    <row r="22">
      <c r="A22" s="39">
        <v>16.0</v>
      </c>
      <c r="B22" s="53" t="s">
        <v>279</v>
      </c>
      <c r="C22" s="53">
        <v>6.202140134E9</v>
      </c>
      <c r="D22" s="79" t="s">
        <v>9</v>
      </c>
      <c r="E22" s="80" t="s">
        <v>1623</v>
      </c>
      <c r="F22" s="19"/>
    </row>
    <row r="23">
      <c r="A23" s="39">
        <v>17.0</v>
      </c>
      <c r="B23" s="53" t="s">
        <v>59</v>
      </c>
      <c r="C23" s="53">
        <v>9.102927676E9</v>
      </c>
      <c r="D23" s="79" t="s">
        <v>9</v>
      </c>
      <c r="E23" s="80" t="s">
        <v>1623</v>
      </c>
      <c r="F23" s="19"/>
    </row>
    <row r="24">
      <c r="A24" s="39">
        <v>18.0</v>
      </c>
      <c r="B24" s="53" t="s">
        <v>1218</v>
      </c>
      <c r="C24" s="53">
        <v>7.667300586E9</v>
      </c>
      <c r="D24" s="79" t="s">
        <v>9</v>
      </c>
      <c r="E24" s="80" t="s">
        <v>1623</v>
      </c>
      <c r="F24" s="19"/>
    </row>
    <row r="25">
      <c r="A25" s="39">
        <v>19.0</v>
      </c>
      <c r="B25" s="53" t="s">
        <v>1219</v>
      </c>
      <c r="C25" s="53">
        <v>7.050061768E9</v>
      </c>
      <c r="D25" s="79" t="s">
        <v>9</v>
      </c>
      <c r="E25" s="80" t="s">
        <v>1624</v>
      </c>
      <c r="F25" s="19"/>
    </row>
    <row r="26">
      <c r="A26" s="39">
        <v>20.0</v>
      </c>
      <c r="B26" s="53" t="s">
        <v>1223</v>
      </c>
      <c r="C26" s="53">
        <v>8.77767485E9</v>
      </c>
      <c r="D26" s="79" t="s">
        <v>9</v>
      </c>
      <c r="E26" s="80" t="s">
        <v>1623</v>
      </c>
      <c r="F26" s="19"/>
    </row>
    <row r="27">
      <c r="A27" s="39">
        <v>21.0</v>
      </c>
      <c r="B27" s="53" t="s">
        <v>1225</v>
      </c>
      <c r="C27" s="53">
        <v>6.202813137E9</v>
      </c>
      <c r="D27" s="79" t="s">
        <v>13</v>
      </c>
      <c r="E27" s="80"/>
      <c r="F27" s="19"/>
    </row>
    <row r="28">
      <c r="A28" s="39">
        <v>22.0</v>
      </c>
      <c r="B28" s="17" t="s">
        <v>1240</v>
      </c>
      <c r="C28" s="17">
        <v>7.739747146E9</v>
      </c>
      <c r="D28" s="79"/>
      <c r="E28" s="80"/>
    </row>
    <row r="29">
      <c r="B29" s="53" t="s">
        <v>1168</v>
      </c>
      <c r="C29" s="53">
        <v>8.804625606E9</v>
      </c>
    </row>
    <row r="30">
      <c r="B30" s="53" t="s">
        <v>1180</v>
      </c>
      <c r="C30" s="53">
        <v>7.781852439E9</v>
      </c>
    </row>
    <row r="31">
      <c r="B31" s="53" t="s">
        <v>1181</v>
      </c>
      <c r="C31" s="53">
        <v>8.409571632E9</v>
      </c>
    </row>
    <row r="32">
      <c r="B32" s="53" t="s">
        <v>1183</v>
      </c>
      <c r="C32" s="53">
        <v>7.654395511E9</v>
      </c>
    </row>
    <row r="33">
      <c r="B33" s="53" t="s">
        <v>1196</v>
      </c>
      <c r="C33" s="53">
        <v>7.091591301E9</v>
      </c>
    </row>
    <row r="34">
      <c r="B34" s="53" t="s">
        <v>1208</v>
      </c>
      <c r="C34" s="53">
        <v>7.321870273E9</v>
      </c>
      <c r="H34" s="39" t="s">
        <v>1855</v>
      </c>
    </row>
    <row r="35">
      <c r="B35" s="53" t="s">
        <v>1209</v>
      </c>
      <c r="C35" s="53">
        <v>9.060333407E9</v>
      </c>
    </row>
    <row r="36">
      <c r="B36" s="53" t="s">
        <v>1216</v>
      </c>
      <c r="C36" s="53">
        <v>9.304752754E9</v>
      </c>
    </row>
    <row r="37">
      <c r="B37" s="53" t="s">
        <v>1221</v>
      </c>
      <c r="C37" s="53">
        <v>6.203824909E9</v>
      </c>
    </row>
    <row r="38">
      <c r="B38" s="53" t="s">
        <v>1222</v>
      </c>
      <c r="C38" s="53">
        <v>9.163978025E9</v>
      </c>
    </row>
    <row r="39" ht="26.25" customHeight="1">
      <c r="A39" s="130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2"/>
      <c r="AB39" s="133"/>
      <c r="AC39" s="134"/>
      <c r="AD39" s="134"/>
    </row>
    <row r="40" ht="84.75" customHeight="1">
      <c r="A40" s="10" t="s">
        <v>339</v>
      </c>
      <c r="B40" s="135" t="s">
        <v>340</v>
      </c>
      <c r="C40" s="136" t="s">
        <v>341</v>
      </c>
      <c r="D40" s="11" t="s">
        <v>342</v>
      </c>
      <c r="E40" s="11" t="s">
        <v>343</v>
      </c>
      <c r="F40" s="11" t="s">
        <v>344</v>
      </c>
      <c r="G40" s="11" t="s">
        <v>345</v>
      </c>
      <c r="H40" s="11" t="s">
        <v>346</v>
      </c>
      <c r="I40" s="11" t="s">
        <v>347</v>
      </c>
      <c r="J40" s="12" t="s">
        <v>348</v>
      </c>
      <c r="K40" s="12" t="s">
        <v>349</v>
      </c>
      <c r="L40" s="11" t="s">
        <v>350</v>
      </c>
      <c r="M40" s="11" t="s">
        <v>351</v>
      </c>
      <c r="N40" s="11" t="s">
        <v>1</v>
      </c>
      <c r="O40" s="11" t="s">
        <v>352</v>
      </c>
      <c r="P40" s="11" t="s">
        <v>353</v>
      </c>
      <c r="Q40" s="11" t="s">
        <v>354</v>
      </c>
      <c r="R40" s="11" t="s">
        <v>355</v>
      </c>
      <c r="S40" s="11" t="s">
        <v>356</v>
      </c>
      <c r="T40" s="11" t="s">
        <v>357</v>
      </c>
      <c r="U40" s="11" t="s">
        <v>358</v>
      </c>
      <c r="V40" s="11" t="s">
        <v>359</v>
      </c>
      <c r="W40" s="11" t="s">
        <v>360</v>
      </c>
      <c r="X40" s="11" t="s">
        <v>361</v>
      </c>
      <c r="Y40" s="11" t="s">
        <v>362</v>
      </c>
      <c r="Z40" s="11" t="s">
        <v>363</v>
      </c>
      <c r="AA40" s="13" t="s">
        <v>364</v>
      </c>
      <c r="AB40" s="14" t="s">
        <v>3</v>
      </c>
      <c r="AC40" s="15"/>
      <c r="AD40" s="15"/>
    </row>
    <row r="41">
      <c r="A41" s="16" t="s">
        <v>1161</v>
      </c>
      <c r="B41" s="53" t="s">
        <v>1162</v>
      </c>
      <c r="C41" s="53">
        <v>9.852787878E9</v>
      </c>
      <c r="D41" s="53">
        <v>29.0</v>
      </c>
      <c r="E41" s="55" t="s">
        <v>367</v>
      </c>
      <c r="F41" s="53" t="s">
        <v>1163</v>
      </c>
      <c r="G41" s="53" t="s">
        <v>551</v>
      </c>
      <c r="H41" s="53" t="s">
        <v>1164</v>
      </c>
      <c r="I41" s="53" t="s">
        <v>551</v>
      </c>
      <c r="J41" s="26" t="s">
        <v>1165</v>
      </c>
      <c r="K41" s="37" t="s">
        <v>1166</v>
      </c>
      <c r="L41" s="53" t="s">
        <v>1165</v>
      </c>
      <c r="M41" s="53" t="s">
        <v>1165</v>
      </c>
      <c r="N41" s="56" t="s">
        <v>9</v>
      </c>
      <c r="O41" s="55" t="s">
        <v>4</v>
      </c>
      <c r="P41" s="55" t="s">
        <v>4</v>
      </c>
      <c r="Q41" s="53" t="s">
        <v>867</v>
      </c>
      <c r="R41" s="53" t="s">
        <v>652</v>
      </c>
      <c r="S41" s="55" t="s">
        <v>4</v>
      </c>
      <c r="T41" s="37"/>
      <c r="U41" s="55" t="s">
        <v>4</v>
      </c>
      <c r="V41" s="37"/>
      <c r="W41" s="37" t="s">
        <v>1167</v>
      </c>
      <c r="X41" s="55" t="s">
        <v>4</v>
      </c>
      <c r="Y41" s="55" t="s">
        <v>4</v>
      </c>
      <c r="Z41" s="55" t="s">
        <v>4</v>
      </c>
      <c r="AA41" s="37" t="s">
        <v>391</v>
      </c>
      <c r="AB41" s="28"/>
      <c r="AC41" s="24"/>
      <c r="AD41" s="24"/>
    </row>
    <row r="42">
      <c r="A42" s="25"/>
      <c r="B42" s="53" t="s">
        <v>1168</v>
      </c>
      <c r="C42" s="53">
        <v>8.804625606E9</v>
      </c>
      <c r="D42" s="53"/>
      <c r="E42" s="55"/>
      <c r="F42" s="53"/>
      <c r="G42" s="53"/>
      <c r="H42" s="53"/>
      <c r="I42" s="53"/>
      <c r="J42" s="19"/>
      <c r="K42" s="37" t="s">
        <v>1166</v>
      </c>
      <c r="L42" s="53"/>
      <c r="M42" s="53"/>
      <c r="N42" s="56" t="s">
        <v>30</v>
      </c>
      <c r="O42" s="55"/>
      <c r="P42" s="55"/>
      <c r="Q42" s="53"/>
      <c r="R42" s="53"/>
      <c r="S42" s="55"/>
      <c r="T42" s="37"/>
      <c r="U42" s="55"/>
      <c r="V42" s="37"/>
      <c r="W42" s="37"/>
      <c r="X42" s="55"/>
      <c r="Y42" s="55"/>
      <c r="Z42" s="55"/>
      <c r="AA42" s="37"/>
      <c r="AB42" s="28"/>
      <c r="AC42" s="24"/>
      <c r="AD42" s="24"/>
    </row>
    <row r="43">
      <c r="A43" s="25"/>
      <c r="B43" s="53" t="s">
        <v>1169</v>
      </c>
      <c r="C43" s="53">
        <v>6.203448718E9</v>
      </c>
      <c r="D43" s="53">
        <v>26.0</v>
      </c>
      <c r="E43" s="55" t="s">
        <v>367</v>
      </c>
      <c r="F43" s="53" t="s">
        <v>1074</v>
      </c>
      <c r="G43" s="53" t="s">
        <v>375</v>
      </c>
      <c r="H43" s="53" t="s">
        <v>407</v>
      </c>
      <c r="I43" s="53" t="s">
        <v>825</v>
      </c>
      <c r="J43" s="26" t="s">
        <v>1165</v>
      </c>
      <c r="K43" s="37" t="s">
        <v>1166</v>
      </c>
      <c r="L43" s="53" t="s">
        <v>1165</v>
      </c>
      <c r="M43" s="53" t="s">
        <v>1165</v>
      </c>
      <c r="N43" s="56" t="s">
        <v>9</v>
      </c>
      <c r="O43" s="55" t="s">
        <v>4</v>
      </c>
      <c r="P43" s="55" t="s">
        <v>4</v>
      </c>
      <c r="Q43" s="53"/>
      <c r="R43" s="53"/>
      <c r="S43" s="55" t="s">
        <v>4</v>
      </c>
      <c r="T43" s="37" t="s">
        <v>1170</v>
      </c>
      <c r="U43" s="55" t="s">
        <v>4</v>
      </c>
      <c r="V43" s="37" t="s">
        <v>1171</v>
      </c>
      <c r="W43" s="37" t="s">
        <v>1040</v>
      </c>
      <c r="X43" s="55" t="s">
        <v>4</v>
      </c>
      <c r="Y43" s="55" t="s">
        <v>4</v>
      </c>
      <c r="Z43" s="55" t="s">
        <v>4</v>
      </c>
      <c r="AA43" s="37" t="s">
        <v>391</v>
      </c>
      <c r="AB43" s="28"/>
      <c r="AC43" s="24"/>
      <c r="AD43" s="24"/>
    </row>
    <row r="44">
      <c r="A44" s="25"/>
      <c r="B44" s="53" t="s">
        <v>1172</v>
      </c>
      <c r="C44" s="53">
        <v>9.504732283E9</v>
      </c>
      <c r="D44" s="53">
        <v>52.0</v>
      </c>
      <c r="E44" s="55" t="s">
        <v>367</v>
      </c>
      <c r="F44" s="53" t="s">
        <v>441</v>
      </c>
      <c r="G44" s="53" t="s">
        <v>551</v>
      </c>
      <c r="H44" s="53" t="s">
        <v>383</v>
      </c>
      <c r="I44" s="53" t="s">
        <v>875</v>
      </c>
      <c r="J44" s="26" t="s">
        <v>1165</v>
      </c>
      <c r="K44" s="37" t="s">
        <v>1166</v>
      </c>
      <c r="L44" s="53" t="s">
        <v>1165</v>
      </c>
      <c r="M44" s="53" t="s">
        <v>1165</v>
      </c>
      <c r="N44" s="56" t="s">
        <v>9</v>
      </c>
      <c r="O44" s="55" t="s">
        <v>4</v>
      </c>
      <c r="P44" s="55" t="s">
        <v>4</v>
      </c>
      <c r="Q44" s="53" t="s">
        <v>867</v>
      </c>
      <c r="R44" s="53"/>
      <c r="S44" s="55" t="s">
        <v>4</v>
      </c>
      <c r="T44" s="37" t="s">
        <v>1173</v>
      </c>
      <c r="U44" s="55" t="s">
        <v>4</v>
      </c>
      <c r="V44" s="37" t="s">
        <v>1174</v>
      </c>
      <c r="W44" s="37" t="s">
        <v>1040</v>
      </c>
      <c r="X44" s="55" t="s">
        <v>4</v>
      </c>
      <c r="Y44" s="55" t="s">
        <v>4</v>
      </c>
      <c r="Z44" s="55" t="s">
        <v>4</v>
      </c>
      <c r="AA44" s="37" t="s">
        <v>391</v>
      </c>
      <c r="AB44" s="28"/>
      <c r="AC44" s="24"/>
      <c r="AD44" s="24"/>
    </row>
    <row r="45">
      <c r="A45" s="25"/>
      <c r="B45" s="53" t="s">
        <v>1175</v>
      </c>
      <c r="C45" s="53">
        <v>9.931217442E9</v>
      </c>
      <c r="D45" s="53">
        <v>56.0</v>
      </c>
      <c r="E45" s="55" t="s">
        <v>367</v>
      </c>
      <c r="F45" s="53" t="s">
        <v>441</v>
      </c>
      <c r="G45" s="53" t="s">
        <v>518</v>
      </c>
      <c r="H45" s="53" t="s">
        <v>507</v>
      </c>
      <c r="I45" s="53" t="s">
        <v>1176</v>
      </c>
      <c r="J45" s="26" t="s">
        <v>1165</v>
      </c>
      <c r="K45" s="37" t="s">
        <v>1166</v>
      </c>
      <c r="L45" s="53" t="s">
        <v>1177</v>
      </c>
      <c r="M45" s="53" t="s">
        <v>1178</v>
      </c>
      <c r="N45" s="56" t="s">
        <v>9</v>
      </c>
      <c r="O45" s="55" t="s">
        <v>4</v>
      </c>
      <c r="P45" s="55" t="s">
        <v>4</v>
      </c>
      <c r="Q45" s="53" t="s">
        <v>444</v>
      </c>
      <c r="R45" s="53"/>
      <c r="S45" s="55" t="s">
        <v>1179</v>
      </c>
      <c r="T45" s="37" t="s">
        <v>756</v>
      </c>
      <c r="U45" s="55" t="s">
        <v>4</v>
      </c>
      <c r="V45" s="37" t="s">
        <v>757</v>
      </c>
      <c r="W45" s="37" t="s">
        <v>1040</v>
      </c>
      <c r="X45" s="55" t="s">
        <v>4</v>
      </c>
      <c r="Y45" s="55" t="s">
        <v>4</v>
      </c>
      <c r="Z45" s="55" t="s">
        <v>4</v>
      </c>
      <c r="AA45" s="37" t="s">
        <v>391</v>
      </c>
      <c r="AB45" s="28"/>
      <c r="AC45" s="24"/>
      <c r="AD45" s="24"/>
    </row>
    <row r="46">
      <c r="A46" s="25"/>
      <c r="B46" s="53" t="s">
        <v>1180</v>
      </c>
      <c r="C46" s="53">
        <v>7.781852439E9</v>
      </c>
      <c r="D46" s="53"/>
      <c r="E46" s="55"/>
      <c r="F46" s="53"/>
      <c r="G46" s="53"/>
      <c r="H46" s="53"/>
      <c r="I46" s="53"/>
      <c r="J46" s="19"/>
      <c r="K46" s="37" t="s">
        <v>1166</v>
      </c>
      <c r="L46" s="53"/>
      <c r="M46" s="53"/>
      <c r="N46" s="56" t="s">
        <v>23</v>
      </c>
      <c r="O46" s="55"/>
      <c r="P46" s="55"/>
      <c r="Q46" s="53"/>
      <c r="R46" s="53"/>
      <c r="S46" s="55"/>
      <c r="T46" s="37"/>
      <c r="U46" s="55"/>
      <c r="V46" s="37"/>
      <c r="W46" s="37"/>
      <c r="X46" s="55"/>
      <c r="Y46" s="55"/>
      <c r="Z46" s="55"/>
      <c r="AA46" s="37"/>
      <c r="AB46" s="28"/>
      <c r="AC46" s="24"/>
      <c r="AD46" s="24"/>
    </row>
    <row r="47">
      <c r="A47" s="25"/>
      <c r="B47" s="53" t="s">
        <v>1181</v>
      </c>
      <c r="C47" s="53">
        <v>8.409571632E9</v>
      </c>
      <c r="D47" s="53"/>
      <c r="E47" s="55"/>
      <c r="F47" s="53"/>
      <c r="G47" s="53"/>
      <c r="H47" s="53"/>
      <c r="I47" s="53"/>
      <c r="J47" s="19"/>
      <c r="K47" s="37" t="s">
        <v>1166</v>
      </c>
      <c r="L47" s="53"/>
      <c r="M47" s="53"/>
      <c r="N47" s="56" t="s">
        <v>27</v>
      </c>
      <c r="O47" s="55"/>
      <c r="P47" s="55"/>
      <c r="Q47" s="53"/>
      <c r="R47" s="53"/>
      <c r="S47" s="55"/>
      <c r="T47" s="37"/>
      <c r="U47" s="55"/>
      <c r="V47" s="37"/>
      <c r="W47" s="37"/>
      <c r="X47" s="55"/>
      <c r="Y47" s="55"/>
      <c r="Z47" s="55"/>
      <c r="AA47" s="37"/>
      <c r="AB47" s="28"/>
      <c r="AC47" s="24"/>
      <c r="AD47" s="24"/>
    </row>
    <row r="48">
      <c r="A48" s="25"/>
      <c r="B48" s="53" t="s">
        <v>1182</v>
      </c>
      <c r="C48" s="53">
        <v>7.979032014E9</v>
      </c>
      <c r="D48" s="53">
        <v>28.0</v>
      </c>
      <c r="E48" s="55" t="s">
        <v>367</v>
      </c>
      <c r="F48" s="53" t="s">
        <v>437</v>
      </c>
      <c r="G48" s="53" t="s">
        <v>518</v>
      </c>
      <c r="H48" s="53" t="s">
        <v>637</v>
      </c>
      <c r="I48" s="53"/>
      <c r="J48" s="26" t="s">
        <v>1165</v>
      </c>
      <c r="K48" s="37" t="s">
        <v>1166</v>
      </c>
      <c r="L48" s="53" t="s">
        <v>1165</v>
      </c>
      <c r="M48" s="53" t="s">
        <v>1178</v>
      </c>
      <c r="N48" s="56" t="s">
        <v>9</v>
      </c>
      <c r="O48" s="55" t="s">
        <v>4</v>
      </c>
      <c r="P48" s="55" t="s">
        <v>380</v>
      </c>
      <c r="Q48" s="53"/>
      <c r="R48" s="53"/>
      <c r="S48" s="55" t="s">
        <v>4</v>
      </c>
      <c r="T48" s="37" t="s">
        <v>756</v>
      </c>
      <c r="U48" s="55" t="s">
        <v>4</v>
      </c>
      <c r="V48" s="37" t="s">
        <v>757</v>
      </c>
      <c r="W48" s="37" t="s">
        <v>1040</v>
      </c>
      <c r="X48" s="55" t="s">
        <v>4</v>
      </c>
      <c r="Y48" s="55" t="s">
        <v>4</v>
      </c>
      <c r="Z48" s="55" t="s">
        <v>4</v>
      </c>
      <c r="AA48" s="37" t="s">
        <v>391</v>
      </c>
      <c r="AB48" s="28"/>
      <c r="AC48" s="24"/>
      <c r="AD48" s="24"/>
    </row>
    <row r="49">
      <c r="A49" s="25"/>
      <c r="B49" s="53" t="s">
        <v>1183</v>
      </c>
      <c r="C49" s="53">
        <v>7.654395511E9</v>
      </c>
      <c r="D49" s="53">
        <v>32.0</v>
      </c>
      <c r="E49" s="55" t="s">
        <v>367</v>
      </c>
      <c r="F49" s="53" t="s">
        <v>1184</v>
      </c>
      <c r="G49" s="53" t="s">
        <v>518</v>
      </c>
      <c r="H49" s="53" t="s">
        <v>1185</v>
      </c>
      <c r="I49" s="53"/>
      <c r="J49" s="26" t="s">
        <v>1165</v>
      </c>
      <c r="K49" s="37" t="s">
        <v>1166</v>
      </c>
      <c r="L49" s="53" t="s">
        <v>1177</v>
      </c>
      <c r="M49" s="53"/>
      <c r="N49" s="56" t="s">
        <v>13</v>
      </c>
      <c r="O49" s="55"/>
      <c r="P49" s="55"/>
      <c r="Q49" s="53"/>
      <c r="R49" s="53"/>
      <c r="S49" s="55"/>
      <c r="T49" s="37"/>
      <c r="U49" s="55"/>
      <c r="V49" s="37"/>
      <c r="W49" s="37"/>
      <c r="X49" s="55"/>
      <c r="Y49" s="55"/>
      <c r="Z49" s="55"/>
      <c r="AA49" s="37" t="s">
        <v>410</v>
      </c>
      <c r="AB49" s="17" t="s">
        <v>1186</v>
      </c>
      <c r="AC49" s="24"/>
      <c r="AD49" s="24"/>
    </row>
    <row r="50">
      <c r="A50" s="25"/>
      <c r="B50" s="53" t="s">
        <v>1187</v>
      </c>
      <c r="C50" s="53">
        <v>9.452409541E9</v>
      </c>
      <c r="D50" s="53">
        <v>26.0</v>
      </c>
      <c r="E50" s="55" t="s">
        <v>367</v>
      </c>
      <c r="F50" s="53" t="s">
        <v>441</v>
      </c>
      <c r="G50" s="53" t="s">
        <v>551</v>
      </c>
      <c r="H50" s="53" t="s">
        <v>512</v>
      </c>
      <c r="I50" s="53" t="s">
        <v>1188</v>
      </c>
      <c r="J50" s="26" t="s">
        <v>1165</v>
      </c>
      <c r="K50" s="37" t="s">
        <v>1166</v>
      </c>
      <c r="L50" s="53" t="s">
        <v>1165</v>
      </c>
      <c r="M50" s="53" t="s">
        <v>1165</v>
      </c>
      <c r="N50" s="56" t="s">
        <v>9</v>
      </c>
      <c r="O50" s="55" t="s">
        <v>4</v>
      </c>
      <c r="P50" s="55" t="s">
        <v>380</v>
      </c>
      <c r="Q50" s="53"/>
      <c r="R50" s="53"/>
      <c r="S50" s="55" t="s">
        <v>4</v>
      </c>
      <c r="T50" s="37" t="s">
        <v>1170</v>
      </c>
      <c r="U50" s="55" t="s">
        <v>380</v>
      </c>
      <c r="V50" s="37"/>
      <c r="W50" s="37" t="s">
        <v>1040</v>
      </c>
      <c r="X50" s="55" t="s">
        <v>4</v>
      </c>
      <c r="Y50" s="55" t="s">
        <v>4</v>
      </c>
      <c r="Z50" s="55" t="s">
        <v>4</v>
      </c>
      <c r="AA50" s="37" t="s">
        <v>391</v>
      </c>
      <c r="AB50" s="28"/>
      <c r="AC50" s="24"/>
      <c r="AD50" s="24"/>
    </row>
    <row r="51">
      <c r="A51" s="25"/>
      <c r="B51" s="53" t="s">
        <v>1189</v>
      </c>
      <c r="C51" s="53">
        <v>8.603520234E9</v>
      </c>
      <c r="D51" s="53">
        <v>28.0</v>
      </c>
      <c r="E51" s="55" t="s">
        <v>367</v>
      </c>
      <c r="F51" s="53" t="s">
        <v>441</v>
      </c>
      <c r="G51" s="53" t="s">
        <v>375</v>
      </c>
      <c r="H51" s="53" t="s">
        <v>383</v>
      </c>
      <c r="I51" s="53" t="s">
        <v>377</v>
      </c>
      <c r="J51" s="26" t="s">
        <v>1165</v>
      </c>
      <c r="K51" s="37" t="s">
        <v>1166</v>
      </c>
      <c r="L51" s="53" t="s">
        <v>1165</v>
      </c>
      <c r="M51" s="53" t="s">
        <v>1165</v>
      </c>
      <c r="N51" s="56" t="s">
        <v>9</v>
      </c>
      <c r="O51" s="55" t="s">
        <v>4</v>
      </c>
      <c r="P51" s="55" t="s">
        <v>4</v>
      </c>
      <c r="Q51" s="53" t="s">
        <v>867</v>
      </c>
      <c r="R51" s="53" t="s">
        <v>877</v>
      </c>
      <c r="S51" s="55" t="s">
        <v>4</v>
      </c>
      <c r="T51" s="37" t="s">
        <v>1190</v>
      </c>
      <c r="U51" s="55" t="s">
        <v>4</v>
      </c>
      <c r="V51" s="37" t="s">
        <v>1191</v>
      </c>
      <c r="W51" s="37" t="s">
        <v>1192</v>
      </c>
      <c r="X51" s="55" t="s">
        <v>4</v>
      </c>
      <c r="Y51" s="55" t="s">
        <v>4</v>
      </c>
      <c r="Z51" s="55" t="s">
        <v>4</v>
      </c>
      <c r="AA51" s="37" t="s">
        <v>391</v>
      </c>
      <c r="AB51" s="28"/>
      <c r="AC51" s="24"/>
      <c r="AD51" s="24"/>
    </row>
    <row r="52">
      <c r="A52" s="25"/>
      <c r="B52" s="53" t="s">
        <v>1193</v>
      </c>
      <c r="C52" s="53">
        <v>9.57284213E9</v>
      </c>
      <c r="D52" s="53">
        <v>22.0</v>
      </c>
      <c r="E52" s="55" t="s">
        <v>367</v>
      </c>
      <c r="F52" s="53" t="s">
        <v>536</v>
      </c>
      <c r="G52" s="53" t="s">
        <v>375</v>
      </c>
      <c r="H52" s="53" t="s">
        <v>383</v>
      </c>
      <c r="I52" s="53" t="s">
        <v>377</v>
      </c>
      <c r="J52" s="26" t="s">
        <v>1165</v>
      </c>
      <c r="K52" s="37" t="s">
        <v>1166</v>
      </c>
      <c r="L52" s="53" t="s">
        <v>1165</v>
      </c>
      <c r="M52" s="53" t="s">
        <v>1194</v>
      </c>
      <c r="N52" s="56" t="s">
        <v>9</v>
      </c>
      <c r="O52" s="55" t="s">
        <v>4</v>
      </c>
      <c r="P52" s="55" t="s">
        <v>4</v>
      </c>
      <c r="Q52" s="53" t="s">
        <v>867</v>
      </c>
      <c r="R52" s="53" t="s">
        <v>652</v>
      </c>
      <c r="S52" s="55" t="s">
        <v>4</v>
      </c>
      <c r="T52" s="37" t="s">
        <v>1195</v>
      </c>
      <c r="U52" s="55" t="s">
        <v>380</v>
      </c>
      <c r="V52" s="37"/>
      <c r="W52" s="37" t="s">
        <v>1040</v>
      </c>
      <c r="X52" s="55" t="s">
        <v>4</v>
      </c>
      <c r="Y52" s="55" t="s">
        <v>4</v>
      </c>
      <c r="Z52" s="55" t="s">
        <v>4</v>
      </c>
      <c r="AA52" s="37" t="s">
        <v>391</v>
      </c>
      <c r="AB52" s="28"/>
      <c r="AC52" s="24"/>
      <c r="AD52" s="24"/>
    </row>
    <row r="53">
      <c r="A53" s="25"/>
      <c r="B53" s="53" t="s">
        <v>1196</v>
      </c>
      <c r="C53" s="53">
        <v>7.091591301E9</v>
      </c>
      <c r="D53" s="53"/>
      <c r="E53" s="55"/>
      <c r="F53" s="53"/>
      <c r="G53" s="53"/>
      <c r="H53" s="53"/>
      <c r="I53" s="53"/>
      <c r="J53" s="19"/>
      <c r="K53" s="37" t="s">
        <v>1166</v>
      </c>
      <c r="L53" s="53"/>
      <c r="M53" s="53"/>
      <c r="N53" s="56" t="s">
        <v>27</v>
      </c>
      <c r="O53" s="55"/>
      <c r="P53" s="55"/>
      <c r="Q53" s="53"/>
      <c r="R53" s="53"/>
      <c r="S53" s="55"/>
      <c r="T53" s="37"/>
      <c r="U53" s="55"/>
      <c r="V53" s="37"/>
      <c r="W53" s="37"/>
      <c r="X53" s="55"/>
      <c r="Y53" s="55"/>
      <c r="Z53" s="55"/>
      <c r="AA53" s="37"/>
      <c r="AB53" s="28"/>
      <c r="AC53" s="24"/>
      <c r="AD53" s="24"/>
    </row>
    <row r="54">
      <c r="A54" s="25"/>
      <c r="B54" s="53" t="s">
        <v>1197</v>
      </c>
      <c r="C54" s="53">
        <v>9.939312926E9</v>
      </c>
      <c r="D54" s="53">
        <v>28.0</v>
      </c>
      <c r="E54" s="55" t="s">
        <v>367</v>
      </c>
      <c r="F54" s="53" t="s">
        <v>382</v>
      </c>
      <c r="G54" s="53" t="s">
        <v>375</v>
      </c>
      <c r="H54" s="53" t="s">
        <v>1185</v>
      </c>
      <c r="I54" s="53" t="s">
        <v>1198</v>
      </c>
      <c r="J54" s="26" t="s">
        <v>1165</v>
      </c>
      <c r="K54" s="37" t="s">
        <v>1166</v>
      </c>
      <c r="L54" s="53" t="s">
        <v>1165</v>
      </c>
      <c r="M54" s="53" t="s">
        <v>1199</v>
      </c>
      <c r="N54" s="56" t="s">
        <v>9</v>
      </c>
      <c r="O54" s="55" t="s">
        <v>4</v>
      </c>
      <c r="P54" s="55" t="s">
        <v>4</v>
      </c>
      <c r="Q54" s="53" t="s">
        <v>1200</v>
      </c>
      <c r="R54" s="53" t="s">
        <v>770</v>
      </c>
      <c r="S54" s="55" t="s">
        <v>4</v>
      </c>
      <c r="T54" s="37" t="s">
        <v>1195</v>
      </c>
      <c r="U54" s="55" t="s">
        <v>4</v>
      </c>
      <c r="V54" s="37" t="s">
        <v>1201</v>
      </c>
      <c r="W54" s="37" t="s">
        <v>1040</v>
      </c>
      <c r="X54" s="55" t="s">
        <v>4</v>
      </c>
      <c r="Y54" s="55" t="s">
        <v>4</v>
      </c>
      <c r="Z54" s="55" t="s">
        <v>4</v>
      </c>
      <c r="AA54" s="37" t="s">
        <v>391</v>
      </c>
      <c r="AB54" s="28"/>
      <c r="AC54" s="24"/>
      <c r="AD54" s="24"/>
    </row>
    <row r="55">
      <c r="A55" s="25"/>
      <c r="B55" s="53" t="s">
        <v>1202</v>
      </c>
      <c r="C55" s="53">
        <v>9.473294914E9</v>
      </c>
      <c r="D55" s="53">
        <v>22.0</v>
      </c>
      <c r="E55" s="55" t="s">
        <v>367</v>
      </c>
      <c r="F55" s="53" t="s">
        <v>1074</v>
      </c>
      <c r="G55" s="53" t="s">
        <v>375</v>
      </c>
      <c r="H55" s="53" t="s">
        <v>663</v>
      </c>
      <c r="I55" s="53" t="s">
        <v>377</v>
      </c>
      <c r="J55" s="26" t="s">
        <v>1165</v>
      </c>
      <c r="K55" s="37" t="s">
        <v>1166</v>
      </c>
      <c r="L55" s="53" t="s">
        <v>1165</v>
      </c>
      <c r="M55" s="53" t="s">
        <v>1165</v>
      </c>
      <c r="N55" s="56" t="s">
        <v>9</v>
      </c>
      <c r="O55" s="55" t="s">
        <v>4</v>
      </c>
      <c r="P55" s="55" t="s">
        <v>380</v>
      </c>
      <c r="Q55" s="53"/>
      <c r="R55" s="53"/>
      <c r="S55" s="55" t="s">
        <v>4</v>
      </c>
      <c r="T55" s="37"/>
      <c r="U55" s="55" t="s">
        <v>4</v>
      </c>
      <c r="V55" s="37" t="s">
        <v>1203</v>
      </c>
      <c r="W55" s="37" t="s">
        <v>1040</v>
      </c>
      <c r="X55" s="55" t="s">
        <v>4</v>
      </c>
      <c r="Y55" s="55" t="s">
        <v>4</v>
      </c>
      <c r="Z55" s="55" t="s">
        <v>4</v>
      </c>
      <c r="AA55" s="37" t="s">
        <v>391</v>
      </c>
      <c r="AB55" s="28"/>
      <c r="AC55" s="24"/>
      <c r="AD55" s="24"/>
    </row>
    <row r="56">
      <c r="A56" s="25"/>
      <c r="B56" s="53" t="s">
        <v>1204</v>
      </c>
      <c r="C56" s="53">
        <v>8.969582082E9</v>
      </c>
      <c r="D56" s="53">
        <v>40.0</v>
      </c>
      <c r="E56" s="55" t="s">
        <v>367</v>
      </c>
      <c r="F56" s="53" t="s">
        <v>1205</v>
      </c>
      <c r="G56" s="53" t="s">
        <v>375</v>
      </c>
      <c r="H56" s="53" t="s">
        <v>376</v>
      </c>
      <c r="I56" s="53" t="s">
        <v>377</v>
      </c>
      <c r="J56" s="26" t="s">
        <v>1165</v>
      </c>
      <c r="K56" s="37" t="s">
        <v>1166</v>
      </c>
      <c r="L56" s="53" t="s">
        <v>1165</v>
      </c>
      <c r="M56" s="53" t="s">
        <v>1206</v>
      </c>
      <c r="N56" s="56" t="s">
        <v>9</v>
      </c>
      <c r="O56" s="55" t="s">
        <v>4</v>
      </c>
      <c r="P56" s="55" t="s">
        <v>4</v>
      </c>
      <c r="Q56" s="53" t="s">
        <v>1200</v>
      </c>
      <c r="R56" s="53"/>
      <c r="S56" s="55" t="s">
        <v>4</v>
      </c>
      <c r="T56" s="37" t="s">
        <v>756</v>
      </c>
      <c r="U56" s="55" t="s">
        <v>4</v>
      </c>
      <c r="V56" s="37" t="s">
        <v>757</v>
      </c>
      <c r="W56" s="37" t="s">
        <v>1040</v>
      </c>
      <c r="X56" s="55" t="s">
        <v>4</v>
      </c>
      <c r="Y56" s="55" t="s">
        <v>4</v>
      </c>
      <c r="Z56" s="55" t="s">
        <v>4</v>
      </c>
      <c r="AA56" s="37" t="s">
        <v>391</v>
      </c>
      <c r="AB56" s="28"/>
      <c r="AC56" s="24"/>
      <c r="AD56" s="24"/>
    </row>
    <row r="57">
      <c r="A57" s="25"/>
      <c r="B57" s="53" t="s">
        <v>1207</v>
      </c>
      <c r="C57" s="53">
        <v>6.204785007E9</v>
      </c>
      <c r="D57" s="53">
        <v>25.0</v>
      </c>
      <c r="E57" s="55" t="s">
        <v>367</v>
      </c>
      <c r="F57" s="53" t="s">
        <v>382</v>
      </c>
      <c r="G57" s="53" t="s">
        <v>375</v>
      </c>
      <c r="H57" s="53" t="s">
        <v>407</v>
      </c>
      <c r="I57" s="53"/>
      <c r="J57" s="26" t="s">
        <v>1165</v>
      </c>
      <c r="K57" s="37" t="s">
        <v>1166</v>
      </c>
      <c r="L57" s="53" t="s">
        <v>1165</v>
      </c>
      <c r="M57" s="53" t="s">
        <v>1206</v>
      </c>
      <c r="N57" s="56" t="s">
        <v>9</v>
      </c>
      <c r="O57" s="55" t="s">
        <v>4</v>
      </c>
      <c r="P57" s="55" t="s">
        <v>380</v>
      </c>
      <c r="Q57" s="53"/>
      <c r="R57" s="53"/>
      <c r="S57" s="55" t="s">
        <v>4</v>
      </c>
      <c r="T57" s="37" t="s">
        <v>756</v>
      </c>
      <c r="U57" s="55" t="s">
        <v>4</v>
      </c>
      <c r="V57" s="37" t="s">
        <v>757</v>
      </c>
      <c r="W57" s="37" t="s">
        <v>1040</v>
      </c>
      <c r="X57" s="55" t="s">
        <v>4</v>
      </c>
      <c r="Y57" s="55" t="s">
        <v>4</v>
      </c>
      <c r="Z57" s="55" t="s">
        <v>4</v>
      </c>
      <c r="AA57" s="37" t="s">
        <v>391</v>
      </c>
      <c r="AB57" s="28"/>
      <c r="AC57" s="24"/>
      <c r="AD57" s="24"/>
    </row>
    <row r="58">
      <c r="A58" s="25"/>
      <c r="B58" s="53" t="s">
        <v>1208</v>
      </c>
      <c r="C58" s="53">
        <v>7.321870273E9</v>
      </c>
      <c r="D58" s="53"/>
      <c r="E58" s="55"/>
      <c r="F58" s="53"/>
      <c r="G58" s="53"/>
      <c r="H58" s="53"/>
      <c r="I58" s="53"/>
      <c r="J58" s="19"/>
      <c r="K58" s="37" t="s">
        <v>1166</v>
      </c>
      <c r="L58" s="53"/>
      <c r="M58" s="53"/>
      <c r="N58" s="56" t="s">
        <v>27</v>
      </c>
      <c r="O58" s="55"/>
      <c r="P58" s="55"/>
      <c r="Q58" s="53"/>
      <c r="R58" s="53"/>
      <c r="S58" s="55"/>
      <c r="T58" s="37"/>
      <c r="U58" s="55"/>
      <c r="V58" s="37"/>
      <c r="W58" s="37"/>
      <c r="X58" s="55"/>
      <c r="Y58" s="55"/>
      <c r="Z58" s="55"/>
      <c r="AA58" s="37"/>
      <c r="AB58" s="28"/>
      <c r="AC58" s="24"/>
      <c r="AD58" s="24"/>
    </row>
    <row r="59">
      <c r="A59" s="25"/>
      <c r="B59" s="53" t="s">
        <v>1209</v>
      </c>
      <c r="C59" s="53">
        <v>9.060333407E9</v>
      </c>
      <c r="D59" s="53"/>
      <c r="E59" s="55"/>
      <c r="F59" s="53"/>
      <c r="G59" s="53"/>
      <c r="H59" s="53"/>
      <c r="I59" s="53"/>
      <c r="J59" s="19"/>
      <c r="K59" s="37" t="s">
        <v>1166</v>
      </c>
      <c r="L59" s="53"/>
      <c r="M59" s="53"/>
      <c r="N59" s="56" t="s">
        <v>27</v>
      </c>
      <c r="O59" s="55"/>
      <c r="P59" s="55"/>
      <c r="Q59" s="53"/>
      <c r="R59" s="53"/>
      <c r="S59" s="55"/>
      <c r="T59" s="37"/>
      <c r="U59" s="55"/>
      <c r="V59" s="37"/>
      <c r="W59" s="37"/>
      <c r="X59" s="55"/>
      <c r="Y59" s="55"/>
      <c r="Z59" s="55"/>
      <c r="AA59" s="37"/>
      <c r="AB59" s="28"/>
      <c r="AC59" s="24"/>
      <c r="AD59" s="24"/>
    </row>
    <row r="60">
      <c r="A60" s="25"/>
      <c r="B60" s="53" t="s">
        <v>1210</v>
      </c>
      <c r="C60" s="53">
        <v>9.241038324E9</v>
      </c>
      <c r="D60" s="53">
        <v>19.0</v>
      </c>
      <c r="E60" s="55" t="s">
        <v>367</v>
      </c>
      <c r="F60" s="53" t="s">
        <v>382</v>
      </c>
      <c r="G60" s="53" t="s">
        <v>375</v>
      </c>
      <c r="H60" s="53" t="s">
        <v>376</v>
      </c>
      <c r="I60" s="53" t="s">
        <v>377</v>
      </c>
      <c r="J60" s="26" t="s">
        <v>1165</v>
      </c>
      <c r="K60" s="37" t="s">
        <v>1166</v>
      </c>
      <c r="L60" s="53" t="s">
        <v>1177</v>
      </c>
      <c r="M60" s="53" t="s">
        <v>1211</v>
      </c>
      <c r="N60" s="56" t="s">
        <v>9</v>
      </c>
      <c r="O60" s="55" t="s">
        <v>4</v>
      </c>
      <c r="P60" s="55" t="s">
        <v>380</v>
      </c>
      <c r="Q60" s="53"/>
      <c r="R60" s="53"/>
      <c r="S60" s="55" t="s">
        <v>380</v>
      </c>
      <c r="T60" s="37"/>
      <c r="U60" s="55" t="s">
        <v>380</v>
      </c>
      <c r="V60" s="37"/>
      <c r="W60" s="37" t="s">
        <v>1040</v>
      </c>
      <c r="X60" s="55" t="s">
        <v>4</v>
      </c>
      <c r="Y60" s="55" t="s">
        <v>4</v>
      </c>
      <c r="Z60" s="55" t="s">
        <v>4</v>
      </c>
      <c r="AA60" s="37" t="s">
        <v>391</v>
      </c>
      <c r="AB60" s="28"/>
      <c r="AC60" s="24"/>
      <c r="AD60" s="24"/>
    </row>
    <row r="61">
      <c r="A61" s="25"/>
      <c r="B61" s="53" t="s">
        <v>1212</v>
      </c>
      <c r="C61" s="53">
        <v>7.780062009E9</v>
      </c>
      <c r="D61" s="53">
        <v>22.0</v>
      </c>
      <c r="E61" s="55" t="s">
        <v>367</v>
      </c>
      <c r="F61" s="53" t="s">
        <v>441</v>
      </c>
      <c r="G61" s="53" t="s">
        <v>375</v>
      </c>
      <c r="H61" s="53" t="s">
        <v>926</v>
      </c>
      <c r="I61" s="53" t="s">
        <v>1213</v>
      </c>
      <c r="J61" s="26" t="s">
        <v>1165</v>
      </c>
      <c r="K61" s="37" t="s">
        <v>1166</v>
      </c>
      <c r="L61" s="53" t="s">
        <v>1165</v>
      </c>
      <c r="M61" s="53" t="s">
        <v>1165</v>
      </c>
      <c r="N61" s="56" t="s">
        <v>9</v>
      </c>
      <c r="O61" s="55" t="s">
        <v>4</v>
      </c>
      <c r="P61" s="55" t="s">
        <v>380</v>
      </c>
      <c r="Q61" s="53"/>
      <c r="R61" s="53"/>
      <c r="S61" s="55" t="s">
        <v>4</v>
      </c>
      <c r="T61" s="37"/>
      <c r="U61" s="55" t="s">
        <v>4</v>
      </c>
      <c r="V61" s="37"/>
      <c r="W61" s="37" t="s">
        <v>1040</v>
      </c>
      <c r="X61" s="55" t="s">
        <v>4</v>
      </c>
      <c r="Y61" s="55" t="s">
        <v>4</v>
      </c>
      <c r="Z61" s="55" t="s">
        <v>4</v>
      </c>
      <c r="AA61" s="37" t="s">
        <v>391</v>
      </c>
      <c r="AB61" s="28"/>
      <c r="AC61" s="24"/>
      <c r="AD61" s="24"/>
    </row>
    <row r="62">
      <c r="A62" s="25"/>
      <c r="B62" s="53" t="s">
        <v>188</v>
      </c>
      <c r="C62" s="53">
        <v>7.370918902E9</v>
      </c>
      <c r="D62" s="53">
        <v>24.0</v>
      </c>
      <c r="E62" s="55" t="s">
        <v>367</v>
      </c>
      <c r="F62" s="53" t="s">
        <v>382</v>
      </c>
      <c r="G62" s="53" t="s">
        <v>375</v>
      </c>
      <c r="H62" s="53" t="s">
        <v>637</v>
      </c>
      <c r="I62" s="53"/>
      <c r="J62" s="26" t="s">
        <v>1165</v>
      </c>
      <c r="K62" s="37" t="s">
        <v>1166</v>
      </c>
      <c r="L62" s="53" t="s">
        <v>1177</v>
      </c>
      <c r="M62" s="53" t="s">
        <v>1214</v>
      </c>
      <c r="N62" s="56" t="s">
        <v>9</v>
      </c>
      <c r="O62" s="55" t="s">
        <v>4</v>
      </c>
      <c r="P62" s="55" t="s">
        <v>380</v>
      </c>
      <c r="Q62" s="53"/>
      <c r="R62" s="53"/>
      <c r="S62" s="55" t="s">
        <v>4</v>
      </c>
      <c r="T62" s="37" t="s">
        <v>756</v>
      </c>
      <c r="U62" s="55" t="s">
        <v>4</v>
      </c>
      <c r="V62" s="37" t="s">
        <v>757</v>
      </c>
      <c r="W62" s="37" t="s">
        <v>1040</v>
      </c>
      <c r="X62" s="55" t="s">
        <v>4</v>
      </c>
      <c r="Y62" s="55" t="s">
        <v>380</v>
      </c>
      <c r="Z62" s="55" t="s">
        <v>4</v>
      </c>
      <c r="AA62" s="37" t="s">
        <v>391</v>
      </c>
      <c r="AB62" s="28"/>
      <c r="AC62" s="24"/>
      <c r="AD62" s="24"/>
    </row>
    <row r="63">
      <c r="A63" s="25"/>
      <c r="B63" s="53" t="s">
        <v>279</v>
      </c>
      <c r="C63" s="53">
        <v>6.202140134E9</v>
      </c>
      <c r="D63" s="53">
        <v>36.0</v>
      </c>
      <c r="E63" s="55" t="s">
        <v>367</v>
      </c>
      <c r="F63" s="53" t="s">
        <v>1184</v>
      </c>
      <c r="G63" s="53" t="s">
        <v>375</v>
      </c>
      <c r="H63" s="53" t="s">
        <v>407</v>
      </c>
      <c r="I63" s="53" t="s">
        <v>902</v>
      </c>
      <c r="J63" s="26" t="s">
        <v>1165</v>
      </c>
      <c r="K63" s="37" t="s">
        <v>1166</v>
      </c>
      <c r="L63" s="53" t="s">
        <v>1215</v>
      </c>
      <c r="M63" s="53" t="s">
        <v>1214</v>
      </c>
      <c r="N63" s="56" t="s">
        <v>9</v>
      </c>
      <c r="O63" s="55" t="s">
        <v>4</v>
      </c>
      <c r="P63" s="55" t="s">
        <v>4</v>
      </c>
      <c r="Q63" s="53" t="s">
        <v>444</v>
      </c>
      <c r="R63" s="53"/>
      <c r="S63" s="55" t="s">
        <v>4</v>
      </c>
      <c r="T63" s="37" t="s">
        <v>756</v>
      </c>
      <c r="U63" s="55" t="s">
        <v>4</v>
      </c>
      <c r="V63" s="37" t="s">
        <v>757</v>
      </c>
      <c r="W63" s="37" t="s">
        <v>1040</v>
      </c>
      <c r="X63" s="55" t="s">
        <v>4</v>
      </c>
      <c r="Y63" s="55" t="s">
        <v>4</v>
      </c>
      <c r="Z63" s="55" t="s">
        <v>4</v>
      </c>
      <c r="AA63" s="37" t="s">
        <v>391</v>
      </c>
      <c r="AB63" s="28"/>
      <c r="AC63" s="24"/>
      <c r="AD63" s="24"/>
    </row>
    <row r="64">
      <c r="A64" s="25"/>
      <c r="B64" s="53" t="s">
        <v>1216</v>
      </c>
      <c r="C64" s="53">
        <v>9.304752754E9</v>
      </c>
      <c r="D64" s="53"/>
      <c r="E64" s="55" t="s">
        <v>367</v>
      </c>
      <c r="F64" s="53"/>
      <c r="G64" s="53"/>
      <c r="H64" s="53"/>
      <c r="I64" s="53"/>
      <c r="J64" s="19"/>
      <c r="K64" s="37" t="s">
        <v>1166</v>
      </c>
      <c r="L64" s="53"/>
      <c r="M64" s="53"/>
      <c r="N64" s="56" t="s">
        <v>54</v>
      </c>
      <c r="O64" s="55"/>
      <c r="P64" s="55"/>
      <c r="Q64" s="53"/>
      <c r="R64" s="53"/>
      <c r="S64" s="55"/>
      <c r="T64" s="37"/>
      <c r="U64" s="55"/>
      <c r="V64" s="37"/>
      <c r="W64" s="37"/>
      <c r="X64" s="55"/>
      <c r="Y64" s="55"/>
      <c r="Z64" s="55"/>
      <c r="AA64" s="37"/>
      <c r="AB64" s="28"/>
      <c r="AC64" s="24"/>
      <c r="AD64" s="24"/>
    </row>
    <row r="65">
      <c r="A65" s="25"/>
      <c r="B65" s="53" t="s">
        <v>59</v>
      </c>
      <c r="C65" s="53">
        <v>9.102927676E9</v>
      </c>
      <c r="D65" s="53">
        <v>25.0</v>
      </c>
      <c r="E65" s="55" t="s">
        <v>367</v>
      </c>
      <c r="F65" s="53"/>
      <c r="G65" s="53" t="s">
        <v>375</v>
      </c>
      <c r="H65" s="53" t="s">
        <v>383</v>
      </c>
      <c r="I65" s="53" t="s">
        <v>384</v>
      </c>
      <c r="J65" s="26" t="s">
        <v>1165</v>
      </c>
      <c r="K65" s="37" t="s">
        <v>1166</v>
      </c>
      <c r="L65" s="53" t="s">
        <v>1165</v>
      </c>
      <c r="M65" s="53" t="s">
        <v>1217</v>
      </c>
      <c r="N65" s="56" t="s">
        <v>9</v>
      </c>
      <c r="O65" s="55" t="s">
        <v>4</v>
      </c>
      <c r="P65" s="55" t="s">
        <v>4</v>
      </c>
      <c r="Q65" s="53" t="s">
        <v>444</v>
      </c>
      <c r="R65" s="53"/>
      <c r="S65" s="55" t="s">
        <v>380</v>
      </c>
      <c r="T65" s="37"/>
      <c r="U65" s="55" t="s">
        <v>380</v>
      </c>
      <c r="V65" s="37"/>
      <c r="W65" s="37" t="s">
        <v>937</v>
      </c>
      <c r="X65" s="55" t="s">
        <v>4</v>
      </c>
      <c r="Y65" s="55" t="s">
        <v>4</v>
      </c>
      <c r="Z65" s="55" t="s">
        <v>4</v>
      </c>
      <c r="AA65" s="37" t="s">
        <v>391</v>
      </c>
      <c r="AB65" s="28"/>
      <c r="AC65" s="24"/>
      <c r="AD65" s="24"/>
    </row>
    <row r="66">
      <c r="A66" s="25"/>
      <c r="B66" s="53" t="s">
        <v>1218</v>
      </c>
      <c r="C66" s="53">
        <v>7.667300586E9</v>
      </c>
      <c r="D66" s="53">
        <v>20.0</v>
      </c>
      <c r="E66" s="55" t="s">
        <v>367</v>
      </c>
      <c r="F66" s="53" t="s">
        <v>382</v>
      </c>
      <c r="G66" s="53" t="s">
        <v>375</v>
      </c>
      <c r="H66" s="53" t="s">
        <v>383</v>
      </c>
      <c r="I66" s="53" t="s">
        <v>377</v>
      </c>
      <c r="J66" s="26" t="s">
        <v>1165</v>
      </c>
      <c r="K66" s="37" t="s">
        <v>1166</v>
      </c>
      <c r="L66" s="53" t="s">
        <v>1165</v>
      </c>
      <c r="M66" s="53" t="s">
        <v>1217</v>
      </c>
      <c r="N66" s="56" t="s">
        <v>9</v>
      </c>
      <c r="O66" s="55" t="s">
        <v>4</v>
      </c>
      <c r="P66" s="55" t="s">
        <v>4</v>
      </c>
      <c r="Q66" s="53" t="s">
        <v>444</v>
      </c>
      <c r="R66" s="53"/>
      <c r="S66" s="55" t="s">
        <v>380</v>
      </c>
      <c r="T66" s="37"/>
      <c r="U66" s="55" t="s">
        <v>380</v>
      </c>
      <c r="V66" s="37"/>
      <c r="W66" s="37" t="s">
        <v>937</v>
      </c>
      <c r="X66" s="55" t="s">
        <v>4</v>
      </c>
      <c r="Y66" s="55" t="s">
        <v>4</v>
      </c>
      <c r="Z66" s="55" t="s">
        <v>4</v>
      </c>
      <c r="AA66" s="37" t="s">
        <v>391</v>
      </c>
      <c r="AB66" s="28"/>
      <c r="AC66" s="24"/>
      <c r="AD66" s="24"/>
    </row>
    <row r="67">
      <c r="A67" s="25"/>
      <c r="B67" s="53" t="s">
        <v>1219</v>
      </c>
      <c r="C67" s="53">
        <v>7.050061768E9</v>
      </c>
      <c r="D67" s="53">
        <v>22.0</v>
      </c>
      <c r="E67" s="55" t="s">
        <v>367</v>
      </c>
      <c r="F67" s="53"/>
      <c r="G67" s="53" t="s">
        <v>375</v>
      </c>
      <c r="H67" s="53" t="s">
        <v>418</v>
      </c>
      <c r="I67" s="53" t="s">
        <v>1220</v>
      </c>
      <c r="J67" s="26" t="s">
        <v>1165</v>
      </c>
      <c r="K67" s="37" t="s">
        <v>1166</v>
      </c>
      <c r="L67" s="53" t="s">
        <v>1165</v>
      </c>
      <c r="M67" s="53" t="s">
        <v>1217</v>
      </c>
      <c r="N67" s="56" t="s">
        <v>9</v>
      </c>
      <c r="O67" s="55" t="s">
        <v>4</v>
      </c>
      <c r="P67" s="55" t="s">
        <v>4</v>
      </c>
      <c r="Q67" s="53" t="s">
        <v>444</v>
      </c>
      <c r="R67" s="53"/>
      <c r="S67" s="55" t="s">
        <v>380</v>
      </c>
      <c r="T67" s="37"/>
      <c r="U67" s="55" t="s">
        <v>380</v>
      </c>
      <c r="V67" s="37"/>
      <c r="W67" s="37" t="s">
        <v>937</v>
      </c>
      <c r="X67" s="55" t="s">
        <v>4</v>
      </c>
      <c r="Y67" s="55" t="s">
        <v>4</v>
      </c>
      <c r="Z67" s="55" t="s">
        <v>4</v>
      </c>
      <c r="AA67" s="37" t="s">
        <v>391</v>
      </c>
      <c r="AB67" s="28"/>
      <c r="AC67" s="24"/>
      <c r="AD67" s="24"/>
    </row>
    <row r="68">
      <c r="A68" s="25"/>
      <c r="B68" s="53" t="s">
        <v>1221</v>
      </c>
      <c r="C68" s="53">
        <v>6.203824909E9</v>
      </c>
      <c r="D68" s="53"/>
      <c r="E68" s="55"/>
      <c r="F68" s="53"/>
      <c r="G68" s="53"/>
      <c r="H68" s="53"/>
      <c r="I68" s="53"/>
      <c r="J68" s="19"/>
      <c r="K68" s="37" t="s">
        <v>1166</v>
      </c>
      <c r="L68" s="53"/>
      <c r="M68" s="53"/>
      <c r="N68" s="56" t="s">
        <v>30</v>
      </c>
      <c r="O68" s="55"/>
      <c r="P68" s="55"/>
      <c r="Q68" s="53"/>
      <c r="R68" s="53"/>
      <c r="S68" s="55"/>
      <c r="T68" s="37"/>
      <c r="U68" s="55"/>
      <c r="V68" s="37"/>
      <c r="W68" s="37"/>
      <c r="X68" s="55"/>
      <c r="Y68" s="55"/>
      <c r="Z68" s="55"/>
      <c r="AA68" s="37"/>
      <c r="AB68" s="28"/>
      <c r="AC68" s="24"/>
      <c r="AD68" s="24"/>
    </row>
    <row r="69">
      <c r="A69" s="25"/>
      <c r="B69" s="53" t="s">
        <v>1222</v>
      </c>
      <c r="C69" s="53">
        <v>9.163978025E9</v>
      </c>
      <c r="D69" s="53"/>
      <c r="E69" s="55"/>
      <c r="F69" s="53"/>
      <c r="G69" s="53"/>
      <c r="H69" s="53"/>
      <c r="I69" s="53"/>
      <c r="J69" s="19"/>
      <c r="K69" s="37" t="s">
        <v>1166</v>
      </c>
      <c r="L69" s="53"/>
      <c r="M69" s="53"/>
      <c r="N69" s="56" t="s">
        <v>23</v>
      </c>
      <c r="O69" s="55"/>
      <c r="P69" s="55"/>
      <c r="Q69" s="53"/>
      <c r="R69" s="53"/>
      <c r="S69" s="55"/>
      <c r="T69" s="37"/>
      <c r="U69" s="55"/>
      <c r="V69" s="37"/>
      <c r="W69" s="37"/>
      <c r="X69" s="55"/>
      <c r="Y69" s="55"/>
      <c r="Z69" s="55"/>
      <c r="AA69" s="37"/>
      <c r="AB69" s="28"/>
      <c r="AC69" s="24"/>
      <c r="AD69" s="24"/>
    </row>
    <row r="70">
      <c r="A70" s="25"/>
      <c r="B70" s="53" t="s">
        <v>1223</v>
      </c>
      <c r="C70" s="53">
        <v>8.77767485E9</v>
      </c>
      <c r="D70" s="53">
        <v>45.0</v>
      </c>
      <c r="E70" s="55" t="s">
        <v>367</v>
      </c>
      <c r="F70" s="53"/>
      <c r="G70" s="53" t="s">
        <v>518</v>
      </c>
      <c r="H70" s="53" t="s">
        <v>880</v>
      </c>
      <c r="I70" s="53" t="s">
        <v>518</v>
      </c>
      <c r="J70" s="26" t="s">
        <v>1165</v>
      </c>
      <c r="K70" s="37" t="s">
        <v>1166</v>
      </c>
      <c r="L70" s="53" t="s">
        <v>1165</v>
      </c>
      <c r="M70" s="53" t="s">
        <v>1224</v>
      </c>
      <c r="N70" s="56" t="s">
        <v>9</v>
      </c>
      <c r="O70" s="55" t="s">
        <v>4</v>
      </c>
      <c r="P70" s="55" t="s">
        <v>4</v>
      </c>
      <c r="Q70" s="53" t="s">
        <v>444</v>
      </c>
      <c r="R70" s="53"/>
      <c r="S70" s="55" t="s">
        <v>380</v>
      </c>
      <c r="T70" s="37"/>
      <c r="U70" s="55" t="s">
        <v>380</v>
      </c>
      <c r="V70" s="37"/>
      <c r="W70" s="37" t="s">
        <v>1167</v>
      </c>
      <c r="X70" s="55" t="s">
        <v>4</v>
      </c>
      <c r="Y70" s="55" t="s">
        <v>4</v>
      </c>
      <c r="Z70" s="55" t="s">
        <v>4</v>
      </c>
      <c r="AA70" s="37" t="s">
        <v>391</v>
      </c>
      <c r="AB70" s="28"/>
      <c r="AC70" s="24"/>
      <c r="AD70" s="24"/>
    </row>
    <row r="71">
      <c r="A71" s="31"/>
      <c r="B71" s="53" t="s">
        <v>1225</v>
      </c>
      <c r="C71" s="53">
        <v>6.202813137E9</v>
      </c>
      <c r="D71" s="53">
        <v>26.0</v>
      </c>
      <c r="E71" s="55" t="s">
        <v>367</v>
      </c>
      <c r="F71" s="53" t="s">
        <v>441</v>
      </c>
      <c r="G71" s="53" t="s">
        <v>375</v>
      </c>
      <c r="H71" s="53" t="s">
        <v>407</v>
      </c>
      <c r="I71" s="53" t="s">
        <v>1131</v>
      </c>
      <c r="J71" s="26" t="s">
        <v>1165</v>
      </c>
      <c r="K71" s="37" t="s">
        <v>1166</v>
      </c>
      <c r="L71" s="53" t="s">
        <v>1165</v>
      </c>
      <c r="M71" s="53" t="s">
        <v>1224</v>
      </c>
      <c r="N71" s="56" t="s">
        <v>9</v>
      </c>
      <c r="O71" s="55" t="s">
        <v>4</v>
      </c>
      <c r="P71" s="55" t="s">
        <v>4</v>
      </c>
      <c r="Q71" s="53" t="s">
        <v>444</v>
      </c>
      <c r="R71" s="53"/>
      <c r="S71" s="55" t="s">
        <v>380</v>
      </c>
      <c r="T71" s="37"/>
      <c r="U71" s="55" t="s">
        <v>380</v>
      </c>
      <c r="V71" s="37"/>
      <c r="W71" s="37" t="s">
        <v>1167</v>
      </c>
      <c r="X71" s="55" t="s">
        <v>4</v>
      </c>
      <c r="Y71" s="55" t="s">
        <v>4</v>
      </c>
      <c r="Z71" s="55" t="s">
        <v>4</v>
      </c>
      <c r="AA71" s="37" t="s">
        <v>391</v>
      </c>
      <c r="AB71" s="28"/>
      <c r="AC71" s="24"/>
      <c r="AD71" s="24"/>
    </row>
    <row r="72">
      <c r="B72" s="17" t="s">
        <v>631</v>
      </c>
      <c r="C72" s="17">
        <v>9.065781349E9</v>
      </c>
      <c r="D72" s="53"/>
      <c r="E72" s="55"/>
      <c r="F72" s="53"/>
      <c r="G72" s="53"/>
      <c r="H72" s="53"/>
      <c r="I72" s="53"/>
      <c r="J72" s="26"/>
      <c r="K72" s="37" t="s">
        <v>1166</v>
      </c>
      <c r="L72" s="53"/>
      <c r="M72" s="53"/>
      <c r="N72" s="56" t="s">
        <v>54</v>
      </c>
      <c r="O72" s="55"/>
      <c r="P72" s="55"/>
      <c r="Q72" s="53"/>
      <c r="R72" s="53"/>
      <c r="S72" s="55"/>
      <c r="T72" s="37"/>
      <c r="U72" s="55"/>
      <c r="V72" s="37"/>
      <c r="W72" s="37"/>
      <c r="X72" s="55"/>
      <c r="Y72" s="55"/>
      <c r="Z72" s="55"/>
      <c r="AA72" s="37"/>
      <c r="AB72" s="28"/>
      <c r="AC72" s="24"/>
      <c r="AD72" s="24"/>
    </row>
    <row r="73">
      <c r="B73" s="17" t="s">
        <v>1226</v>
      </c>
      <c r="C73" s="17">
        <v>7.324984345E9</v>
      </c>
      <c r="D73" s="53"/>
      <c r="E73" s="55"/>
      <c r="F73" s="53"/>
      <c r="G73" s="53"/>
      <c r="H73" s="53"/>
      <c r="I73" s="53"/>
      <c r="J73" s="26"/>
      <c r="K73" s="37" t="s">
        <v>1166</v>
      </c>
      <c r="L73" s="53"/>
      <c r="M73" s="53"/>
      <c r="N73" s="56" t="s">
        <v>23</v>
      </c>
      <c r="O73" s="55"/>
      <c r="P73" s="55"/>
      <c r="Q73" s="53"/>
      <c r="R73" s="53"/>
      <c r="S73" s="55"/>
      <c r="T73" s="37"/>
      <c r="U73" s="55"/>
      <c r="V73" s="37"/>
      <c r="W73" s="37"/>
      <c r="X73" s="55"/>
      <c r="Y73" s="55"/>
      <c r="Z73" s="55"/>
      <c r="AA73" s="37"/>
      <c r="AB73" s="28"/>
      <c r="AC73" s="24"/>
      <c r="AD73" s="24"/>
    </row>
    <row r="74">
      <c r="B74" s="17" t="s">
        <v>1227</v>
      </c>
      <c r="C74" s="17">
        <v>9.122166283E9</v>
      </c>
      <c r="D74" s="53"/>
      <c r="E74" s="55"/>
      <c r="F74" s="53"/>
      <c r="G74" s="53"/>
      <c r="H74" s="53"/>
      <c r="I74" s="53"/>
      <c r="J74" s="26"/>
      <c r="K74" s="37" t="s">
        <v>1166</v>
      </c>
      <c r="L74" s="53"/>
      <c r="M74" s="53"/>
      <c r="N74" s="56" t="s">
        <v>27</v>
      </c>
      <c r="O74" s="55"/>
      <c r="P74" s="55"/>
      <c r="Q74" s="53"/>
      <c r="R74" s="53"/>
      <c r="S74" s="55"/>
      <c r="T74" s="37"/>
      <c r="U74" s="55"/>
      <c r="V74" s="37"/>
      <c r="W74" s="37"/>
      <c r="X74" s="55"/>
      <c r="Y74" s="55"/>
      <c r="Z74" s="55"/>
      <c r="AA74" s="37"/>
      <c r="AB74" s="28"/>
      <c r="AC74" s="24"/>
      <c r="AD74" s="24"/>
    </row>
    <row r="75">
      <c r="B75" s="17" t="s">
        <v>1228</v>
      </c>
      <c r="C75" s="17">
        <v>9.304821832E9</v>
      </c>
      <c r="D75" s="53"/>
      <c r="E75" s="55"/>
      <c r="F75" s="53"/>
      <c r="G75" s="53"/>
      <c r="H75" s="53"/>
      <c r="I75" s="53"/>
      <c r="J75" s="26"/>
      <c r="K75" s="37" t="s">
        <v>1166</v>
      </c>
      <c r="L75" s="53"/>
      <c r="M75" s="53"/>
      <c r="N75" s="56" t="s">
        <v>30</v>
      </c>
      <c r="O75" s="55"/>
      <c r="P75" s="55"/>
      <c r="Q75" s="53"/>
      <c r="R75" s="53"/>
      <c r="S75" s="55"/>
      <c r="T75" s="37"/>
      <c r="U75" s="55"/>
      <c r="V75" s="37"/>
      <c r="W75" s="37"/>
      <c r="X75" s="55"/>
      <c r="Y75" s="55"/>
      <c r="Z75" s="55"/>
      <c r="AA75" s="37"/>
      <c r="AB75" s="28"/>
      <c r="AC75" s="24"/>
      <c r="AD75" s="24"/>
    </row>
    <row r="76">
      <c r="B76" s="17" t="s">
        <v>1229</v>
      </c>
      <c r="C76" s="17">
        <v>7.250009871E9</v>
      </c>
      <c r="D76" s="53"/>
      <c r="E76" s="55"/>
      <c r="F76" s="53"/>
      <c r="G76" s="53"/>
      <c r="H76" s="53"/>
      <c r="I76" s="53"/>
      <c r="J76" s="26"/>
      <c r="K76" s="37" t="s">
        <v>1166</v>
      </c>
      <c r="L76" s="53"/>
      <c r="M76" s="53"/>
      <c r="N76" s="56" t="s">
        <v>13</v>
      </c>
      <c r="O76" s="55"/>
      <c r="P76" s="55"/>
      <c r="Q76" s="53"/>
      <c r="R76" s="53"/>
      <c r="S76" s="55"/>
      <c r="T76" s="37"/>
      <c r="U76" s="55"/>
      <c r="V76" s="37"/>
      <c r="W76" s="37"/>
      <c r="X76" s="55"/>
      <c r="Y76" s="55"/>
      <c r="Z76" s="55"/>
      <c r="AA76" s="37"/>
      <c r="AB76" s="28"/>
      <c r="AC76" s="24"/>
      <c r="AD76" s="24"/>
    </row>
    <row r="77">
      <c r="B77" s="17" t="s">
        <v>1230</v>
      </c>
      <c r="C77" s="17">
        <v>9.431096993E9</v>
      </c>
      <c r="D77" s="53"/>
      <c r="E77" s="55"/>
      <c r="F77" s="53"/>
      <c r="G77" s="53"/>
      <c r="H77" s="53"/>
      <c r="I77" s="53"/>
      <c r="J77" s="26"/>
      <c r="K77" s="37" t="s">
        <v>1166</v>
      </c>
      <c r="L77" s="53"/>
      <c r="M77" s="53"/>
      <c r="N77" s="56" t="s">
        <v>23</v>
      </c>
      <c r="O77" s="55"/>
      <c r="P77" s="55"/>
      <c r="Q77" s="53"/>
      <c r="R77" s="53"/>
      <c r="S77" s="55"/>
      <c r="T77" s="37"/>
      <c r="U77" s="55"/>
      <c r="V77" s="37"/>
      <c r="W77" s="37"/>
      <c r="X77" s="55"/>
      <c r="Y77" s="55"/>
      <c r="Z77" s="55"/>
      <c r="AA77" s="37"/>
      <c r="AB77" s="28"/>
      <c r="AC77" s="24"/>
      <c r="AD77" s="24"/>
    </row>
    <row r="78">
      <c r="B78" s="17" t="s">
        <v>1231</v>
      </c>
      <c r="C78" s="17">
        <v>7.004960913E9</v>
      </c>
      <c r="D78" s="53">
        <v>30.0</v>
      </c>
      <c r="E78" s="55" t="s">
        <v>367</v>
      </c>
      <c r="F78" s="53" t="s">
        <v>1232</v>
      </c>
      <c r="G78" s="53" t="s">
        <v>375</v>
      </c>
      <c r="H78" s="53" t="s">
        <v>1233</v>
      </c>
      <c r="I78" s="53" t="s">
        <v>1234</v>
      </c>
      <c r="J78" s="26" t="s">
        <v>1165</v>
      </c>
      <c r="K78" s="37" t="s">
        <v>1166</v>
      </c>
      <c r="L78" s="53" t="s">
        <v>1165</v>
      </c>
      <c r="M78" s="53" t="s">
        <v>1235</v>
      </c>
      <c r="N78" s="56" t="s">
        <v>9</v>
      </c>
      <c r="O78" s="55" t="s">
        <v>4</v>
      </c>
      <c r="P78" s="55" t="s">
        <v>4</v>
      </c>
      <c r="Q78" s="53" t="s">
        <v>1236</v>
      </c>
      <c r="R78" s="53" t="s">
        <v>1237</v>
      </c>
      <c r="S78" s="55" t="s">
        <v>4</v>
      </c>
      <c r="T78" s="37" t="s">
        <v>1238</v>
      </c>
      <c r="U78" s="55" t="s">
        <v>4</v>
      </c>
      <c r="V78" s="37" t="s">
        <v>1239</v>
      </c>
      <c r="W78" s="37" t="s">
        <v>616</v>
      </c>
      <c r="X78" s="55" t="s">
        <v>4</v>
      </c>
      <c r="Y78" s="55" t="s">
        <v>380</v>
      </c>
      <c r="Z78" s="55" t="s">
        <v>380</v>
      </c>
      <c r="AA78" s="37" t="s">
        <v>410</v>
      </c>
      <c r="AB78" s="28"/>
      <c r="AC78" s="24"/>
      <c r="AD78" s="24"/>
    </row>
    <row r="79">
      <c r="B79" s="17" t="s">
        <v>1240</v>
      </c>
      <c r="C79" s="17">
        <v>7.739747146E9</v>
      </c>
      <c r="D79" s="53">
        <v>33.0</v>
      </c>
      <c r="E79" s="55" t="s">
        <v>367</v>
      </c>
      <c r="F79" s="53" t="s">
        <v>1241</v>
      </c>
      <c r="G79" s="53" t="s">
        <v>1242</v>
      </c>
      <c r="H79" s="53" t="s">
        <v>1243</v>
      </c>
      <c r="I79" s="53" t="s">
        <v>1244</v>
      </c>
      <c r="J79" s="26" t="s">
        <v>1165</v>
      </c>
      <c r="K79" s="37" t="s">
        <v>1166</v>
      </c>
      <c r="L79" s="53" t="s">
        <v>1165</v>
      </c>
      <c r="M79" s="53" t="s">
        <v>1245</v>
      </c>
      <c r="N79" s="56" t="s">
        <v>9</v>
      </c>
      <c r="O79" s="55" t="s">
        <v>4</v>
      </c>
      <c r="P79" s="55" t="s">
        <v>380</v>
      </c>
      <c r="Q79" s="53"/>
      <c r="R79" s="53"/>
      <c r="S79" s="55" t="s">
        <v>4</v>
      </c>
      <c r="T79" s="37" t="s">
        <v>1246</v>
      </c>
      <c r="U79" s="55" t="s">
        <v>4</v>
      </c>
      <c r="V79" s="37" t="s">
        <v>1247</v>
      </c>
      <c r="W79" s="37" t="s">
        <v>616</v>
      </c>
      <c r="X79" s="55" t="s">
        <v>4</v>
      </c>
      <c r="Y79" s="55" t="s">
        <v>4</v>
      </c>
      <c r="Z79" s="55" t="s">
        <v>4</v>
      </c>
      <c r="AA79" s="37" t="s">
        <v>391</v>
      </c>
      <c r="AB79" s="28"/>
      <c r="AC79" s="24"/>
      <c r="AD79" s="24"/>
    </row>
    <row r="80">
      <c r="B80" s="17" t="s">
        <v>1248</v>
      </c>
      <c r="C80" s="17">
        <v>6.299537311E9</v>
      </c>
      <c r="D80" s="53">
        <v>40.0</v>
      </c>
      <c r="E80" s="55" t="s">
        <v>367</v>
      </c>
      <c r="F80" s="53" t="s">
        <v>1249</v>
      </c>
      <c r="G80" s="53" t="s">
        <v>1242</v>
      </c>
      <c r="H80" s="53" t="s">
        <v>1243</v>
      </c>
      <c r="I80" s="53" t="s">
        <v>1244</v>
      </c>
      <c r="J80" s="26" t="s">
        <v>1165</v>
      </c>
      <c r="K80" s="37" t="s">
        <v>1166</v>
      </c>
      <c r="L80" s="53" t="s">
        <v>1165</v>
      </c>
      <c r="M80" s="53" t="s">
        <v>1245</v>
      </c>
      <c r="N80" s="56" t="s">
        <v>9</v>
      </c>
      <c r="O80" s="55" t="s">
        <v>4</v>
      </c>
      <c r="P80" s="55" t="s">
        <v>380</v>
      </c>
      <c r="Q80" s="53"/>
      <c r="R80" s="53"/>
      <c r="S80" s="55" t="s">
        <v>4</v>
      </c>
      <c r="T80" s="37" t="s">
        <v>1250</v>
      </c>
      <c r="U80" s="55" t="s">
        <v>4</v>
      </c>
      <c r="V80" s="37" t="s">
        <v>1251</v>
      </c>
      <c r="W80" s="37" t="s">
        <v>1252</v>
      </c>
      <c r="X80" s="55" t="s">
        <v>380</v>
      </c>
      <c r="Y80" s="55" t="s">
        <v>4</v>
      </c>
      <c r="Z80" s="55" t="s">
        <v>380</v>
      </c>
      <c r="AA80" s="37" t="s">
        <v>410</v>
      </c>
      <c r="AB80" s="28"/>
      <c r="AC80" s="24"/>
      <c r="AD80" s="24"/>
    </row>
    <row r="81">
      <c r="B81" s="17" t="s">
        <v>1253</v>
      </c>
      <c r="C81" s="17">
        <v>7.488020317E9</v>
      </c>
      <c r="D81" s="53"/>
      <c r="E81" s="55"/>
      <c r="F81" s="53"/>
      <c r="G81" s="53"/>
      <c r="H81" s="53"/>
      <c r="I81" s="53"/>
      <c r="J81" s="26"/>
      <c r="K81" s="37" t="s">
        <v>1166</v>
      </c>
      <c r="L81" s="53"/>
      <c r="M81" s="53"/>
      <c r="N81" s="56" t="s">
        <v>23</v>
      </c>
      <c r="O81" s="55"/>
      <c r="P81" s="55"/>
      <c r="Q81" s="53"/>
      <c r="R81" s="53"/>
      <c r="S81" s="55"/>
      <c r="T81" s="37"/>
      <c r="U81" s="55"/>
      <c r="V81" s="37"/>
      <c r="W81" s="37"/>
      <c r="X81" s="55"/>
      <c r="Y81" s="55"/>
      <c r="Z81" s="55"/>
      <c r="AA81" s="37"/>
      <c r="AB81" s="28"/>
      <c r="AC81" s="24"/>
      <c r="AD81" s="24"/>
    </row>
    <row r="82">
      <c r="B82" s="17" t="s">
        <v>1254</v>
      </c>
      <c r="C82" s="17">
        <v>9.931883429E9</v>
      </c>
      <c r="D82" s="53"/>
      <c r="E82" s="55"/>
      <c r="F82" s="53"/>
      <c r="G82" s="53"/>
      <c r="H82" s="53"/>
      <c r="I82" s="53"/>
      <c r="J82" s="26"/>
      <c r="K82" s="37" t="s">
        <v>1166</v>
      </c>
      <c r="L82" s="53"/>
      <c r="M82" s="53"/>
      <c r="N82" s="56" t="s">
        <v>23</v>
      </c>
      <c r="O82" s="55"/>
      <c r="P82" s="55"/>
      <c r="Q82" s="53"/>
      <c r="R82" s="53"/>
      <c r="S82" s="55"/>
      <c r="T82" s="37"/>
      <c r="U82" s="55"/>
      <c r="V82" s="37"/>
      <c r="W82" s="37"/>
      <c r="X82" s="55"/>
      <c r="Y82" s="55"/>
      <c r="Z82" s="55"/>
      <c r="AA82" s="37"/>
      <c r="AB82" s="28"/>
      <c r="AC82" s="24"/>
      <c r="AD82" s="24"/>
    </row>
    <row r="83">
      <c r="B83" s="17" t="s">
        <v>1255</v>
      </c>
      <c r="C83" s="17">
        <v>8.340411186E9</v>
      </c>
      <c r="D83" s="53"/>
      <c r="E83" s="55"/>
      <c r="F83" s="53"/>
      <c r="G83" s="53"/>
      <c r="H83" s="53"/>
      <c r="I83" s="53"/>
      <c r="J83" s="26"/>
      <c r="K83" s="37" t="s">
        <v>1166</v>
      </c>
      <c r="L83" s="53"/>
      <c r="M83" s="53"/>
      <c r="N83" s="56" t="s">
        <v>23</v>
      </c>
      <c r="O83" s="55"/>
      <c r="P83" s="55"/>
      <c r="Q83" s="53"/>
      <c r="R83" s="53"/>
      <c r="S83" s="55"/>
      <c r="T83" s="37"/>
      <c r="U83" s="55"/>
      <c r="V83" s="37"/>
      <c r="W83" s="37"/>
      <c r="X83" s="55"/>
      <c r="Y83" s="55"/>
      <c r="Z83" s="55"/>
      <c r="AA83" s="37"/>
      <c r="AB83" s="28"/>
      <c r="AC83" s="24"/>
      <c r="AD83" s="24"/>
    </row>
    <row r="86">
      <c r="B86" s="105" t="s">
        <v>1822</v>
      </c>
      <c r="C86" s="105" t="s">
        <v>1823</v>
      </c>
      <c r="D86" s="105" t="s">
        <v>1824</v>
      </c>
      <c r="E86" s="105" t="s">
        <v>1825</v>
      </c>
      <c r="F86" s="105" t="s">
        <v>391</v>
      </c>
      <c r="G86" s="105" t="s">
        <v>1826</v>
      </c>
      <c r="H86" s="105" t="s">
        <v>23</v>
      </c>
      <c r="I86" s="105" t="s">
        <v>13</v>
      </c>
      <c r="J86" s="105" t="s">
        <v>1827</v>
      </c>
      <c r="K86" s="105" t="s">
        <v>1828</v>
      </c>
      <c r="L86" s="105" t="s">
        <v>54</v>
      </c>
      <c r="M86" s="105" t="s">
        <v>3</v>
      </c>
    </row>
    <row r="87">
      <c r="B87" s="53" t="s">
        <v>1840</v>
      </c>
      <c r="C87" s="53" t="s">
        <v>1841</v>
      </c>
      <c r="D87" s="17">
        <v>43.0</v>
      </c>
      <c r="E87" s="17">
        <v>24.0</v>
      </c>
      <c r="F87" s="17">
        <v>22.0</v>
      </c>
      <c r="G87" s="17">
        <v>3.0</v>
      </c>
      <c r="H87" s="17">
        <v>7.0</v>
      </c>
      <c r="I87" s="17">
        <v>2.0</v>
      </c>
      <c r="J87" s="17">
        <v>5.0</v>
      </c>
      <c r="K87" s="17">
        <v>3.0</v>
      </c>
      <c r="L87" s="17">
        <v>2.0</v>
      </c>
      <c r="M87" s="95"/>
    </row>
  </sheetData>
  <mergeCells count="2">
    <mergeCell ref="A1:C5"/>
    <mergeCell ref="A41:A71"/>
  </mergeCells>
  <dataValidations>
    <dataValidation type="list" allowBlank="1" showErrorMessage="1" sqref="O41:P83 S41:S83 U41:U83 X41:Z83">
      <formula1>"Yes,NO"</formula1>
    </dataValidation>
    <dataValidation type="list" allowBlank="1" showErrorMessage="1" sqref="E41:E83">
      <formula1>"Male,Female"</formula1>
    </dataValidation>
    <dataValidation type="list" allowBlank="1" showErrorMessage="1" sqref="D7:D28 N41:N83">
      <formula1>"Connected,Call Back Later,Busy,Switch off,Not Received,Wrong No."</formula1>
    </dataValidation>
    <dataValidation type="list" allowBlank="1" showErrorMessage="1" sqref="E7:E28">
      <formula1>"CONFIRMED,NOT CONFIRMED"</formula1>
    </dataValidation>
    <dataValidation type="list" allowBlank="1" showErrorMessage="1" sqref="AA41:AA83">
      <formula1>"Verified,Not Verified"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68" t="s">
        <v>1856</v>
      </c>
      <c r="D1" s="3"/>
      <c r="E1" s="3"/>
      <c r="F1" s="3"/>
    </row>
    <row r="2">
      <c r="D2" s="3"/>
      <c r="E2" s="3"/>
      <c r="F2" s="3"/>
    </row>
    <row r="3">
      <c r="D3" s="3"/>
      <c r="E3" s="3"/>
      <c r="F3" s="3"/>
    </row>
    <row r="4">
      <c r="D4" s="3"/>
      <c r="E4" s="3"/>
      <c r="F4" s="3"/>
    </row>
    <row r="5" ht="26.25" customHeight="1">
      <c r="D5" s="3"/>
      <c r="E5" s="3"/>
      <c r="F5" s="3"/>
    </row>
    <row r="6">
      <c r="A6" s="72" t="s">
        <v>5</v>
      </c>
      <c r="B6" s="72" t="s">
        <v>6</v>
      </c>
      <c r="C6" s="72" t="s">
        <v>7</v>
      </c>
      <c r="D6" s="73" t="s">
        <v>1854</v>
      </c>
      <c r="E6" s="74" t="s">
        <v>2</v>
      </c>
      <c r="F6" s="91" t="s">
        <v>3</v>
      </c>
      <c r="G6" s="92"/>
      <c r="H6" s="92"/>
    </row>
    <row r="7">
      <c r="A7" s="137"/>
      <c r="B7" s="17" t="s">
        <v>683</v>
      </c>
      <c r="C7" s="17">
        <v>7.2506631E9</v>
      </c>
      <c r="D7" s="39"/>
      <c r="E7" s="3"/>
      <c r="K7" s="83"/>
      <c r="M7" s="39"/>
      <c r="N7" s="120"/>
      <c r="O7" s="3"/>
      <c r="P7" s="3"/>
      <c r="S7" s="3"/>
      <c r="U7" s="3"/>
      <c r="X7" s="3"/>
      <c r="Y7" s="3"/>
      <c r="Z7" s="3"/>
      <c r="AC7" s="24"/>
      <c r="AD7" s="24"/>
    </row>
    <row r="8">
      <c r="A8" s="137"/>
      <c r="B8" s="17" t="s">
        <v>688</v>
      </c>
      <c r="C8" s="17">
        <v>9.771560886E9</v>
      </c>
      <c r="D8" s="39"/>
      <c r="E8" s="64"/>
      <c r="F8" s="39"/>
      <c r="I8" s="39"/>
      <c r="K8" s="83"/>
      <c r="L8" s="39"/>
      <c r="M8" s="39"/>
      <c r="N8" s="120"/>
      <c r="O8" s="64"/>
      <c r="P8" s="64"/>
      <c r="S8" s="64"/>
      <c r="T8" s="39"/>
      <c r="U8" s="64"/>
      <c r="W8" s="39"/>
      <c r="X8" s="64"/>
      <c r="Y8" s="64"/>
      <c r="Z8" s="64"/>
      <c r="AA8" s="39"/>
      <c r="AC8" s="24"/>
      <c r="AD8" s="24"/>
    </row>
    <row r="9">
      <c r="A9" s="137"/>
      <c r="B9" s="17" t="s">
        <v>690</v>
      </c>
      <c r="C9" s="17">
        <v>8.521056237E9</v>
      </c>
      <c r="E9" s="3"/>
      <c r="K9" s="83"/>
      <c r="N9" s="120"/>
      <c r="O9" s="3"/>
      <c r="P9" s="3"/>
      <c r="S9" s="3"/>
      <c r="U9" s="3"/>
      <c r="X9" s="3"/>
      <c r="Y9" s="3"/>
      <c r="Z9" s="3"/>
      <c r="AC9" s="24"/>
      <c r="AD9" s="24"/>
    </row>
    <row r="10">
      <c r="A10" s="137"/>
      <c r="B10" s="17" t="s">
        <v>693</v>
      </c>
      <c r="C10" s="17">
        <v>7.65475642E9</v>
      </c>
      <c r="E10" s="3"/>
      <c r="K10" s="83"/>
      <c r="N10" s="120"/>
      <c r="O10" s="3"/>
      <c r="P10" s="3"/>
      <c r="S10" s="3"/>
      <c r="U10" s="3"/>
      <c r="X10" s="3"/>
      <c r="Y10" s="3"/>
      <c r="Z10" s="3"/>
      <c r="AC10" s="24"/>
      <c r="AD10" s="24"/>
    </row>
    <row r="11">
      <c r="A11" s="137"/>
      <c r="B11" s="17" t="s">
        <v>695</v>
      </c>
      <c r="C11" s="17">
        <v>9.708666676E9</v>
      </c>
      <c r="D11" s="39"/>
      <c r="E11" s="64"/>
      <c r="F11" s="39"/>
      <c r="I11" s="39"/>
      <c r="K11" s="83"/>
      <c r="L11" s="39"/>
      <c r="M11" s="39"/>
      <c r="N11" s="120"/>
      <c r="O11" s="64"/>
      <c r="P11" s="64"/>
      <c r="S11" s="64"/>
      <c r="U11" s="64"/>
      <c r="W11" s="39"/>
      <c r="X11" s="64"/>
      <c r="Y11" s="64"/>
      <c r="Z11" s="64"/>
      <c r="AA11" s="39"/>
      <c r="AC11" s="24"/>
      <c r="AD11" s="24"/>
    </row>
    <row r="12">
      <c r="A12" s="137"/>
      <c r="B12" s="17" t="s">
        <v>699</v>
      </c>
      <c r="C12" s="17">
        <v>6.20264125E9</v>
      </c>
      <c r="D12" s="39"/>
      <c r="E12" s="64"/>
      <c r="F12" s="39"/>
      <c r="I12" s="39"/>
      <c r="K12" s="83"/>
      <c r="L12" s="39"/>
      <c r="M12" s="39"/>
      <c r="N12" s="120"/>
      <c r="O12" s="64"/>
      <c r="P12" s="64"/>
      <c r="Q12" s="39"/>
      <c r="S12" s="64"/>
      <c r="T12" s="39"/>
      <c r="U12" s="64"/>
      <c r="V12" s="39"/>
      <c r="W12" s="39"/>
      <c r="X12" s="64"/>
      <c r="Y12" s="64"/>
      <c r="Z12" s="64"/>
      <c r="AA12" s="39"/>
      <c r="AC12" s="24"/>
      <c r="AD12" s="24"/>
    </row>
    <row r="13">
      <c r="A13" s="137"/>
      <c r="B13" s="17" t="s">
        <v>701</v>
      </c>
      <c r="C13" s="17">
        <v>9.708577062E9</v>
      </c>
      <c r="E13" s="3"/>
      <c r="K13" s="83"/>
      <c r="N13" s="120"/>
      <c r="O13" s="3"/>
      <c r="P13" s="3"/>
      <c r="S13" s="3"/>
      <c r="U13" s="3"/>
      <c r="X13" s="3"/>
      <c r="Y13" s="3"/>
      <c r="Z13" s="3"/>
      <c r="AC13" s="24"/>
      <c r="AD13" s="24"/>
    </row>
    <row r="14">
      <c r="A14" s="137"/>
      <c r="B14" s="17" t="s">
        <v>708</v>
      </c>
      <c r="C14" s="17">
        <v>8.209823203E9</v>
      </c>
      <c r="E14" s="3"/>
      <c r="K14" s="83"/>
      <c r="N14" s="120"/>
      <c r="O14" s="3"/>
      <c r="P14" s="3"/>
      <c r="S14" s="3"/>
      <c r="U14" s="3"/>
      <c r="X14" s="3"/>
      <c r="Y14" s="3"/>
      <c r="Z14" s="3"/>
      <c r="AA14" s="39"/>
      <c r="AB14" s="39"/>
      <c r="AC14" s="24"/>
      <c r="AD14" s="24"/>
    </row>
    <row r="15">
      <c r="A15" s="137"/>
      <c r="B15" s="17" t="s">
        <v>711</v>
      </c>
      <c r="C15" s="17">
        <v>9.507341485E9</v>
      </c>
      <c r="E15" s="3"/>
      <c r="K15" s="83"/>
      <c r="N15" s="120"/>
      <c r="O15" s="3"/>
      <c r="P15" s="3"/>
      <c r="S15" s="3"/>
      <c r="U15" s="3"/>
      <c r="X15" s="3"/>
      <c r="Y15" s="3"/>
      <c r="Z15" s="3"/>
      <c r="AC15" s="24"/>
      <c r="AD15" s="24"/>
    </row>
    <row r="16">
      <c r="A16" s="137"/>
      <c r="B16" s="17" t="s">
        <v>699</v>
      </c>
      <c r="C16" s="17">
        <v>9.113360727E9</v>
      </c>
      <c r="D16" s="39"/>
      <c r="E16" s="64"/>
      <c r="F16" s="39"/>
      <c r="I16" s="39"/>
      <c r="K16" s="83"/>
      <c r="L16" s="39"/>
      <c r="M16" s="39"/>
      <c r="N16" s="120"/>
      <c r="O16" s="64"/>
      <c r="P16" s="64"/>
      <c r="Q16" s="39"/>
      <c r="S16" s="64"/>
      <c r="U16" s="64"/>
      <c r="W16" s="39"/>
      <c r="X16" s="64"/>
      <c r="Y16" s="64"/>
      <c r="Z16" s="64"/>
      <c r="AA16" s="39"/>
      <c r="AC16" s="24"/>
      <c r="AD16" s="24"/>
    </row>
    <row r="17">
      <c r="A17" s="137"/>
      <c r="B17" s="17" t="s">
        <v>714</v>
      </c>
      <c r="C17" s="17">
        <v>9.507091169E9</v>
      </c>
      <c r="D17" s="39"/>
      <c r="E17" s="64"/>
      <c r="F17" s="39"/>
      <c r="I17" s="39"/>
      <c r="K17" s="83"/>
      <c r="L17" s="39"/>
      <c r="M17" s="39"/>
      <c r="N17" s="120"/>
      <c r="O17" s="64"/>
      <c r="P17" s="64"/>
      <c r="Q17" s="39"/>
      <c r="S17" s="64"/>
      <c r="T17" s="39"/>
      <c r="U17" s="64"/>
      <c r="W17" s="39"/>
      <c r="X17" s="64"/>
      <c r="Y17" s="64"/>
      <c r="Z17" s="64"/>
      <c r="AA17" s="39"/>
      <c r="AC17" s="24"/>
      <c r="AD17" s="24"/>
    </row>
    <row r="18">
      <c r="A18" s="137"/>
      <c r="B18" s="17" t="s">
        <v>717</v>
      </c>
      <c r="C18" s="17">
        <v>9.80115937E9</v>
      </c>
      <c r="D18" s="39"/>
      <c r="E18" s="3"/>
      <c r="F18" s="39"/>
      <c r="I18" s="39"/>
      <c r="K18" s="83"/>
      <c r="L18" s="39"/>
      <c r="M18" s="39"/>
      <c r="N18" s="120"/>
      <c r="O18" s="64"/>
      <c r="P18" s="64"/>
      <c r="Q18" s="39"/>
      <c r="S18" s="64"/>
      <c r="T18" s="39"/>
      <c r="U18" s="64"/>
      <c r="V18" s="39"/>
      <c r="W18" s="39"/>
      <c r="X18" s="64"/>
      <c r="Y18" s="64"/>
      <c r="Z18" s="64"/>
      <c r="AA18" s="39"/>
      <c r="AC18" s="24"/>
      <c r="AD18" s="24"/>
    </row>
    <row r="19">
      <c r="A19" s="137"/>
      <c r="B19" s="17" t="s">
        <v>723</v>
      </c>
      <c r="C19" s="17">
        <v>9.5252973E9</v>
      </c>
      <c r="E19" s="3"/>
      <c r="K19" s="83"/>
      <c r="N19" s="120"/>
      <c r="O19" s="3"/>
      <c r="P19" s="3"/>
      <c r="S19" s="3"/>
      <c r="U19" s="3"/>
      <c r="X19" s="3"/>
      <c r="Y19" s="3"/>
      <c r="Z19" s="3"/>
      <c r="AC19" s="24"/>
      <c r="AD19" s="24"/>
    </row>
    <row r="20">
      <c r="A20" s="137"/>
      <c r="B20" s="17" t="s">
        <v>728</v>
      </c>
      <c r="C20" s="17" t="s">
        <v>729</v>
      </c>
      <c r="D20" s="39"/>
      <c r="E20" s="64"/>
      <c r="F20" s="39"/>
      <c r="I20" s="39"/>
      <c r="K20" s="83"/>
      <c r="L20" s="39"/>
      <c r="M20" s="39"/>
      <c r="N20" s="120"/>
      <c r="O20" s="64"/>
      <c r="P20" s="64"/>
      <c r="S20" s="64"/>
      <c r="T20" s="39"/>
      <c r="U20" s="64"/>
      <c r="W20" s="39"/>
      <c r="X20" s="64"/>
      <c r="Y20" s="64"/>
      <c r="Z20" s="64"/>
      <c r="AA20" s="39"/>
      <c r="AC20" s="24"/>
      <c r="AD20" s="24"/>
    </row>
    <row r="21">
      <c r="A21" s="137"/>
      <c r="B21" s="17" t="s">
        <v>731</v>
      </c>
      <c r="C21" s="17">
        <v>6.205397411E9</v>
      </c>
      <c r="E21" s="3"/>
      <c r="K21" s="83"/>
      <c r="N21" s="120"/>
      <c r="O21" s="3"/>
      <c r="P21" s="3"/>
      <c r="S21" s="3"/>
      <c r="U21" s="3"/>
      <c r="X21" s="3"/>
      <c r="Y21" s="3"/>
      <c r="Z21" s="3"/>
      <c r="AC21" s="24"/>
      <c r="AD21" s="24"/>
    </row>
    <row r="22">
      <c r="A22" s="137"/>
      <c r="B22" s="17" t="s">
        <v>733</v>
      </c>
      <c r="C22" s="17">
        <v>8.210032428E9</v>
      </c>
      <c r="D22" s="39"/>
      <c r="E22" s="64"/>
      <c r="F22" s="39"/>
      <c r="G22" s="39"/>
      <c r="H22" s="39"/>
      <c r="I22" s="39"/>
      <c r="J22" s="39"/>
      <c r="K22" s="83"/>
      <c r="L22" s="39"/>
      <c r="M22" s="39"/>
      <c r="N22" s="120"/>
      <c r="O22" s="64"/>
      <c r="P22" s="64"/>
      <c r="Q22" s="39"/>
      <c r="S22" s="64"/>
      <c r="U22" s="64"/>
      <c r="W22" s="39"/>
      <c r="X22" s="64"/>
      <c r="Y22" s="64"/>
      <c r="Z22" s="64"/>
      <c r="AA22" s="39"/>
      <c r="AC22" s="24"/>
      <c r="AD22" s="24"/>
    </row>
    <row r="23">
      <c r="A23" s="137"/>
      <c r="B23" s="17" t="s">
        <v>734</v>
      </c>
      <c r="C23" s="17">
        <v>9.128145915E9</v>
      </c>
      <c r="D23" s="39"/>
      <c r="E23" s="64"/>
      <c r="F23" s="39"/>
      <c r="I23" s="39"/>
      <c r="K23" s="83"/>
      <c r="L23" s="39"/>
      <c r="M23" s="39"/>
      <c r="N23" s="120"/>
      <c r="O23" s="64"/>
      <c r="P23" s="64"/>
      <c r="Q23" s="39"/>
      <c r="S23" s="64"/>
      <c r="T23" s="39"/>
      <c r="U23" s="64"/>
      <c r="V23" s="39"/>
      <c r="W23" s="39"/>
      <c r="X23" s="64"/>
      <c r="Y23" s="64"/>
      <c r="Z23" s="64"/>
      <c r="AA23" s="39"/>
      <c r="AC23" s="24"/>
      <c r="AD23" s="24"/>
    </row>
    <row r="24">
      <c r="A24" s="137"/>
      <c r="B24" s="17" t="s">
        <v>736</v>
      </c>
      <c r="C24" s="17">
        <v>7.519342464E9</v>
      </c>
      <c r="E24" s="3"/>
      <c r="K24" s="83"/>
      <c r="N24" s="120"/>
      <c r="O24" s="3"/>
      <c r="P24" s="3"/>
      <c r="S24" s="3"/>
      <c r="U24" s="3"/>
      <c r="X24" s="3"/>
      <c r="Y24" s="3"/>
      <c r="Z24" s="3"/>
      <c r="AC24" s="24"/>
      <c r="AD24" s="24"/>
    </row>
    <row r="25">
      <c r="A25" s="137"/>
      <c r="B25" s="17" t="s">
        <v>739</v>
      </c>
      <c r="C25" s="17">
        <v>9.708665685E9</v>
      </c>
      <c r="D25" s="39"/>
      <c r="E25" s="64"/>
      <c r="F25" s="39"/>
      <c r="I25" s="39"/>
      <c r="K25" s="83"/>
      <c r="M25" s="39"/>
      <c r="N25" s="120"/>
      <c r="O25" s="64"/>
      <c r="P25" s="64"/>
      <c r="S25" s="64"/>
      <c r="U25" s="64"/>
      <c r="W25" s="39"/>
      <c r="X25" s="64"/>
      <c r="Y25" s="64"/>
      <c r="Z25" s="64"/>
      <c r="AA25" s="39"/>
      <c r="AC25" s="24"/>
      <c r="AD25" s="24"/>
    </row>
    <row r="26">
      <c r="A26" s="137"/>
      <c r="B26" s="17" t="s">
        <v>741</v>
      </c>
      <c r="C26" s="17">
        <v>9.798072478E9</v>
      </c>
      <c r="D26" s="39"/>
      <c r="E26" s="64"/>
      <c r="F26" s="39"/>
      <c r="I26" s="39"/>
      <c r="K26" s="83"/>
      <c r="L26" s="39"/>
      <c r="M26" s="39"/>
      <c r="N26" s="120"/>
      <c r="O26" s="64"/>
      <c r="P26" s="64"/>
      <c r="S26" s="64"/>
      <c r="T26" s="39"/>
      <c r="U26" s="64"/>
      <c r="W26" s="39"/>
      <c r="X26" s="64"/>
      <c r="Y26" s="64"/>
      <c r="Z26" s="64"/>
      <c r="AA26" s="39"/>
      <c r="AC26" s="24"/>
      <c r="AD26" s="24"/>
    </row>
    <row r="27">
      <c r="A27" s="137"/>
      <c r="B27" s="121"/>
      <c r="C27" s="121"/>
      <c r="E27" s="3"/>
      <c r="K27" s="83"/>
      <c r="N27" s="120"/>
      <c r="O27" s="3"/>
      <c r="P27" s="3"/>
      <c r="S27" s="3"/>
      <c r="U27" s="3"/>
      <c r="W27" s="39"/>
      <c r="X27" s="64"/>
      <c r="Y27" s="64"/>
      <c r="Z27" s="64"/>
      <c r="AA27" s="39"/>
      <c r="AC27" s="24"/>
      <c r="AD27" s="24"/>
    </row>
    <row r="28">
      <c r="A28" s="137"/>
      <c r="B28" s="17" t="s">
        <v>697</v>
      </c>
      <c r="C28" s="17">
        <v>9.576520293E9</v>
      </c>
      <c r="E28" s="3"/>
      <c r="K28" s="83"/>
      <c r="N28" s="120"/>
      <c r="O28" s="3"/>
      <c r="P28" s="3"/>
      <c r="S28" s="3"/>
      <c r="U28" s="3"/>
      <c r="X28" s="3"/>
      <c r="Y28" s="3"/>
      <c r="Z28" s="3"/>
      <c r="AC28" s="24"/>
      <c r="AD28" s="24"/>
    </row>
    <row r="29">
      <c r="A29" s="137"/>
      <c r="B29" s="17" t="s">
        <v>698</v>
      </c>
      <c r="C29" s="17">
        <v>9.52520903E9</v>
      </c>
      <c r="D29" s="39"/>
      <c r="E29" s="64"/>
      <c r="F29" s="39"/>
      <c r="I29" s="39"/>
      <c r="K29" s="83"/>
      <c r="L29" s="39"/>
      <c r="M29" s="39"/>
      <c r="N29" s="120"/>
      <c r="O29" s="64"/>
      <c r="P29" s="64"/>
      <c r="S29" s="64"/>
      <c r="U29" s="64"/>
      <c r="V29" s="39"/>
      <c r="W29" s="39"/>
      <c r="X29" s="64"/>
      <c r="Y29" s="64"/>
      <c r="Z29" s="64"/>
      <c r="AA29" s="39"/>
      <c r="AC29" s="24"/>
      <c r="AD29" s="24"/>
    </row>
    <row r="30">
      <c r="A30" s="137"/>
      <c r="B30" s="17" t="s">
        <v>705</v>
      </c>
      <c r="C30" s="17">
        <v>9.110989115E9</v>
      </c>
      <c r="D30" s="39"/>
      <c r="E30" s="64"/>
      <c r="F30" s="39"/>
      <c r="I30" s="39"/>
      <c r="K30" s="83"/>
      <c r="L30" s="39"/>
      <c r="M30" s="39"/>
      <c r="N30" s="120"/>
      <c r="O30" s="64"/>
      <c r="P30" s="64"/>
      <c r="S30" s="64"/>
      <c r="U30" s="64"/>
      <c r="V30" s="39"/>
      <c r="W30" s="39"/>
      <c r="X30" s="64"/>
      <c r="Y30" s="64"/>
      <c r="Z30" s="64"/>
      <c r="AA30" s="39"/>
      <c r="AC30" s="24"/>
      <c r="AD30" s="24"/>
    </row>
    <row r="31">
      <c r="B31" s="17" t="s">
        <v>706</v>
      </c>
      <c r="C31" s="17">
        <v>8.310770141E9</v>
      </c>
    </row>
    <row r="32">
      <c r="B32" s="17" t="s">
        <v>716</v>
      </c>
      <c r="C32" s="17">
        <v>8.235783797E9</v>
      </c>
    </row>
    <row r="33">
      <c r="B33" s="17" t="s">
        <v>721</v>
      </c>
      <c r="C33" s="17">
        <v>9.560602801E9</v>
      </c>
    </row>
    <row r="34">
      <c r="B34" s="17" t="s">
        <v>412</v>
      </c>
      <c r="C34" s="17">
        <v>6.201273446E9</v>
      </c>
    </row>
    <row r="36" ht="84.75" customHeight="1">
      <c r="A36" s="10" t="s">
        <v>339</v>
      </c>
      <c r="B36" s="11" t="s">
        <v>340</v>
      </c>
      <c r="C36" s="12" t="s">
        <v>341</v>
      </c>
      <c r="D36" s="11" t="s">
        <v>342</v>
      </c>
      <c r="E36" s="11" t="s">
        <v>343</v>
      </c>
      <c r="F36" s="11" t="s">
        <v>344</v>
      </c>
      <c r="G36" s="11" t="s">
        <v>345</v>
      </c>
      <c r="H36" s="11" t="s">
        <v>346</v>
      </c>
      <c r="I36" s="11" t="s">
        <v>347</v>
      </c>
      <c r="J36" s="12" t="s">
        <v>348</v>
      </c>
      <c r="K36" s="12" t="s">
        <v>349</v>
      </c>
      <c r="L36" s="11" t="s">
        <v>350</v>
      </c>
      <c r="M36" s="11" t="s">
        <v>351</v>
      </c>
      <c r="N36" s="11" t="s">
        <v>1</v>
      </c>
      <c r="O36" s="11" t="s">
        <v>352</v>
      </c>
      <c r="P36" s="11" t="s">
        <v>353</v>
      </c>
      <c r="Q36" s="11" t="s">
        <v>354</v>
      </c>
      <c r="R36" s="11" t="s">
        <v>355</v>
      </c>
      <c r="S36" s="11" t="s">
        <v>356</v>
      </c>
      <c r="T36" s="11" t="s">
        <v>357</v>
      </c>
      <c r="U36" s="11" t="s">
        <v>358</v>
      </c>
      <c r="V36" s="11" t="s">
        <v>359</v>
      </c>
      <c r="W36" s="11" t="s">
        <v>360</v>
      </c>
      <c r="X36" s="11" t="s">
        <v>361</v>
      </c>
      <c r="Y36" s="11" t="s">
        <v>362</v>
      </c>
      <c r="Z36" s="11" t="s">
        <v>363</v>
      </c>
      <c r="AA36" s="13" t="s">
        <v>364</v>
      </c>
      <c r="AB36" s="14" t="s">
        <v>3</v>
      </c>
      <c r="AC36" s="15"/>
      <c r="AD36" s="15"/>
    </row>
    <row r="37">
      <c r="A37" s="16" t="s">
        <v>682</v>
      </c>
      <c r="B37" s="17" t="s">
        <v>683</v>
      </c>
      <c r="C37" s="17">
        <v>7.2506631E9</v>
      </c>
      <c r="D37" s="26">
        <v>28.0</v>
      </c>
      <c r="E37" s="20" t="s">
        <v>367</v>
      </c>
      <c r="F37" s="26" t="s">
        <v>429</v>
      </c>
      <c r="G37" s="19"/>
      <c r="H37" s="19"/>
      <c r="I37" s="26" t="s">
        <v>408</v>
      </c>
      <c r="J37" s="26" t="s">
        <v>684</v>
      </c>
      <c r="K37" s="18" t="s">
        <v>685</v>
      </c>
      <c r="L37" s="26" t="s">
        <v>685</v>
      </c>
      <c r="M37" s="26" t="s">
        <v>686</v>
      </c>
      <c r="N37" s="21" t="s">
        <v>9</v>
      </c>
      <c r="O37" s="20" t="s">
        <v>4</v>
      </c>
      <c r="P37" s="20" t="s">
        <v>4</v>
      </c>
      <c r="Q37" s="26" t="s">
        <v>659</v>
      </c>
      <c r="R37" s="19"/>
      <c r="S37" s="20" t="s">
        <v>4</v>
      </c>
      <c r="T37" s="26" t="s">
        <v>687</v>
      </c>
      <c r="U37" s="20" t="s">
        <v>380</v>
      </c>
      <c r="V37" s="19"/>
      <c r="W37" s="26" t="s">
        <v>612</v>
      </c>
      <c r="X37" s="20" t="s">
        <v>4</v>
      </c>
      <c r="Y37" s="20" t="s">
        <v>4</v>
      </c>
      <c r="Z37" s="20" t="s">
        <v>4</v>
      </c>
      <c r="AA37" s="26" t="s">
        <v>391</v>
      </c>
      <c r="AB37" s="19"/>
      <c r="AC37" s="24"/>
      <c r="AD37" s="24"/>
    </row>
    <row r="38" ht="31.5" customHeight="1">
      <c r="A38" s="25"/>
      <c r="B38" s="17" t="s">
        <v>688</v>
      </c>
      <c r="C38" s="17">
        <v>9.771560886E9</v>
      </c>
      <c r="D38" s="26">
        <v>66.0</v>
      </c>
      <c r="E38" s="20" t="s">
        <v>367</v>
      </c>
      <c r="F38" s="26" t="s">
        <v>689</v>
      </c>
      <c r="G38" s="19"/>
      <c r="H38" s="19"/>
      <c r="I38" s="26" t="s">
        <v>523</v>
      </c>
      <c r="J38" s="26" t="s">
        <v>684</v>
      </c>
      <c r="K38" s="18" t="s">
        <v>685</v>
      </c>
      <c r="L38" s="26" t="s">
        <v>685</v>
      </c>
      <c r="M38" s="26" t="s">
        <v>686</v>
      </c>
      <c r="N38" s="21" t="s">
        <v>9</v>
      </c>
      <c r="O38" s="20" t="s">
        <v>4</v>
      </c>
      <c r="P38" s="20" t="s">
        <v>4</v>
      </c>
      <c r="Q38" s="26" t="s">
        <v>659</v>
      </c>
      <c r="R38" s="19"/>
      <c r="S38" s="20" t="s">
        <v>4</v>
      </c>
      <c r="T38" s="26" t="s">
        <v>660</v>
      </c>
      <c r="U38" s="20" t="s">
        <v>380</v>
      </c>
      <c r="V38" s="19"/>
      <c r="W38" s="26" t="s">
        <v>612</v>
      </c>
      <c r="X38" s="20" t="s">
        <v>4</v>
      </c>
      <c r="Y38" s="20" t="s">
        <v>4</v>
      </c>
      <c r="Z38" s="20" t="s">
        <v>4</v>
      </c>
      <c r="AA38" s="26" t="s">
        <v>391</v>
      </c>
      <c r="AB38" s="19"/>
      <c r="AC38" s="24"/>
      <c r="AD38" s="24"/>
    </row>
    <row r="39">
      <c r="A39" s="25"/>
      <c r="B39" s="17" t="s">
        <v>690</v>
      </c>
      <c r="C39" s="17">
        <v>8.521056237E9</v>
      </c>
      <c r="D39" s="26">
        <v>50.0</v>
      </c>
      <c r="E39" s="20" t="s">
        <v>367</v>
      </c>
      <c r="F39" s="26" t="s">
        <v>441</v>
      </c>
      <c r="G39" s="26" t="s">
        <v>551</v>
      </c>
      <c r="H39" s="19"/>
      <c r="I39" s="26" t="s">
        <v>551</v>
      </c>
      <c r="J39" s="26" t="s">
        <v>691</v>
      </c>
      <c r="K39" s="18" t="s">
        <v>692</v>
      </c>
      <c r="L39" s="26" t="s">
        <v>685</v>
      </c>
      <c r="M39" s="26" t="s">
        <v>686</v>
      </c>
      <c r="N39" s="21" t="s">
        <v>9</v>
      </c>
      <c r="O39" s="20" t="s">
        <v>4</v>
      </c>
      <c r="P39" s="20" t="s">
        <v>4</v>
      </c>
      <c r="Q39" s="19"/>
      <c r="R39" s="19"/>
      <c r="S39" s="20" t="s">
        <v>380</v>
      </c>
      <c r="T39" s="19"/>
      <c r="U39" s="20" t="s">
        <v>380</v>
      </c>
      <c r="V39" s="19"/>
      <c r="W39" s="26" t="s">
        <v>612</v>
      </c>
      <c r="X39" s="20" t="s">
        <v>4</v>
      </c>
      <c r="Y39" s="20" t="s">
        <v>4</v>
      </c>
      <c r="Z39" s="20" t="s">
        <v>4</v>
      </c>
      <c r="AA39" s="26" t="s">
        <v>391</v>
      </c>
      <c r="AB39" s="19"/>
      <c r="AC39" s="24"/>
      <c r="AD39" s="24"/>
    </row>
    <row r="40">
      <c r="A40" s="25"/>
      <c r="B40" s="17" t="s">
        <v>693</v>
      </c>
      <c r="C40" s="17">
        <v>7.65475642E9</v>
      </c>
      <c r="D40" s="26">
        <v>27.0</v>
      </c>
      <c r="E40" s="20" t="s">
        <v>367</v>
      </c>
      <c r="F40" s="26" t="s">
        <v>429</v>
      </c>
      <c r="G40" s="26" t="s">
        <v>371</v>
      </c>
      <c r="H40" s="19"/>
      <c r="I40" s="26" t="s">
        <v>384</v>
      </c>
      <c r="J40" s="26" t="s">
        <v>691</v>
      </c>
      <c r="K40" s="18" t="s">
        <v>692</v>
      </c>
      <c r="L40" s="26" t="s">
        <v>685</v>
      </c>
      <c r="M40" s="26" t="s">
        <v>694</v>
      </c>
      <c r="N40" s="21" t="s">
        <v>9</v>
      </c>
      <c r="O40" s="20" t="s">
        <v>380</v>
      </c>
      <c r="P40" s="20" t="s">
        <v>380</v>
      </c>
      <c r="Q40" s="19"/>
      <c r="R40" s="19"/>
      <c r="S40" s="20" t="s">
        <v>380</v>
      </c>
      <c r="T40" s="19"/>
      <c r="U40" s="20" t="s">
        <v>380</v>
      </c>
      <c r="V40" s="19"/>
      <c r="W40" s="26" t="s">
        <v>612</v>
      </c>
      <c r="X40" s="20" t="s">
        <v>4</v>
      </c>
      <c r="Y40" s="20" t="s">
        <v>4</v>
      </c>
      <c r="Z40" s="20" t="s">
        <v>4</v>
      </c>
      <c r="AA40" s="26" t="s">
        <v>391</v>
      </c>
      <c r="AB40" s="19"/>
      <c r="AC40" s="24"/>
      <c r="AD40" s="24"/>
    </row>
    <row r="41">
      <c r="A41" s="25"/>
      <c r="B41" s="17" t="s">
        <v>695</v>
      </c>
      <c r="C41" s="17">
        <v>9.708666676E9</v>
      </c>
      <c r="D41" s="26">
        <v>28.0</v>
      </c>
      <c r="E41" s="20" t="s">
        <v>367</v>
      </c>
      <c r="F41" s="26" t="s">
        <v>560</v>
      </c>
      <c r="G41" s="19"/>
      <c r="H41" s="19"/>
      <c r="I41" s="26" t="s">
        <v>384</v>
      </c>
      <c r="J41" s="19"/>
      <c r="K41" s="18" t="s">
        <v>692</v>
      </c>
      <c r="L41" s="26" t="s">
        <v>685</v>
      </c>
      <c r="M41" s="26" t="s">
        <v>696</v>
      </c>
      <c r="N41" s="21" t="s">
        <v>9</v>
      </c>
      <c r="O41" s="20" t="s">
        <v>4</v>
      </c>
      <c r="P41" s="20" t="s">
        <v>380</v>
      </c>
      <c r="Q41" s="19"/>
      <c r="R41" s="19"/>
      <c r="S41" s="20" t="s">
        <v>4</v>
      </c>
      <c r="T41" s="26" t="s">
        <v>660</v>
      </c>
      <c r="U41" s="20" t="s">
        <v>380</v>
      </c>
      <c r="V41" s="19"/>
      <c r="W41" s="26" t="s">
        <v>616</v>
      </c>
      <c r="X41" s="20" t="s">
        <v>4</v>
      </c>
      <c r="Y41" s="20" t="s">
        <v>4</v>
      </c>
      <c r="Z41" s="20" t="s">
        <v>4</v>
      </c>
      <c r="AA41" s="26" t="s">
        <v>391</v>
      </c>
      <c r="AB41" s="19"/>
      <c r="AC41" s="24"/>
      <c r="AD41" s="24"/>
    </row>
    <row r="42">
      <c r="A42" s="25"/>
      <c r="B42" s="17" t="s">
        <v>697</v>
      </c>
      <c r="C42" s="17">
        <v>9.576520293E9</v>
      </c>
      <c r="D42" s="19"/>
      <c r="E42" s="22"/>
      <c r="F42" s="19"/>
      <c r="G42" s="19"/>
      <c r="H42" s="19"/>
      <c r="I42" s="19"/>
      <c r="J42" s="19"/>
      <c r="K42" s="18" t="s">
        <v>692</v>
      </c>
      <c r="L42" s="19"/>
      <c r="M42" s="19"/>
      <c r="N42" s="21" t="s">
        <v>13</v>
      </c>
      <c r="O42" s="22"/>
      <c r="P42" s="22"/>
      <c r="Q42" s="19"/>
      <c r="R42" s="19"/>
      <c r="S42" s="22"/>
      <c r="T42" s="19"/>
      <c r="U42" s="22"/>
      <c r="V42" s="19"/>
      <c r="W42" s="19"/>
      <c r="X42" s="22"/>
      <c r="Y42" s="22"/>
      <c r="Z42" s="22"/>
      <c r="AA42" s="19"/>
      <c r="AB42" s="19"/>
      <c r="AC42" s="24"/>
      <c r="AD42" s="24"/>
    </row>
    <row r="43">
      <c r="A43" s="25"/>
      <c r="B43" s="17" t="s">
        <v>698</v>
      </c>
      <c r="C43" s="17">
        <v>9.52520903E9</v>
      </c>
      <c r="D43" s="19"/>
      <c r="E43" s="22"/>
      <c r="F43" s="19"/>
      <c r="G43" s="19"/>
      <c r="H43" s="19"/>
      <c r="I43" s="19"/>
      <c r="J43" s="19"/>
      <c r="K43" s="18" t="s">
        <v>692</v>
      </c>
      <c r="L43" s="19"/>
      <c r="M43" s="19"/>
      <c r="N43" s="21" t="s">
        <v>27</v>
      </c>
      <c r="O43" s="22"/>
      <c r="P43" s="22"/>
      <c r="Q43" s="19"/>
      <c r="R43" s="19"/>
      <c r="S43" s="22"/>
      <c r="T43" s="19"/>
      <c r="U43" s="22"/>
      <c r="V43" s="19"/>
      <c r="W43" s="19"/>
      <c r="X43" s="22"/>
      <c r="Y43" s="22"/>
      <c r="Z43" s="22"/>
      <c r="AA43" s="19"/>
      <c r="AB43" s="19"/>
      <c r="AC43" s="24"/>
      <c r="AD43" s="24"/>
    </row>
    <row r="44">
      <c r="A44" s="25"/>
      <c r="B44" s="17" t="s">
        <v>699</v>
      </c>
      <c r="C44" s="17">
        <v>6.20264125E9</v>
      </c>
      <c r="D44" s="26">
        <v>30.0</v>
      </c>
      <c r="E44" s="20" t="s">
        <v>367</v>
      </c>
      <c r="F44" s="26" t="s">
        <v>600</v>
      </c>
      <c r="G44" s="19"/>
      <c r="H44" s="19"/>
      <c r="I44" s="26" t="s">
        <v>384</v>
      </c>
      <c r="J44" s="19"/>
      <c r="K44" s="18" t="s">
        <v>692</v>
      </c>
      <c r="L44" s="26" t="s">
        <v>685</v>
      </c>
      <c r="M44" s="26" t="s">
        <v>700</v>
      </c>
      <c r="N44" s="21" t="s">
        <v>9</v>
      </c>
      <c r="O44" s="20" t="s">
        <v>4</v>
      </c>
      <c r="P44" s="20" t="s">
        <v>380</v>
      </c>
      <c r="Q44" s="19"/>
      <c r="R44" s="19"/>
      <c r="S44" s="20" t="s">
        <v>380</v>
      </c>
      <c r="T44" s="19"/>
      <c r="U44" s="20" t="s">
        <v>380</v>
      </c>
      <c r="V44" s="19"/>
      <c r="W44" s="26" t="s">
        <v>612</v>
      </c>
      <c r="X44" s="20" t="s">
        <v>4</v>
      </c>
      <c r="Y44" s="20" t="s">
        <v>4</v>
      </c>
      <c r="Z44" s="20" t="s">
        <v>4</v>
      </c>
      <c r="AA44" s="26" t="s">
        <v>391</v>
      </c>
      <c r="AB44" s="19"/>
      <c r="AC44" s="24"/>
      <c r="AD44" s="24"/>
    </row>
    <row r="45">
      <c r="A45" s="25"/>
      <c r="B45" s="17" t="s">
        <v>701</v>
      </c>
      <c r="C45" s="17">
        <v>9.708577062E9</v>
      </c>
      <c r="D45" s="26">
        <v>25.0</v>
      </c>
      <c r="E45" s="20" t="s">
        <v>367</v>
      </c>
      <c r="F45" s="26" t="s">
        <v>702</v>
      </c>
      <c r="G45" s="19"/>
      <c r="H45" s="19"/>
      <c r="I45" s="26" t="s">
        <v>384</v>
      </c>
      <c r="J45" s="19"/>
      <c r="K45" s="18" t="s">
        <v>692</v>
      </c>
      <c r="L45" s="26" t="s">
        <v>685</v>
      </c>
      <c r="M45" s="26" t="s">
        <v>700</v>
      </c>
      <c r="N45" s="21" t="s">
        <v>9</v>
      </c>
      <c r="O45" s="20" t="s">
        <v>4</v>
      </c>
      <c r="P45" s="20" t="s">
        <v>4</v>
      </c>
      <c r="Q45" s="26" t="s">
        <v>703</v>
      </c>
      <c r="R45" s="19"/>
      <c r="S45" s="20" t="s">
        <v>4</v>
      </c>
      <c r="T45" s="26" t="s">
        <v>660</v>
      </c>
      <c r="U45" s="20" t="s">
        <v>4</v>
      </c>
      <c r="V45" s="26" t="s">
        <v>704</v>
      </c>
      <c r="W45" s="26" t="s">
        <v>616</v>
      </c>
      <c r="X45" s="20" t="s">
        <v>4</v>
      </c>
      <c r="Y45" s="20" t="s">
        <v>4</v>
      </c>
      <c r="Z45" s="20" t="s">
        <v>4</v>
      </c>
      <c r="AA45" s="26" t="s">
        <v>391</v>
      </c>
      <c r="AB45" s="19"/>
      <c r="AC45" s="24"/>
      <c r="AD45" s="24"/>
    </row>
    <row r="46">
      <c r="A46" s="25"/>
      <c r="B46" s="17" t="s">
        <v>705</v>
      </c>
      <c r="C46" s="17">
        <v>9.110989115E9</v>
      </c>
      <c r="D46" s="19"/>
      <c r="E46" s="22"/>
      <c r="F46" s="19"/>
      <c r="G46" s="19"/>
      <c r="H46" s="19"/>
      <c r="I46" s="19"/>
      <c r="J46" s="19"/>
      <c r="K46" s="18" t="s">
        <v>692</v>
      </c>
      <c r="L46" s="19"/>
      <c r="M46" s="19"/>
      <c r="N46" s="21" t="s">
        <v>23</v>
      </c>
      <c r="O46" s="22"/>
      <c r="P46" s="22"/>
      <c r="Q46" s="19"/>
      <c r="R46" s="19"/>
      <c r="S46" s="22"/>
      <c r="T46" s="19"/>
      <c r="U46" s="22"/>
      <c r="V46" s="19"/>
      <c r="W46" s="19"/>
      <c r="X46" s="22"/>
      <c r="Y46" s="22"/>
      <c r="Z46" s="22"/>
      <c r="AA46" s="19"/>
      <c r="AB46" s="19"/>
      <c r="AC46" s="24"/>
      <c r="AD46" s="24"/>
    </row>
    <row r="47">
      <c r="A47" s="25"/>
      <c r="B47" s="17" t="s">
        <v>706</v>
      </c>
      <c r="C47" s="17">
        <v>8.310770141E9</v>
      </c>
      <c r="D47" s="19"/>
      <c r="E47" s="22"/>
      <c r="F47" s="19"/>
      <c r="G47" s="19"/>
      <c r="H47" s="19"/>
      <c r="I47" s="19"/>
      <c r="J47" s="19"/>
      <c r="K47" s="18" t="s">
        <v>692</v>
      </c>
      <c r="L47" s="19"/>
      <c r="M47" s="19"/>
      <c r="N47" s="21" t="s">
        <v>9</v>
      </c>
      <c r="O47" s="22"/>
      <c r="P47" s="22"/>
      <c r="Q47" s="19"/>
      <c r="R47" s="19"/>
      <c r="S47" s="22"/>
      <c r="T47" s="19"/>
      <c r="U47" s="22"/>
      <c r="V47" s="19"/>
      <c r="W47" s="19"/>
      <c r="X47" s="22"/>
      <c r="Y47" s="22"/>
      <c r="Z47" s="22"/>
      <c r="AA47" s="26" t="s">
        <v>410</v>
      </c>
      <c r="AB47" s="26" t="s">
        <v>707</v>
      </c>
      <c r="AC47" s="24"/>
      <c r="AD47" s="24"/>
    </row>
    <row r="48">
      <c r="A48" s="25"/>
      <c r="B48" s="17" t="s">
        <v>708</v>
      </c>
      <c r="C48" s="17">
        <v>8.209823203E9</v>
      </c>
      <c r="D48" s="26">
        <v>33.0</v>
      </c>
      <c r="E48" s="20" t="s">
        <v>367</v>
      </c>
      <c r="F48" s="19"/>
      <c r="G48" s="26" t="s">
        <v>551</v>
      </c>
      <c r="H48" s="19"/>
      <c r="I48" s="26" t="s">
        <v>551</v>
      </c>
      <c r="J48" s="26" t="s">
        <v>691</v>
      </c>
      <c r="K48" s="18" t="s">
        <v>692</v>
      </c>
      <c r="L48" s="26" t="s">
        <v>709</v>
      </c>
      <c r="M48" s="26" t="s">
        <v>710</v>
      </c>
      <c r="N48" s="21" t="s">
        <v>9</v>
      </c>
      <c r="O48" s="20" t="s">
        <v>380</v>
      </c>
      <c r="P48" s="20" t="s">
        <v>380</v>
      </c>
      <c r="Q48" s="19"/>
      <c r="R48" s="19"/>
      <c r="S48" s="20" t="s">
        <v>380</v>
      </c>
      <c r="T48" s="19"/>
      <c r="U48" s="20" t="s">
        <v>380</v>
      </c>
      <c r="V48" s="19"/>
      <c r="W48" s="26" t="s">
        <v>612</v>
      </c>
      <c r="X48" s="20" t="s">
        <v>4</v>
      </c>
      <c r="Y48" s="20" t="s">
        <v>4</v>
      </c>
      <c r="Z48" s="20" t="s">
        <v>4</v>
      </c>
      <c r="AA48" s="26" t="s">
        <v>391</v>
      </c>
      <c r="AB48" s="19"/>
      <c r="AC48" s="24"/>
      <c r="AD48" s="24"/>
    </row>
    <row r="49">
      <c r="A49" s="25"/>
      <c r="B49" s="17" t="s">
        <v>711</v>
      </c>
      <c r="C49" s="17">
        <v>9.507341485E9</v>
      </c>
      <c r="D49" s="26">
        <v>50.0</v>
      </c>
      <c r="E49" s="20" t="s">
        <v>367</v>
      </c>
      <c r="F49" s="26" t="s">
        <v>557</v>
      </c>
      <c r="G49" s="19"/>
      <c r="H49" s="19"/>
      <c r="I49" s="26" t="s">
        <v>458</v>
      </c>
      <c r="J49" s="19"/>
      <c r="K49" s="18" t="s">
        <v>692</v>
      </c>
      <c r="L49" s="26" t="s">
        <v>685</v>
      </c>
      <c r="M49" s="26" t="s">
        <v>712</v>
      </c>
      <c r="N49" s="21" t="s">
        <v>9</v>
      </c>
      <c r="O49" s="20" t="s">
        <v>4</v>
      </c>
      <c r="P49" s="20" t="s">
        <v>4</v>
      </c>
      <c r="Q49" s="26" t="s">
        <v>703</v>
      </c>
      <c r="R49" s="19"/>
      <c r="S49" s="20" t="s">
        <v>380</v>
      </c>
      <c r="T49" s="19"/>
      <c r="U49" s="20" t="s">
        <v>380</v>
      </c>
      <c r="V49" s="19"/>
      <c r="W49" s="26" t="s">
        <v>612</v>
      </c>
      <c r="X49" s="20" t="s">
        <v>4</v>
      </c>
      <c r="Y49" s="20" t="s">
        <v>4</v>
      </c>
      <c r="Z49" s="20" t="s">
        <v>4</v>
      </c>
      <c r="AA49" s="26" t="s">
        <v>391</v>
      </c>
      <c r="AB49" s="19"/>
      <c r="AC49" s="24"/>
      <c r="AD49" s="24"/>
    </row>
    <row r="50">
      <c r="A50" s="25"/>
      <c r="B50" s="17" t="s">
        <v>699</v>
      </c>
      <c r="C50" s="17">
        <v>9.113360727E9</v>
      </c>
      <c r="D50" s="26">
        <v>32.0</v>
      </c>
      <c r="E50" s="20" t="s">
        <v>367</v>
      </c>
      <c r="F50" s="26" t="s">
        <v>557</v>
      </c>
      <c r="G50" s="19"/>
      <c r="H50" s="19"/>
      <c r="I50" s="26" t="s">
        <v>384</v>
      </c>
      <c r="J50" s="19"/>
      <c r="K50" s="18" t="s">
        <v>692</v>
      </c>
      <c r="L50" s="26" t="s">
        <v>685</v>
      </c>
      <c r="M50" s="26" t="s">
        <v>713</v>
      </c>
      <c r="N50" s="21" t="s">
        <v>9</v>
      </c>
      <c r="O50" s="20" t="s">
        <v>4</v>
      </c>
      <c r="P50" s="20" t="s">
        <v>4</v>
      </c>
      <c r="Q50" s="26" t="s">
        <v>703</v>
      </c>
      <c r="R50" s="19"/>
      <c r="S50" s="20" t="s">
        <v>4</v>
      </c>
      <c r="T50" s="26" t="s">
        <v>660</v>
      </c>
      <c r="U50" s="20" t="s">
        <v>380</v>
      </c>
      <c r="V50" s="19"/>
      <c r="W50" s="26" t="s">
        <v>616</v>
      </c>
      <c r="X50" s="20" t="s">
        <v>4</v>
      </c>
      <c r="Y50" s="20" t="s">
        <v>4</v>
      </c>
      <c r="Z50" s="20" t="s">
        <v>4</v>
      </c>
      <c r="AA50" s="26" t="s">
        <v>391</v>
      </c>
      <c r="AB50" s="19"/>
      <c r="AC50" s="24"/>
      <c r="AD50" s="24"/>
    </row>
    <row r="51">
      <c r="A51" s="25"/>
      <c r="B51" s="17" t="s">
        <v>714</v>
      </c>
      <c r="C51" s="17">
        <v>9.507091169E9</v>
      </c>
      <c r="D51" s="26">
        <v>48.0</v>
      </c>
      <c r="E51" s="22"/>
      <c r="F51" s="26" t="s">
        <v>557</v>
      </c>
      <c r="G51" s="19"/>
      <c r="H51" s="19"/>
      <c r="I51" s="26" t="s">
        <v>384</v>
      </c>
      <c r="J51" s="19"/>
      <c r="K51" s="18" t="s">
        <v>692</v>
      </c>
      <c r="L51" s="26" t="s">
        <v>685</v>
      </c>
      <c r="M51" s="26" t="s">
        <v>713</v>
      </c>
      <c r="N51" s="21" t="s">
        <v>9</v>
      </c>
      <c r="O51" s="20" t="s">
        <v>4</v>
      </c>
      <c r="P51" s="20" t="s">
        <v>4</v>
      </c>
      <c r="Q51" s="26" t="s">
        <v>715</v>
      </c>
      <c r="R51" s="19"/>
      <c r="S51" s="20" t="s">
        <v>4</v>
      </c>
      <c r="T51" s="26" t="s">
        <v>660</v>
      </c>
      <c r="U51" s="20" t="s">
        <v>4</v>
      </c>
      <c r="V51" s="26" t="s">
        <v>618</v>
      </c>
      <c r="W51" s="26" t="s">
        <v>612</v>
      </c>
      <c r="X51" s="20" t="s">
        <v>4</v>
      </c>
      <c r="Y51" s="20" t="s">
        <v>4</v>
      </c>
      <c r="Z51" s="20" t="s">
        <v>4</v>
      </c>
      <c r="AA51" s="26" t="s">
        <v>391</v>
      </c>
      <c r="AB51" s="19"/>
      <c r="AC51" s="24"/>
      <c r="AD51" s="24"/>
    </row>
    <row r="52">
      <c r="A52" s="25"/>
      <c r="B52" s="17" t="s">
        <v>716</v>
      </c>
      <c r="C52" s="17">
        <v>8.235783797E9</v>
      </c>
      <c r="D52" s="19"/>
      <c r="E52" s="22"/>
      <c r="F52" s="19"/>
      <c r="G52" s="19"/>
      <c r="H52" s="19"/>
      <c r="I52" s="19"/>
      <c r="J52" s="19"/>
      <c r="K52" s="18" t="s">
        <v>692</v>
      </c>
      <c r="L52" s="19"/>
      <c r="M52" s="19"/>
      <c r="N52" s="21" t="s">
        <v>27</v>
      </c>
      <c r="O52" s="22"/>
      <c r="P52" s="22"/>
      <c r="Q52" s="19"/>
      <c r="R52" s="19"/>
      <c r="S52" s="22"/>
      <c r="T52" s="19"/>
      <c r="U52" s="22"/>
      <c r="V52" s="19"/>
      <c r="W52" s="19"/>
      <c r="X52" s="22"/>
      <c r="Y52" s="22"/>
      <c r="Z52" s="22"/>
      <c r="AA52" s="19"/>
      <c r="AB52" s="19"/>
      <c r="AC52" s="24"/>
      <c r="AD52" s="24"/>
    </row>
    <row r="53">
      <c r="A53" s="25"/>
      <c r="B53" s="17" t="s">
        <v>717</v>
      </c>
      <c r="C53" s="17">
        <v>9.80115937E9</v>
      </c>
      <c r="D53" s="26">
        <v>36.0</v>
      </c>
      <c r="E53" s="20" t="s">
        <v>367</v>
      </c>
      <c r="F53" s="26" t="s">
        <v>718</v>
      </c>
      <c r="G53" s="19"/>
      <c r="H53" s="19"/>
      <c r="I53" s="26" t="s">
        <v>719</v>
      </c>
      <c r="J53" s="19"/>
      <c r="K53" s="18" t="s">
        <v>692</v>
      </c>
      <c r="L53" s="26" t="s">
        <v>720</v>
      </c>
      <c r="M53" s="26" t="s">
        <v>696</v>
      </c>
      <c r="N53" s="21" t="s">
        <v>9</v>
      </c>
      <c r="O53" s="20" t="s">
        <v>4</v>
      </c>
      <c r="P53" s="20" t="s">
        <v>380</v>
      </c>
      <c r="Q53" s="19"/>
      <c r="R53" s="19"/>
      <c r="S53" s="20" t="s">
        <v>4</v>
      </c>
      <c r="T53" s="26" t="s">
        <v>660</v>
      </c>
      <c r="U53" s="20" t="s">
        <v>380</v>
      </c>
      <c r="V53" s="19"/>
      <c r="W53" s="26" t="s">
        <v>616</v>
      </c>
      <c r="X53" s="20" t="s">
        <v>4</v>
      </c>
      <c r="Y53" s="20" t="s">
        <v>4</v>
      </c>
      <c r="Z53" s="20" t="s">
        <v>4</v>
      </c>
      <c r="AA53" s="26" t="s">
        <v>391</v>
      </c>
      <c r="AB53" s="19"/>
      <c r="AC53" s="24"/>
      <c r="AD53" s="24"/>
    </row>
    <row r="54">
      <c r="A54" s="25"/>
      <c r="B54" s="17" t="s">
        <v>721</v>
      </c>
      <c r="C54" s="17">
        <v>9.560602801E9</v>
      </c>
      <c r="D54" s="19"/>
      <c r="E54" s="22"/>
      <c r="F54" s="19"/>
      <c r="G54" s="19"/>
      <c r="H54" s="19"/>
      <c r="I54" s="19"/>
      <c r="J54" s="19"/>
      <c r="K54" s="18" t="s">
        <v>692</v>
      </c>
      <c r="L54" s="19"/>
      <c r="M54" s="19"/>
      <c r="N54" s="21" t="s">
        <v>23</v>
      </c>
      <c r="O54" s="22"/>
      <c r="P54" s="22"/>
      <c r="Q54" s="19"/>
      <c r="R54" s="19"/>
      <c r="S54" s="22"/>
      <c r="T54" s="19"/>
      <c r="U54" s="22"/>
      <c r="V54" s="19"/>
      <c r="W54" s="19"/>
      <c r="X54" s="22"/>
      <c r="Y54" s="22"/>
      <c r="Z54" s="22"/>
      <c r="AA54" s="19"/>
      <c r="AB54" s="19"/>
      <c r="AC54" s="24"/>
      <c r="AD54" s="24"/>
    </row>
    <row r="55">
      <c r="A55" s="25"/>
      <c r="B55" s="17" t="s">
        <v>412</v>
      </c>
      <c r="C55" s="17">
        <v>6.201273446E9</v>
      </c>
      <c r="D55" s="19"/>
      <c r="E55" s="22"/>
      <c r="F55" s="19"/>
      <c r="G55" s="19"/>
      <c r="H55" s="19"/>
      <c r="I55" s="19"/>
      <c r="J55" s="19"/>
      <c r="K55" s="18" t="s">
        <v>692</v>
      </c>
      <c r="L55" s="19"/>
      <c r="M55" s="19"/>
      <c r="N55" s="21" t="s">
        <v>23</v>
      </c>
      <c r="O55" s="22"/>
      <c r="P55" s="22"/>
      <c r="Q55" s="19"/>
      <c r="R55" s="19"/>
      <c r="S55" s="22"/>
      <c r="T55" s="19"/>
      <c r="U55" s="22"/>
      <c r="V55" s="19"/>
      <c r="W55" s="19"/>
      <c r="X55" s="22"/>
      <c r="Y55" s="22"/>
      <c r="Z55" s="22"/>
      <c r="AA55" s="19"/>
      <c r="AB55" s="26" t="s">
        <v>722</v>
      </c>
      <c r="AC55" s="24"/>
      <c r="AD55" s="24"/>
    </row>
    <row r="56">
      <c r="A56" s="25"/>
      <c r="B56" s="17" t="s">
        <v>723</v>
      </c>
      <c r="C56" s="17">
        <v>9.5252973E9</v>
      </c>
      <c r="D56" s="26">
        <v>68.0</v>
      </c>
      <c r="E56" s="20" t="s">
        <v>367</v>
      </c>
      <c r="F56" s="26" t="s">
        <v>557</v>
      </c>
      <c r="G56" s="19"/>
      <c r="H56" s="19"/>
      <c r="I56" s="26" t="s">
        <v>724</v>
      </c>
      <c r="J56" s="19"/>
      <c r="K56" s="18" t="s">
        <v>692</v>
      </c>
      <c r="L56" s="26" t="s">
        <v>685</v>
      </c>
      <c r="M56" s="26" t="s">
        <v>725</v>
      </c>
      <c r="N56" s="21" t="s">
        <v>9</v>
      </c>
      <c r="O56" s="20" t="s">
        <v>4</v>
      </c>
      <c r="P56" s="20" t="s">
        <v>4</v>
      </c>
      <c r="Q56" s="26" t="s">
        <v>388</v>
      </c>
      <c r="R56" s="19"/>
      <c r="S56" s="20" t="s">
        <v>4</v>
      </c>
      <c r="T56" s="26" t="s">
        <v>726</v>
      </c>
      <c r="U56" s="20" t="s">
        <v>4</v>
      </c>
      <c r="V56" s="26" t="s">
        <v>727</v>
      </c>
      <c r="W56" s="26" t="s">
        <v>616</v>
      </c>
      <c r="X56" s="20" t="s">
        <v>4</v>
      </c>
      <c r="Y56" s="20" t="s">
        <v>4</v>
      </c>
      <c r="Z56" s="20" t="s">
        <v>4</v>
      </c>
      <c r="AA56" s="26" t="s">
        <v>391</v>
      </c>
      <c r="AB56" s="19"/>
      <c r="AC56" s="24"/>
      <c r="AD56" s="24"/>
    </row>
    <row r="57">
      <c r="A57" s="25"/>
      <c r="B57" s="17" t="s">
        <v>728</v>
      </c>
      <c r="C57" s="17" t="s">
        <v>729</v>
      </c>
      <c r="D57" s="26">
        <v>50.0</v>
      </c>
      <c r="E57" s="20" t="s">
        <v>367</v>
      </c>
      <c r="F57" s="26" t="s">
        <v>374</v>
      </c>
      <c r="G57" s="26" t="s">
        <v>551</v>
      </c>
      <c r="H57" s="19"/>
      <c r="I57" s="26" t="s">
        <v>551</v>
      </c>
      <c r="J57" s="26" t="s">
        <v>691</v>
      </c>
      <c r="K57" s="18" t="s">
        <v>692</v>
      </c>
      <c r="L57" s="26" t="s">
        <v>709</v>
      </c>
      <c r="M57" s="26" t="s">
        <v>730</v>
      </c>
      <c r="N57" s="21" t="s">
        <v>9</v>
      </c>
      <c r="O57" s="20" t="s">
        <v>380</v>
      </c>
      <c r="P57" s="20" t="s">
        <v>380</v>
      </c>
      <c r="Q57" s="19"/>
      <c r="R57" s="19"/>
      <c r="S57" s="20" t="s">
        <v>380</v>
      </c>
      <c r="T57" s="19"/>
      <c r="U57" s="20" t="s">
        <v>380</v>
      </c>
      <c r="V57" s="19"/>
      <c r="W57" s="26" t="s">
        <v>612</v>
      </c>
      <c r="X57" s="20" t="s">
        <v>4</v>
      </c>
      <c r="Y57" s="20" t="s">
        <v>4</v>
      </c>
      <c r="Z57" s="20" t="s">
        <v>4</v>
      </c>
      <c r="AA57" s="26" t="s">
        <v>391</v>
      </c>
      <c r="AB57" s="19"/>
      <c r="AC57" s="24"/>
      <c r="AD57" s="24"/>
    </row>
    <row r="58">
      <c r="A58" s="25"/>
      <c r="B58" s="17" t="s">
        <v>731</v>
      </c>
      <c r="C58" s="17">
        <v>6.205397411E9</v>
      </c>
      <c r="D58" s="26">
        <v>18.0</v>
      </c>
      <c r="E58" s="20" t="s">
        <v>367</v>
      </c>
      <c r="F58" s="26" t="s">
        <v>370</v>
      </c>
      <c r="G58" s="19"/>
      <c r="H58" s="19"/>
      <c r="I58" s="26" t="s">
        <v>384</v>
      </c>
      <c r="J58" s="19"/>
      <c r="K58" s="18" t="s">
        <v>692</v>
      </c>
      <c r="L58" s="19"/>
      <c r="M58" s="26" t="s">
        <v>732</v>
      </c>
      <c r="N58" s="21" t="s">
        <v>9</v>
      </c>
      <c r="O58" s="20" t="s">
        <v>4</v>
      </c>
      <c r="P58" s="20" t="s">
        <v>380</v>
      </c>
      <c r="Q58" s="19"/>
      <c r="R58" s="19"/>
      <c r="S58" s="20" t="s">
        <v>380</v>
      </c>
      <c r="T58" s="19"/>
      <c r="U58" s="20" t="s">
        <v>380</v>
      </c>
      <c r="V58" s="19"/>
      <c r="W58" s="26" t="s">
        <v>612</v>
      </c>
      <c r="X58" s="20" t="s">
        <v>4</v>
      </c>
      <c r="Y58" s="20" t="s">
        <v>4</v>
      </c>
      <c r="Z58" s="20" t="s">
        <v>4</v>
      </c>
      <c r="AA58" s="26" t="s">
        <v>391</v>
      </c>
      <c r="AB58" s="19"/>
      <c r="AC58" s="24"/>
      <c r="AD58" s="24"/>
    </row>
    <row r="59">
      <c r="A59" s="25"/>
      <c r="B59" s="17" t="s">
        <v>733</v>
      </c>
      <c r="C59" s="17">
        <v>8.210032428E9</v>
      </c>
      <c r="D59" s="26">
        <v>28.0</v>
      </c>
      <c r="E59" s="20" t="s">
        <v>367</v>
      </c>
      <c r="F59" s="26" t="s">
        <v>600</v>
      </c>
      <c r="G59" s="19"/>
      <c r="H59" s="19"/>
      <c r="I59" s="26" t="s">
        <v>384</v>
      </c>
      <c r="J59" s="19"/>
      <c r="K59" s="18" t="s">
        <v>692</v>
      </c>
      <c r="L59" s="26" t="s">
        <v>685</v>
      </c>
      <c r="M59" s="26" t="s">
        <v>732</v>
      </c>
      <c r="N59" s="21" t="s">
        <v>9</v>
      </c>
      <c r="O59" s="20" t="s">
        <v>4</v>
      </c>
      <c r="P59" s="20" t="s">
        <v>380</v>
      </c>
      <c r="Q59" s="19"/>
      <c r="R59" s="19"/>
      <c r="S59" s="20" t="s">
        <v>4</v>
      </c>
      <c r="T59" s="26" t="s">
        <v>660</v>
      </c>
      <c r="U59" s="20" t="s">
        <v>380</v>
      </c>
      <c r="V59" s="19"/>
      <c r="W59" s="26" t="s">
        <v>616</v>
      </c>
      <c r="X59" s="20" t="s">
        <v>4</v>
      </c>
      <c r="Y59" s="20" t="s">
        <v>4</v>
      </c>
      <c r="Z59" s="20" t="s">
        <v>4</v>
      </c>
      <c r="AA59" s="26" t="s">
        <v>391</v>
      </c>
      <c r="AB59" s="19"/>
      <c r="AC59" s="24"/>
      <c r="AD59" s="24"/>
    </row>
    <row r="60">
      <c r="A60" s="25"/>
      <c r="B60" s="17" t="s">
        <v>734</v>
      </c>
      <c r="C60" s="17">
        <v>9.128145915E9</v>
      </c>
      <c r="D60" s="26">
        <v>28.0</v>
      </c>
      <c r="E60" s="20" t="s">
        <v>367</v>
      </c>
      <c r="F60" s="26" t="s">
        <v>441</v>
      </c>
      <c r="G60" s="26" t="s">
        <v>375</v>
      </c>
      <c r="H60" s="19"/>
      <c r="I60" s="26" t="s">
        <v>384</v>
      </c>
      <c r="J60" s="26" t="s">
        <v>691</v>
      </c>
      <c r="K60" s="18" t="s">
        <v>692</v>
      </c>
      <c r="L60" s="26" t="s">
        <v>709</v>
      </c>
      <c r="M60" s="26" t="s">
        <v>735</v>
      </c>
      <c r="N60" s="21" t="s">
        <v>9</v>
      </c>
      <c r="O60" s="20" t="s">
        <v>4</v>
      </c>
      <c r="P60" s="20" t="s">
        <v>380</v>
      </c>
      <c r="Q60" s="19"/>
      <c r="R60" s="19"/>
      <c r="S60" s="20" t="s">
        <v>380</v>
      </c>
      <c r="T60" s="19"/>
      <c r="U60" s="20" t="s">
        <v>380</v>
      </c>
      <c r="V60" s="19"/>
      <c r="W60" s="26" t="s">
        <v>616</v>
      </c>
      <c r="X60" s="20" t="s">
        <v>4</v>
      </c>
      <c r="Y60" s="20" t="s">
        <v>4</v>
      </c>
      <c r="Z60" s="20" t="s">
        <v>4</v>
      </c>
      <c r="AA60" s="26" t="s">
        <v>391</v>
      </c>
      <c r="AB60" s="19"/>
      <c r="AC60" s="24"/>
      <c r="AD60" s="24"/>
    </row>
    <row r="61">
      <c r="A61" s="25"/>
      <c r="B61" s="17" t="s">
        <v>736</v>
      </c>
      <c r="C61" s="17">
        <v>7.519342464E9</v>
      </c>
      <c r="D61" s="26">
        <v>24.0</v>
      </c>
      <c r="E61" s="20" t="s">
        <v>367</v>
      </c>
      <c r="F61" s="26" t="s">
        <v>429</v>
      </c>
      <c r="G61" s="26" t="s">
        <v>371</v>
      </c>
      <c r="H61" s="19"/>
      <c r="I61" s="26" t="s">
        <v>737</v>
      </c>
      <c r="J61" s="26" t="s">
        <v>691</v>
      </c>
      <c r="K61" s="18" t="s">
        <v>692</v>
      </c>
      <c r="L61" s="26" t="s">
        <v>709</v>
      </c>
      <c r="M61" s="26" t="s">
        <v>738</v>
      </c>
      <c r="N61" s="21" t="s">
        <v>9</v>
      </c>
      <c r="O61" s="20" t="s">
        <v>380</v>
      </c>
      <c r="P61" s="20" t="s">
        <v>380</v>
      </c>
      <c r="Q61" s="19"/>
      <c r="R61" s="19"/>
      <c r="S61" s="20" t="s">
        <v>380</v>
      </c>
      <c r="T61" s="19"/>
      <c r="U61" s="20" t="s">
        <v>380</v>
      </c>
      <c r="V61" s="19"/>
      <c r="W61" s="26" t="s">
        <v>616</v>
      </c>
      <c r="X61" s="20" t="s">
        <v>4</v>
      </c>
      <c r="Y61" s="20" t="s">
        <v>4</v>
      </c>
      <c r="Z61" s="20" t="s">
        <v>4</v>
      </c>
      <c r="AA61" s="26" t="s">
        <v>391</v>
      </c>
      <c r="AB61" s="19"/>
      <c r="AC61" s="24"/>
      <c r="AD61" s="24"/>
    </row>
    <row r="62">
      <c r="A62" s="25"/>
      <c r="B62" s="17" t="s">
        <v>739</v>
      </c>
      <c r="C62" s="17">
        <v>9.708665685E9</v>
      </c>
      <c r="D62" s="26">
        <v>27.0</v>
      </c>
      <c r="E62" s="20" t="s">
        <v>367</v>
      </c>
      <c r="F62" s="26" t="s">
        <v>429</v>
      </c>
      <c r="G62" s="19"/>
      <c r="H62" s="19"/>
      <c r="I62" s="26" t="s">
        <v>384</v>
      </c>
      <c r="J62" s="19"/>
      <c r="K62" s="18" t="s">
        <v>692</v>
      </c>
      <c r="L62" s="26" t="s">
        <v>685</v>
      </c>
      <c r="M62" s="26" t="s">
        <v>740</v>
      </c>
      <c r="N62" s="21" t="s">
        <v>9</v>
      </c>
      <c r="O62" s="20" t="s">
        <v>4</v>
      </c>
      <c r="P62" s="20" t="s">
        <v>380</v>
      </c>
      <c r="Q62" s="19"/>
      <c r="R62" s="19"/>
      <c r="S62" s="20" t="s">
        <v>380</v>
      </c>
      <c r="T62" s="19"/>
      <c r="U62" s="20" t="s">
        <v>4</v>
      </c>
      <c r="V62" s="26" t="s">
        <v>618</v>
      </c>
      <c r="W62" s="26" t="s">
        <v>612</v>
      </c>
      <c r="X62" s="20" t="s">
        <v>4</v>
      </c>
      <c r="Y62" s="20" t="s">
        <v>4</v>
      </c>
      <c r="Z62" s="20" t="s">
        <v>4</v>
      </c>
      <c r="AA62" s="26" t="s">
        <v>391</v>
      </c>
      <c r="AB62" s="19"/>
      <c r="AC62" s="24"/>
      <c r="AD62" s="24"/>
    </row>
    <row r="63" ht="21.75" customHeight="1">
      <c r="A63" s="31"/>
      <c r="B63" s="17" t="s">
        <v>741</v>
      </c>
      <c r="C63" s="17">
        <v>9.798072478E9</v>
      </c>
      <c r="D63" s="26">
        <v>26.0</v>
      </c>
      <c r="E63" s="20" t="s">
        <v>367</v>
      </c>
      <c r="F63" s="26" t="s">
        <v>600</v>
      </c>
      <c r="G63" s="19"/>
      <c r="H63" s="19"/>
      <c r="I63" s="26" t="s">
        <v>384</v>
      </c>
      <c r="J63" s="19"/>
      <c r="K63" s="18" t="s">
        <v>692</v>
      </c>
      <c r="L63" s="26" t="s">
        <v>685</v>
      </c>
      <c r="M63" s="26" t="s">
        <v>742</v>
      </c>
      <c r="N63" s="21" t="s">
        <v>9</v>
      </c>
      <c r="O63" s="20" t="s">
        <v>4</v>
      </c>
      <c r="P63" s="20" t="s">
        <v>380</v>
      </c>
      <c r="Q63" s="19"/>
      <c r="R63" s="19"/>
      <c r="S63" s="20" t="s">
        <v>380</v>
      </c>
      <c r="T63" s="19"/>
      <c r="U63" s="20" t="s">
        <v>4</v>
      </c>
      <c r="V63" s="26" t="s">
        <v>633</v>
      </c>
      <c r="W63" s="26" t="s">
        <v>616</v>
      </c>
      <c r="X63" s="20" t="s">
        <v>4</v>
      </c>
      <c r="Y63" s="20" t="s">
        <v>4</v>
      </c>
      <c r="Z63" s="20" t="s">
        <v>4</v>
      </c>
      <c r="AA63" s="26" t="s">
        <v>391</v>
      </c>
      <c r="AB63" s="19"/>
      <c r="AC63" s="24"/>
      <c r="AD63" s="24"/>
    </row>
    <row r="65">
      <c r="B65" s="105" t="s">
        <v>1822</v>
      </c>
      <c r="C65" s="105" t="s">
        <v>1823</v>
      </c>
      <c r="D65" s="105" t="s">
        <v>1824</v>
      </c>
      <c r="E65" s="105" t="s">
        <v>1825</v>
      </c>
      <c r="F65" s="105" t="s">
        <v>391</v>
      </c>
      <c r="G65" s="105" t="s">
        <v>1826</v>
      </c>
      <c r="H65" s="105" t="s">
        <v>23</v>
      </c>
      <c r="I65" s="105" t="s">
        <v>13</v>
      </c>
      <c r="J65" s="105" t="s">
        <v>1827</v>
      </c>
      <c r="K65" s="105" t="s">
        <v>1828</v>
      </c>
      <c r="L65" s="105" t="s">
        <v>54</v>
      </c>
      <c r="M65" s="105" t="s">
        <v>3</v>
      </c>
    </row>
    <row r="66">
      <c r="B66" s="18" t="s">
        <v>692</v>
      </c>
      <c r="C66" s="18" t="s">
        <v>1834</v>
      </c>
      <c r="D66" s="28">
        <f>COUNTIFS('SLP Field Data'!K:K,B66,'SLP Field Data'!K:K,"&lt;&gt;")</f>
        <v>27</v>
      </c>
      <c r="E66" s="17">
        <f>COUNTIFS('SLP Field Data'!K:K,B66,'SLP Field Data'!N:N,"Connected")</f>
        <v>21</v>
      </c>
      <c r="F66" s="17">
        <f>COUNTIFS('SLP Field Data'!K:K,B66,'SLP Field Data'!AA:AA,"Verified")</f>
        <v>20</v>
      </c>
      <c r="G66" s="17">
        <f>COUNTIFS('SLP Field Data'!K:K,B66,'SLP Field Data'!AA:AA,"Not Verified")</f>
        <v>1</v>
      </c>
      <c r="H66" s="17">
        <f>COUNTIFS('SLP Field Data'!K:K,B66,'SLP Field Data'!N:N,"Not Received")</f>
        <v>3</v>
      </c>
      <c r="I66" s="28">
        <f>COUNTIFS('SLP Field Data'!K:K,B66,'SLP Field Data'!N:N,"Busy")</f>
        <v>1</v>
      </c>
      <c r="J66" s="17">
        <f>COUNTIFS('SLP Field Data'!K:K,B66,'SLP Field Data'!N:N,"Switch off")</f>
        <v>2</v>
      </c>
      <c r="K66" s="17">
        <f>COUNTIFS('SLP Field Data'!K:K,B66,'SLP Field Data'!N:N,"Wrong No.")</f>
        <v>0</v>
      </c>
      <c r="L66" s="28">
        <f>COUNTIFS('SLP Field Data'!K:K,B66,'SLP Field Data'!N:N,"Call Back Later")</f>
        <v>0</v>
      </c>
      <c r="M66" s="18"/>
      <c r="N66" s="95"/>
    </row>
  </sheetData>
  <mergeCells count="2">
    <mergeCell ref="A1:C5"/>
    <mergeCell ref="A37:A63"/>
  </mergeCells>
  <dataValidations>
    <dataValidation type="list" allowBlank="1" showErrorMessage="1" sqref="O37:P63 S37:S63 U37:U63 X37:Z63">
      <formula1>"Yes,NO"</formula1>
    </dataValidation>
    <dataValidation type="list" allowBlank="1" showErrorMessage="1" sqref="W37:W63">
      <formula1>"Bahut,Kuch Had Tak,Nahi"</formula1>
    </dataValidation>
    <dataValidation type="list" allowBlank="1" showErrorMessage="1" sqref="E37:E63">
      <formula1>"Male,Female"</formula1>
    </dataValidation>
    <dataValidation type="list" allowBlank="1" showErrorMessage="1" sqref="N37:N63">
      <formula1>"Connected,Call Back Later,Busy,Switch off,Not Received,Wrong No."</formula1>
    </dataValidation>
    <dataValidation type="list" allowBlank="1" showErrorMessage="1" sqref="AA37:AA63">
      <formula1>"Verified,Not Verified"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1" width="14.38"/>
  </cols>
  <sheetData>
    <row r="1">
      <c r="A1" s="68" t="s">
        <v>1857</v>
      </c>
      <c r="D1" s="3"/>
      <c r="E1" s="3"/>
      <c r="F1" s="3"/>
    </row>
    <row r="2">
      <c r="D2" s="3"/>
      <c r="E2" s="3"/>
      <c r="F2" s="3"/>
    </row>
    <row r="3">
      <c r="D3" s="3"/>
      <c r="E3" s="3"/>
      <c r="F3" s="3"/>
    </row>
    <row r="4" ht="18.0" customHeight="1">
      <c r="D4" s="3"/>
      <c r="E4" s="3"/>
      <c r="F4" s="3"/>
    </row>
    <row r="5" ht="57.0" customHeight="1">
      <c r="D5" s="3"/>
      <c r="E5" s="3"/>
      <c r="F5" s="3"/>
    </row>
    <row r="6">
      <c r="A6" s="72" t="s">
        <v>5</v>
      </c>
      <c r="B6" s="72" t="s">
        <v>6</v>
      </c>
      <c r="C6" s="72" t="s">
        <v>7</v>
      </c>
      <c r="D6" s="73" t="s">
        <v>1858</v>
      </c>
      <c r="E6" s="74" t="s">
        <v>2</v>
      </c>
      <c r="F6" s="91" t="s">
        <v>3</v>
      </c>
      <c r="G6" s="92"/>
      <c r="H6" s="92"/>
    </row>
    <row r="7">
      <c r="A7" s="54">
        <v>1.0</v>
      </c>
      <c r="B7" s="53" t="s">
        <v>1055</v>
      </c>
      <c r="C7" s="53">
        <v>7.250067597E9</v>
      </c>
      <c r="D7" s="79" t="s">
        <v>9</v>
      </c>
      <c r="E7" s="80" t="s">
        <v>1623</v>
      </c>
    </row>
    <row r="8">
      <c r="A8" s="54">
        <v>2.0</v>
      </c>
      <c r="B8" s="53" t="s">
        <v>1062</v>
      </c>
      <c r="C8" s="53">
        <v>7.782031609E9</v>
      </c>
      <c r="D8" s="79" t="s">
        <v>9</v>
      </c>
      <c r="E8" s="80" t="s">
        <v>1623</v>
      </c>
    </row>
    <row r="9">
      <c r="A9" s="54">
        <v>3.0</v>
      </c>
      <c r="B9" s="53" t="s">
        <v>1064</v>
      </c>
      <c r="C9" s="53">
        <v>7.631687849E9</v>
      </c>
      <c r="D9" s="79" t="s">
        <v>9</v>
      </c>
      <c r="E9" s="80" t="s">
        <v>1623</v>
      </c>
    </row>
    <row r="10">
      <c r="A10" s="54">
        <v>4.0</v>
      </c>
      <c r="B10" s="53" t="s">
        <v>1065</v>
      </c>
      <c r="C10" s="53">
        <v>9.1220362E9</v>
      </c>
      <c r="D10" s="79" t="s">
        <v>9</v>
      </c>
      <c r="E10" s="80" t="s">
        <v>1623</v>
      </c>
    </row>
    <row r="11">
      <c r="A11" s="54">
        <v>5.0</v>
      </c>
      <c r="B11" s="53" t="s">
        <v>1069</v>
      </c>
      <c r="C11" s="53">
        <v>8.877843337E9</v>
      </c>
      <c r="D11" s="79" t="s">
        <v>9</v>
      </c>
      <c r="E11" s="80" t="s">
        <v>1623</v>
      </c>
    </row>
    <row r="12">
      <c r="A12" s="54">
        <v>6.0</v>
      </c>
      <c r="B12" s="53" t="s">
        <v>1070</v>
      </c>
      <c r="C12" s="53">
        <v>9.523837176E9</v>
      </c>
      <c r="D12" s="79" t="s">
        <v>9</v>
      </c>
      <c r="E12" s="80" t="s">
        <v>1623</v>
      </c>
    </row>
    <row r="13">
      <c r="A13" s="54">
        <v>7.0</v>
      </c>
      <c r="B13" s="53" t="s">
        <v>1071</v>
      </c>
      <c r="C13" s="53">
        <v>9.162375949E9</v>
      </c>
      <c r="D13" s="79" t="s">
        <v>13</v>
      </c>
      <c r="E13" s="80"/>
    </row>
    <row r="14">
      <c r="A14" s="54">
        <v>8.0</v>
      </c>
      <c r="B14" s="53" t="s">
        <v>1073</v>
      </c>
      <c r="C14" s="39">
        <v>7.258810506E9</v>
      </c>
      <c r="D14" s="79" t="s">
        <v>9</v>
      </c>
      <c r="E14" s="80" t="s">
        <v>1623</v>
      </c>
    </row>
    <row r="15">
      <c r="A15" s="54">
        <v>9.0</v>
      </c>
      <c r="B15" s="53" t="s">
        <v>1075</v>
      </c>
      <c r="C15" s="53">
        <v>8.969428464E9</v>
      </c>
      <c r="D15" s="79" t="s">
        <v>9</v>
      </c>
      <c r="E15" s="80" t="s">
        <v>1623</v>
      </c>
    </row>
    <row r="16">
      <c r="A16" s="54">
        <v>10.0</v>
      </c>
      <c r="B16" s="53" t="s">
        <v>1076</v>
      </c>
      <c r="C16" s="53">
        <v>9.97308057E9</v>
      </c>
      <c r="D16" s="79" t="s">
        <v>9</v>
      </c>
      <c r="E16" s="80" t="s">
        <v>1623</v>
      </c>
    </row>
    <row r="17">
      <c r="A17" s="54">
        <v>11.0</v>
      </c>
      <c r="B17" s="53" t="s">
        <v>1080</v>
      </c>
      <c r="C17" s="53">
        <v>7.8701618E9</v>
      </c>
      <c r="D17" s="79" t="s">
        <v>9</v>
      </c>
      <c r="E17" s="80" t="s">
        <v>1623</v>
      </c>
    </row>
    <row r="18">
      <c r="A18" s="54">
        <v>12.0</v>
      </c>
      <c r="B18" s="53" t="s">
        <v>1082</v>
      </c>
      <c r="C18" s="53">
        <v>6.201361489E9</v>
      </c>
      <c r="D18" s="79" t="s">
        <v>9</v>
      </c>
      <c r="E18" s="80" t="s">
        <v>1623</v>
      </c>
    </row>
    <row r="19">
      <c r="A19" s="54">
        <v>13.0</v>
      </c>
      <c r="B19" s="53" t="s">
        <v>1086</v>
      </c>
      <c r="C19" s="53">
        <v>9.162880879E9</v>
      </c>
      <c r="D19" s="79" t="s">
        <v>9</v>
      </c>
      <c r="E19" s="80" t="s">
        <v>1623</v>
      </c>
    </row>
    <row r="20">
      <c r="A20" s="54">
        <v>14.0</v>
      </c>
      <c r="B20" s="53" t="s">
        <v>1091</v>
      </c>
      <c r="C20" s="53">
        <v>9.693680804E9</v>
      </c>
      <c r="D20" s="79" t="s">
        <v>13</v>
      </c>
      <c r="E20" s="80"/>
    </row>
    <row r="21">
      <c r="A21" s="54">
        <v>15.0</v>
      </c>
      <c r="B21" s="53" t="s">
        <v>1093</v>
      </c>
      <c r="C21" s="53">
        <v>7.542002246E9</v>
      </c>
      <c r="D21" s="79" t="s">
        <v>13</v>
      </c>
      <c r="E21" s="80"/>
    </row>
    <row r="22">
      <c r="A22" s="54">
        <v>16.0</v>
      </c>
      <c r="B22" s="53" t="s">
        <v>1094</v>
      </c>
      <c r="C22" s="53">
        <v>9.771139826E9</v>
      </c>
      <c r="D22" s="79" t="s">
        <v>13</v>
      </c>
      <c r="E22" s="80"/>
    </row>
    <row r="23">
      <c r="A23" s="54">
        <v>17.0</v>
      </c>
      <c r="B23" s="53" t="s">
        <v>1095</v>
      </c>
      <c r="C23" s="53">
        <v>8.340645622E9</v>
      </c>
      <c r="D23" s="79" t="s">
        <v>9</v>
      </c>
      <c r="E23" s="80" t="s">
        <v>1623</v>
      </c>
    </row>
    <row r="24">
      <c r="A24" s="54">
        <v>18.0</v>
      </c>
      <c r="B24" s="53" t="s">
        <v>1097</v>
      </c>
      <c r="C24" s="53">
        <v>9.123447073E9</v>
      </c>
      <c r="D24" s="79" t="s">
        <v>9</v>
      </c>
      <c r="E24" s="80" t="s">
        <v>1623</v>
      </c>
    </row>
    <row r="25">
      <c r="A25" s="54">
        <v>19.0</v>
      </c>
      <c r="B25" s="53" t="s">
        <v>1098</v>
      </c>
      <c r="C25" s="53">
        <v>7.488901148E9</v>
      </c>
      <c r="D25" s="79" t="s">
        <v>9</v>
      </c>
      <c r="E25" s="80" t="s">
        <v>1623</v>
      </c>
    </row>
    <row r="26">
      <c r="A26" s="54">
        <v>20.0</v>
      </c>
      <c r="B26" s="53" t="s">
        <v>1100</v>
      </c>
      <c r="C26" s="53">
        <v>9.934813501E9</v>
      </c>
      <c r="D26" s="79" t="s">
        <v>23</v>
      </c>
      <c r="E26" s="80"/>
    </row>
    <row r="27">
      <c r="A27" s="54">
        <v>21.0</v>
      </c>
      <c r="B27" s="53" t="s">
        <v>1102</v>
      </c>
      <c r="C27" s="53">
        <v>7.667144607E9</v>
      </c>
      <c r="D27" s="79" t="s">
        <v>23</v>
      </c>
      <c r="E27" s="80"/>
    </row>
    <row r="28">
      <c r="A28" s="54">
        <v>22.0</v>
      </c>
      <c r="B28" s="53" t="s">
        <v>1105</v>
      </c>
      <c r="C28" s="53">
        <v>7.739679907E9</v>
      </c>
      <c r="D28" s="79" t="s">
        <v>23</v>
      </c>
      <c r="E28" s="80"/>
    </row>
    <row r="29">
      <c r="A29" s="54">
        <v>23.0</v>
      </c>
      <c r="B29" s="53" t="s">
        <v>1107</v>
      </c>
      <c r="C29" s="53">
        <v>9.304298942E9</v>
      </c>
      <c r="D29" s="79" t="s">
        <v>9</v>
      </c>
      <c r="E29" s="80" t="s">
        <v>1624</v>
      </c>
      <c r="F29" s="39" t="s">
        <v>1859</v>
      </c>
    </row>
    <row r="30">
      <c r="A30" s="54">
        <v>24.0</v>
      </c>
      <c r="B30" s="53" t="s">
        <v>1110</v>
      </c>
      <c r="C30" s="53">
        <v>9.905470638E9</v>
      </c>
      <c r="D30" s="79" t="s">
        <v>9</v>
      </c>
      <c r="E30" s="80" t="s">
        <v>1623</v>
      </c>
    </row>
    <row r="31">
      <c r="A31" s="54">
        <v>25.0</v>
      </c>
      <c r="B31" s="53" t="s">
        <v>453</v>
      </c>
      <c r="C31" s="53">
        <v>7.762822074E9</v>
      </c>
      <c r="D31" s="79" t="s">
        <v>13</v>
      </c>
      <c r="E31" s="80"/>
    </row>
    <row r="32">
      <c r="A32" s="54">
        <v>26.0</v>
      </c>
      <c r="B32" s="53" t="s">
        <v>98</v>
      </c>
      <c r="C32" s="53">
        <v>6.204145586E9</v>
      </c>
      <c r="D32" s="79" t="s">
        <v>9</v>
      </c>
      <c r="E32" s="80" t="s">
        <v>1624</v>
      </c>
    </row>
    <row r="33">
      <c r="A33" s="54">
        <v>27.0</v>
      </c>
      <c r="B33" s="53" t="s">
        <v>1119</v>
      </c>
      <c r="C33" s="53">
        <v>8.294364226E9</v>
      </c>
      <c r="D33" s="79" t="s">
        <v>9</v>
      </c>
      <c r="E33" s="80" t="s">
        <v>1623</v>
      </c>
    </row>
    <row r="34">
      <c r="A34" s="54">
        <v>28.0</v>
      </c>
      <c r="B34" s="53" t="s">
        <v>1123</v>
      </c>
      <c r="C34" s="53">
        <v>7.050666705E9</v>
      </c>
      <c r="D34" s="79" t="s">
        <v>9</v>
      </c>
      <c r="E34" s="80" t="s">
        <v>1623</v>
      </c>
    </row>
    <row r="35">
      <c r="A35" s="54">
        <v>29.0</v>
      </c>
      <c r="B35" s="53" t="s">
        <v>1129</v>
      </c>
      <c r="C35" s="53">
        <v>6.206658148E9</v>
      </c>
      <c r="D35" s="79" t="s">
        <v>9</v>
      </c>
      <c r="E35" s="80" t="s">
        <v>1623</v>
      </c>
    </row>
    <row r="36">
      <c r="A36" s="54">
        <v>30.0</v>
      </c>
      <c r="B36" s="53" t="s">
        <v>1133</v>
      </c>
      <c r="C36" s="53">
        <v>9.771145018E9</v>
      </c>
      <c r="D36" s="79" t="s">
        <v>9</v>
      </c>
      <c r="E36" s="80" t="s">
        <v>1623</v>
      </c>
    </row>
    <row r="37">
      <c r="A37" s="54">
        <v>31.0</v>
      </c>
      <c r="B37" s="53" t="s">
        <v>1134</v>
      </c>
      <c r="C37" s="53">
        <v>9.162937438E9</v>
      </c>
      <c r="D37" s="79" t="s">
        <v>13</v>
      </c>
      <c r="E37" s="80"/>
    </row>
    <row r="38">
      <c r="A38" s="54">
        <v>32.0</v>
      </c>
      <c r="B38" s="53" t="s">
        <v>89</v>
      </c>
      <c r="C38" s="53">
        <v>9.110956925E9</v>
      </c>
      <c r="D38" s="79" t="s">
        <v>9</v>
      </c>
      <c r="E38" s="80" t="s">
        <v>1623</v>
      </c>
    </row>
    <row r="39">
      <c r="A39" s="54">
        <v>33.0</v>
      </c>
      <c r="B39" s="53" t="s">
        <v>1139</v>
      </c>
      <c r="C39" s="53">
        <v>7.654886047E9</v>
      </c>
      <c r="D39" s="79" t="s">
        <v>9</v>
      </c>
      <c r="E39" s="80" t="s">
        <v>1623</v>
      </c>
    </row>
    <row r="40">
      <c r="A40" s="54">
        <v>34.0</v>
      </c>
      <c r="B40" s="53" t="s">
        <v>1150</v>
      </c>
      <c r="C40" s="53">
        <v>8.676019903E9</v>
      </c>
      <c r="D40" s="79" t="s">
        <v>9</v>
      </c>
      <c r="E40" s="80" t="s">
        <v>1623</v>
      </c>
    </row>
    <row r="41">
      <c r="A41" s="54">
        <v>35.0</v>
      </c>
      <c r="B41" s="53" t="s">
        <v>1151</v>
      </c>
      <c r="C41" s="53">
        <v>9.031965995E9</v>
      </c>
      <c r="D41" s="79" t="s">
        <v>9</v>
      </c>
      <c r="E41" s="80" t="s">
        <v>1623</v>
      </c>
    </row>
    <row r="42">
      <c r="A42" s="54">
        <v>36.0</v>
      </c>
      <c r="B42" s="53" t="s">
        <v>1154</v>
      </c>
      <c r="C42" s="53">
        <v>7.520154067E9</v>
      </c>
      <c r="D42" s="79" t="s">
        <v>9</v>
      </c>
      <c r="E42" s="80" t="s">
        <v>1623</v>
      </c>
    </row>
    <row r="43">
      <c r="A43" s="54">
        <v>37.0</v>
      </c>
      <c r="B43" s="53" t="s">
        <v>1156</v>
      </c>
      <c r="C43" s="53">
        <v>9.065032392E9</v>
      </c>
      <c r="D43" s="79" t="s">
        <v>9</v>
      </c>
      <c r="E43" s="80" t="s">
        <v>1623</v>
      </c>
    </row>
    <row r="45">
      <c r="B45" s="53" t="s">
        <v>1077</v>
      </c>
      <c r="C45" s="53">
        <v>8.8093012E9</v>
      </c>
    </row>
    <row r="46">
      <c r="B46" s="53" t="s">
        <v>1078</v>
      </c>
      <c r="C46" s="53">
        <v>7.76683456E9</v>
      </c>
    </row>
    <row r="47">
      <c r="B47" s="53" t="s">
        <v>1084</v>
      </c>
      <c r="C47" s="53">
        <v>8.521710511E9</v>
      </c>
    </row>
    <row r="48">
      <c r="B48" s="53" t="s">
        <v>1085</v>
      </c>
      <c r="C48" s="53">
        <v>9.155238041E9</v>
      </c>
    </row>
    <row r="49">
      <c r="B49" s="53" t="s">
        <v>1090</v>
      </c>
      <c r="C49" s="53">
        <v>9.13578471E9</v>
      </c>
    </row>
    <row r="50">
      <c r="B50" s="53" t="s">
        <v>1099</v>
      </c>
      <c r="C50" s="53">
        <v>8.298545911E9</v>
      </c>
    </row>
    <row r="51">
      <c r="B51" s="53" t="s">
        <v>1126</v>
      </c>
      <c r="C51" s="53">
        <v>9.065032392E9</v>
      </c>
    </row>
    <row r="52">
      <c r="B52" s="53" t="s">
        <v>1127</v>
      </c>
      <c r="C52" s="53">
        <v>9.298014227E9</v>
      </c>
    </row>
    <row r="53">
      <c r="B53" s="53" t="s">
        <v>1128</v>
      </c>
      <c r="C53" s="53">
        <v>7.372872439E9</v>
      </c>
    </row>
    <row r="54">
      <c r="B54" s="53" t="s">
        <v>1138</v>
      </c>
      <c r="C54" s="53">
        <v>6.200375751E9</v>
      </c>
    </row>
    <row r="55">
      <c r="B55" s="57" t="s">
        <v>1144</v>
      </c>
      <c r="C55" s="53">
        <v>8.521201092E9</v>
      </c>
    </row>
    <row r="56">
      <c r="B56" s="53" t="s">
        <v>1146</v>
      </c>
      <c r="C56" s="53">
        <v>8.084565771E9</v>
      </c>
    </row>
    <row r="57">
      <c r="B57" s="53" t="s">
        <v>1147</v>
      </c>
      <c r="C57" s="53">
        <v>9.555937428E9</v>
      </c>
    </row>
    <row r="58">
      <c r="B58" s="53" t="s">
        <v>1148</v>
      </c>
      <c r="C58" s="53">
        <v>9.135066161E9</v>
      </c>
    </row>
    <row r="59">
      <c r="B59" s="53" t="s">
        <v>1149</v>
      </c>
      <c r="C59" s="53">
        <v>8.298014227E9</v>
      </c>
    </row>
    <row r="60">
      <c r="B60" s="53" t="s">
        <v>1153</v>
      </c>
      <c r="C60" s="53">
        <v>7.643053695E9</v>
      </c>
    </row>
    <row r="61">
      <c r="B61" s="53" t="s">
        <v>1126</v>
      </c>
      <c r="C61" s="53">
        <v>9.065032392E9</v>
      </c>
    </row>
    <row r="62">
      <c r="B62" s="53" t="s">
        <v>1139</v>
      </c>
      <c r="C62" s="53">
        <v>7.654886047E9</v>
      </c>
    </row>
    <row r="63">
      <c r="B63" s="53" t="s">
        <v>1158</v>
      </c>
      <c r="C63" s="53">
        <v>7.670713702E9</v>
      </c>
    </row>
    <row r="64">
      <c r="B64" s="53" t="s">
        <v>1159</v>
      </c>
      <c r="C64" s="53">
        <v>8.676923016E9</v>
      </c>
    </row>
    <row r="65">
      <c r="B65" s="53" t="s">
        <v>1160</v>
      </c>
      <c r="C65" s="53">
        <v>9.608143848E9</v>
      </c>
    </row>
    <row r="68" ht="84.75" customHeight="1">
      <c r="A68" s="10" t="s">
        <v>339</v>
      </c>
      <c r="B68" s="11" t="s">
        <v>340</v>
      </c>
      <c r="C68" s="12" t="s">
        <v>341</v>
      </c>
      <c r="D68" s="11" t="s">
        <v>342</v>
      </c>
      <c r="E68" s="11" t="s">
        <v>343</v>
      </c>
      <c r="F68" s="11" t="s">
        <v>344</v>
      </c>
      <c r="G68" s="11"/>
      <c r="H68" s="11" t="s">
        <v>345</v>
      </c>
      <c r="I68" s="11" t="s">
        <v>346</v>
      </c>
      <c r="J68" s="11" t="s">
        <v>347</v>
      </c>
      <c r="K68" s="12" t="s">
        <v>348</v>
      </c>
      <c r="L68" s="12" t="s">
        <v>349</v>
      </c>
      <c r="M68" s="11" t="s">
        <v>350</v>
      </c>
      <c r="N68" s="11" t="s">
        <v>351</v>
      </c>
      <c r="O68" s="11" t="s">
        <v>1</v>
      </c>
      <c r="P68" s="11" t="s">
        <v>352</v>
      </c>
      <c r="Q68" s="11" t="s">
        <v>353</v>
      </c>
      <c r="R68" s="11" t="s">
        <v>354</v>
      </c>
      <c r="S68" s="11" t="s">
        <v>355</v>
      </c>
      <c r="T68" s="11" t="s">
        <v>356</v>
      </c>
      <c r="U68" s="11" t="s">
        <v>357</v>
      </c>
      <c r="V68" s="11" t="s">
        <v>358</v>
      </c>
      <c r="W68" s="11" t="s">
        <v>359</v>
      </c>
      <c r="X68" s="11" t="s">
        <v>360</v>
      </c>
      <c r="Y68" s="11" t="s">
        <v>361</v>
      </c>
      <c r="Z68" s="11" t="s">
        <v>362</v>
      </c>
      <c r="AA68" s="11" t="s">
        <v>363</v>
      </c>
      <c r="AB68" s="13" t="s">
        <v>364</v>
      </c>
      <c r="AC68" s="14" t="s">
        <v>3</v>
      </c>
      <c r="AD68" s="15"/>
      <c r="AE68" s="15"/>
    </row>
    <row r="69">
      <c r="A69" s="16" t="s">
        <v>1054</v>
      </c>
      <c r="B69" s="53" t="s">
        <v>1055</v>
      </c>
      <c r="C69" s="53">
        <v>7.250067597E9</v>
      </c>
      <c r="D69" s="53">
        <v>35.0</v>
      </c>
      <c r="E69" s="55" t="s">
        <v>405</v>
      </c>
      <c r="F69" s="53" t="s">
        <v>1056</v>
      </c>
      <c r="G69" s="53"/>
      <c r="H69" s="53" t="s">
        <v>375</v>
      </c>
      <c r="I69" s="53" t="s">
        <v>383</v>
      </c>
      <c r="J69" s="53" t="s">
        <v>1057</v>
      </c>
      <c r="K69" s="26" t="s">
        <v>1058</v>
      </c>
      <c r="L69" s="37" t="s">
        <v>1059</v>
      </c>
      <c r="M69" s="53" t="s">
        <v>1060</v>
      </c>
      <c r="N69" s="53" t="s">
        <v>1061</v>
      </c>
      <c r="O69" s="56" t="s">
        <v>9</v>
      </c>
      <c r="P69" s="55" t="s">
        <v>4</v>
      </c>
      <c r="Q69" s="55" t="s">
        <v>4</v>
      </c>
      <c r="R69" s="53"/>
      <c r="S69" s="53"/>
      <c r="T69" s="55" t="s">
        <v>4</v>
      </c>
      <c r="U69" s="37"/>
      <c r="V69" s="55" t="s">
        <v>4</v>
      </c>
      <c r="W69" s="37"/>
      <c r="X69" s="37" t="s">
        <v>869</v>
      </c>
      <c r="Y69" s="55" t="s">
        <v>4</v>
      </c>
      <c r="Z69" s="55" t="s">
        <v>4</v>
      </c>
      <c r="AA69" s="55" t="s">
        <v>4</v>
      </c>
      <c r="AB69" s="37" t="s">
        <v>391</v>
      </c>
      <c r="AC69" s="28"/>
      <c r="AD69" s="24"/>
      <c r="AE69" s="24"/>
    </row>
    <row r="70">
      <c r="A70" s="25"/>
      <c r="B70" s="53" t="s">
        <v>1062</v>
      </c>
      <c r="C70" s="53">
        <v>7.782031609E9</v>
      </c>
      <c r="D70" s="53">
        <v>45.0</v>
      </c>
      <c r="E70" s="55" t="s">
        <v>367</v>
      </c>
      <c r="F70" s="53" t="s">
        <v>374</v>
      </c>
      <c r="G70" s="53"/>
      <c r="H70" s="53" t="s">
        <v>375</v>
      </c>
      <c r="I70" s="53" t="s">
        <v>418</v>
      </c>
      <c r="J70" s="53" t="s">
        <v>1063</v>
      </c>
      <c r="K70" s="26" t="s">
        <v>1058</v>
      </c>
      <c r="L70" s="37" t="s">
        <v>1059</v>
      </c>
      <c r="M70" s="53" t="s">
        <v>1060</v>
      </c>
      <c r="N70" s="53" t="s">
        <v>1061</v>
      </c>
      <c r="O70" s="56" t="s">
        <v>9</v>
      </c>
      <c r="P70" s="55" t="s">
        <v>4</v>
      </c>
      <c r="Q70" s="55" t="s">
        <v>4</v>
      </c>
      <c r="R70" s="53" t="s">
        <v>867</v>
      </c>
      <c r="S70" s="53"/>
      <c r="T70" s="55" t="s">
        <v>4</v>
      </c>
      <c r="U70" s="37"/>
      <c r="V70" s="55" t="s">
        <v>4</v>
      </c>
      <c r="W70" s="37"/>
      <c r="X70" s="37" t="s">
        <v>869</v>
      </c>
      <c r="Y70" s="55" t="s">
        <v>4</v>
      </c>
      <c r="Z70" s="55" t="s">
        <v>4</v>
      </c>
      <c r="AA70" s="55" t="s">
        <v>4</v>
      </c>
      <c r="AB70" s="37" t="s">
        <v>391</v>
      </c>
      <c r="AC70" s="28"/>
      <c r="AD70" s="24"/>
      <c r="AE70" s="24"/>
    </row>
    <row r="71">
      <c r="A71" s="25"/>
      <c r="B71" s="53" t="s">
        <v>1064</v>
      </c>
      <c r="C71" s="53">
        <v>7.631687849E9</v>
      </c>
      <c r="D71" s="53">
        <v>33.0</v>
      </c>
      <c r="E71" s="55" t="s">
        <v>405</v>
      </c>
      <c r="F71" s="53" t="s">
        <v>1056</v>
      </c>
      <c r="G71" s="53"/>
      <c r="H71" s="53" t="s">
        <v>375</v>
      </c>
      <c r="I71" s="53" t="s">
        <v>418</v>
      </c>
      <c r="J71" s="53" t="s">
        <v>1057</v>
      </c>
      <c r="K71" s="26" t="s">
        <v>1058</v>
      </c>
      <c r="L71" s="37" t="s">
        <v>1059</v>
      </c>
      <c r="M71" s="53" t="s">
        <v>1060</v>
      </c>
      <c r="N71" s="53" t="s">
        <v>1061</v>
      </c>
      <c r="O71" s="56" t="s">
        <v>9</v>
      </c>
      <c r="P71" s="55" t="s">
        <v>4</v>
      </c>
      <c r="Q71" s="55" t="s">
        <v>4</v>
      </c>
      <c r="R71" s="53" t="s">
        <v>867</v>
      </c>
      <c r="S71" s="53" t="s">
        <v>652</v>
      </c>
      <c r="T71" s="55" t="s">
        <v>4</v>
      </c>
      <c r="U71" s="37"/>
      <c r="V71" s="55" t="s">
        <v>4</v>
      </c>
      <c r="W71" s="37"/>
      <c r="X71" s="37" t="s">
        <v>869</v>
      </c>
      <c r="Y71" s="55" t="s">
        <v>4</v>
      </c>
      <c r="Z71" s="55" t="s">
        <v>4</v>
      </c>
      <c r="AA71" s="55" t="s">
        <v>4</v>
      </c>
      <c r="AB71" s="37" t="s">
        <v>391</v>
      </c>
      <c r="AC71" s="28"/>
      <c r="AD71" s="24"/>
      <c r="AE71" s="24"/>
    </row>
    <row r="72">
      <c r="A72" s="25"/>
      <c r="B72" s="53" t="s">
        <v>1065</v>
      </c>
      <c r="C72" s="53">
        <v>9.1220362E9</v>
      </c>
      <c r="D72" s="53">
        <v>29.0</v>
      </c>
      <c r="E72" s="55" t="s">
        <v>367</v>
      </c>
      <c r="F72" s="53" t="s">
        <v>925</v>
      </c>
      <c r="G72" s="53"/>
      <c r="H72" s="53" t="s">
        <v>375</v>
      </c>
      <c r="I72" s="53" t="s">
        <v>1066</v>
      </c>
      <c r="J72" s="53" t="s">
        <v>1067</v>
      </c>
      <c r="K72" s="26" t="s">
        <v>1058</v>
      </c>
      <c r="L72" s="37" t="s">
        <v>1059</v>
      </c>
      <c r="M72" s="53" t="s">
        <v>1068</v>
      </c>
      <c r="N72" s="53" t="s">
        <v>1061</v>
      </c>
      <c r="O72" s="56" t="s">
        <v>9</v>
      </c>
      <c r="P72" s="55" t="s">
        <v>4</v>
      </c>
      <c r="Q72" s="55" t="s">
        <v>4</v>
      </c>
      <c r="R72" s="53" t="s">
        <v>867</v>
      </c>
      <c r="S72" s="53" t="s">
        <v>652</v>
      </c>
      <c r="T72" s="55" t="s">
        <v>4</v>
      </c>
      <c r="U72" s="37"/>
      <c r="V72" s="55" t="s">
        <v>4</v>
      </c>
      <c r="W72" s="37"/>
      <c r="X72" s="37" t="s">
        <v>869</v>
      </c>
      <c r="Y72" s="55" t="s">
        <v>4</v>
      </c>
      <c r="Z72" s="55" t="s">
        <v>4</v>
      </c>
      <c r="AA72" s="55" t="s">
        <v>4</v>
      </c>
      <c r="AB72" s="37" t="s">
        <v>391</v>
      </c>
      <c r="AC72" s="28"/>
      <c r="AD72" s="24"/>
      <c r="AE72" s="24"/>
    </row>
    <row r="73">
      <c r="A73" s="25"/>
      <c r="B73" s="53" t="s">
        <v>1069</v>
      </c>
      <c r="C73" s="53">
        <v>8.877843337E9</v>
      </c>
      <c r="D73" s="53">
        <v>29.0</v>
      </c>
      <c r="E73" s="55" t="s">
        <v>367</v>
      </c>
      <c r="F73" s="53" t="s">
        <v>925</v>
      </c>
      <c r="G73" s="53"/>
      <c r="H73" s="53" t="s">
        <v>375</v>
      </c>
      <c r="I73" s="53" t="s">
        <v>418</v>
      </c>
      <c r="J73" s="53" t="s">
        <v>840</v>
      </c>
      <c r="K73" s="26" t="s">
        <v>1058</v>
      </c>
      <c r="L73" s="37" t="s">
        <v>1059</v>
      </c>
      <c r="M73" s="53" t="s">
        <v>1060</v>
      </c>
      <c r="N73" s="53" t="s">
        <v>1061</v>
      </c>
      <c r="O73" s="56" t="s">
        <v>9</v>
      </c>
      <c r="P73" s="55" t="s">
        <v>4</v>
      </c>
      <c r="Q73" s="55" t="s">
        <v>380</v>
      </c>
      <c r="R73" s="53"/>
      <c r="S73" s="53"/>
      <c r="T73" s="55" t="s">
        <v>4</v>
      </c>
      <c r="U73" s="37"/>
      <c r="V73" s="55" t="s">
        <v>4</v>
      </c>
      <c r="W73" s="37"/>
      <c r="X73" s="37" t="s">
        <v>869</v>
      </c>
      <c r="Y73" s="55" t="s">
        <v>4</v>
      </c>
      <c r="Z73" s="55" t="s">
        <v>4</v>
      </c>
      <c r="AA73" s="55" t="s">
        <v>4</v>
      </c>
      <c r="AB73" s="37" t="s">
        <v>391</v>
      </c>
      <c r="AC73" s="28"/>
      <c r="AD73" s="24"/>
      <c r="AE73" s="24"/>
    </row>
    <row r="74">
      <c r="A74" s="25"/>
      <c r="B74" s="53" t="s">
        <v>1070</v>
      </c>
      <c r="C74" s="53">
        <v>9.523837176E9</v>
      </c>
      <c r="D74" s="53">
        <v>25.0</v>
      </c>
      <c r="E74" s="55" t="s">
        <v>367</v>
      </c>
      <c r="F74" s="53" t="s">
        <v>925</v>
      </c>
      <c r="G74" s="53"/>
      <c r="H74" s="53" t="s">
        <v>375</v>
      </c>
      <c r="I74" s="53" t="s">
        <v>407</v>
      </c>
      <c r="J74" s="53" t="s">
        <v>902</v>
      </c>
      <c r="K74" s="26" t="s">
        <v>1058</v>
      </c>
      <c r="L74" s="37" t="s">
        <v>1059</v>
      </c>
      <c r="M74" s="53" t="s">
        <v>1060</v>
      </c>
      <c r="N74" s="53" t="s">
        <v>1061</v>
      </c>
      <c r="O74" s="56" t="s">
        <v>9</v>
      </c>
      <c r="P74" s="55" t="s">
        <v>4</v>
      </c>
      <c r="Q74" s="55" t="s">
        <v>4</v>
      </c>
      <c r="R74" s="53" t="s">
        <v>867</v>
      </c>
      <c r="S74" s="53"/>
      <c r="T74" s="55" t="s">
        <v>4</v>
      </c>
      <c r="U74" s="37"/>
      <c r="V74" s="55" t="s">
        <v>4</v>
      </c>
      <c r="W74" s="37"/>
      <c r="X74" s="37" t="s">
        <v>869</v>
      </c>
      <c r="Y74" s="55" t="s">
        <v>4</v>
      </c>
      <c r="Z74" s="55" t="s">
        <v>4</v>
      </c>
      <c r="AA74" s="55" t="s">
        <v>4</v>
      </c>
      <c r="AB74" s="37" t="s">
        <v>391</v>
      </c>
      <c r="AC74" s="28"/>
      <c r="AD74" s="24"/>
      <c r="AE74" s="24"/>
    </row>
    <row r="75">
      <c r="A75" s="25"/>
      <c r="B75" s="53" t="s">
        <v>1071</v>
      </c>
      <c r="C75" s="53">
        <v>9.162375949E9</v>
      </c>
      <c r="D75" s="53">
        <v>56.0</v>
      </c>
      <c r="E75" s="55" t="s">
        <v>367</v>
      </c>
      <c r="F75" s="53" t="s">
        <v>429</v>
      </c>
      <c r="G75" s="53"/>
      <c r="H75" s="53" t="s">
        <v>375</v>
      </c>
      <c r="I75" s="53" t="s">
        <v>383</v>
      </c>
      <c r="J75" s="53" t="s">
        <v>377</v>
      </c>
      <c r="K75" s="26" t="s">
        <v>1058</v>
      </c>
      <c r="L75" s="37" t="s">
        <v>1059</v>
      </c>
      <c r="M75" s="53" t="s">
        <v>1060</v>
      </c>
      <c r="N75" s="53" t="s">
        <v>1072</v>
      </c>
      <c r="O75" s="56" t="s">
        <v>9</v>
      </c>
      <c r="P75" s="55" t="s">
        <v>4</v>
      </c>
      <c r="Q75" s="55" t="s">
        <v>4</v>
      </c>
      <c r="R75" s="53" t="s">
        <v>867</v>
      </c>
      <c r="S75" s="53" t="s">
        <v>652</v>
      </c>
      <c r="T75" s="55" t="s">
        <v>4</v>
      </c>
      <c r="U75" s="37"/>
      <c r="V75" s="55" t="s">
        <v>4</v>
      </c>
      <c r="W75" s="37"/>
      <c r="X75" s="37" t="s">
        <v>869</v>
      </c>
      <c r="Y75" s="55" t="s">
        <v>4</v>
      </c>
      <c r="Z75" s="55" t="s">
        <v>4</v>
      </c>
      <c r="AA75" s="55" t="s">
        <v>4</v>
      </c>
      <c r="AB75" s="37" t="s">
        <v>391</v>
      </c>
      <c r="AC75" s="28"/>
      <c r="AD75" s="24"/>
      <c r="AE75" s="24"/>
    </row>
    <row r="76">
      <c r="A76" s="25"/>
      <c r="B76" s="53" t="s">
        <v>1073</v>
      </c>
      <c r="C76" s="39">
        <v>7.258810506E9</v>
      </c>
      <c r="D76" s="53">
        <v>22.0</v>
      </c>
      <c r="E76" s="55" t="s">
        <v>367</v>
      </c>
      <c r="F76" s="53" t="s">
        <v>1074</v>
      </c>
      <c r="G76" s="53"/>
      <c r="H76" s="53" t="s">
        <v>375</v>
      </c>
      <c r="I76" s="53" t="s">
        <v>637</v>
      </c>
      <c r="J76" s="53" t="s">
        <v>377</v>
      </c>
      <c r="K76" s="26" t="s">
        <v>1058</v>
      </c>
      <c r="L76" s="37" t="s">
        <v>1059</v>
      </c>
      <c r="M76" s="53" t="s">
        <v>1060</v>
      </c>
      <c r="N76" s="53" t="s">
        <v>1072</v>
      </c>
      <c r="O76" s="56" t="s">
        <v>9</v>
      </c>
      <c r="P76" s="55" t="s">
        <v>4</v>
      </c>
      <c r="Q76" s="55" t="s">
        <v>4</v>
      </c>
      <c r="R76" s="53" t="s">
        <v>867</v>
      </c>
      <c r="S76" s="53" t="s">
        <v>652</v>
      </c>
      <c r="T76" s="55" t="s">
        <v>4</v>
      </c>
      <c r="U76" s="37"/>
      <c r="V76" s="55" t="s">
        <v>4</v>
      </c>
      <c r="W76" s="37"/>
      <c r="X76" s="37" t="s">
        <v>869</v>
      </c>
      <c r="Y76" s="55" t="s">
        <v>4</v>
      </c>
      <c r="Z76" s="55" t="s">
        <v>4</v>
      </c>
      <c r="AA76" s="55" t="s">
        <v>4</v>
      </c>
      <c r="AB76" s="37" t="s">
        <v>391</v>
      </c>
      <c r="AC76" s="28"/>
      <c r="AD76" s="24"/>
      <c r="AE76" s="24"/>
    </row>
    <row r="77">
      <c r="A77" s="25"/>
      <c r="B77" s="53" t="s">
        <v>1075</v>
      </c>
      <c r="C77" s="53">
        <v>8.969428464E9</v>
      </c>
      <c r="D77" s="53">
        <v>35.0</v>
      </c>
      <c r="E77" s="55" t="s">
        <v>367</v>
      </c>
      <c r="F77" s="53" t="s">
        <v>441</v>
      </c>
      <c r="G77" s="53"/>
      <c r="H77" s="53" t="s">
        <v>375</v>
      </c>
      <c r="I77" s="53" t="s">
        <v>383</v>
      </c>
      <c r="J77" s="53" t="s">
        <v>377</v>
      </c>
      <c r="K77" s="26" t="s">
        <v>1058</v>
      </c>
      <c r="L77" s="37" t="s">
        <v>1059</v>
      </c>
      <c r="M77" s="53" t="s">
        <v>1060</v>
      </c>
      <c r="N77" s="53" t="s">
        <v>1072</v>
      </c>
      <c r="O77" s="56" t="s">
        <v>9</v>
      </c>
      <c r="P77" s="55" t="s">
        <v>4</v>
      </c>
      <c r="Q77" s="55" t="s">
        <v>4</v>
      </c>
      <c r="R77" s="53" t="s">
        <v>867</v>
      </c>
      <c r="S77" s="53" t="s">
        <v>652</v>
      </c>
      <c r="T77" s="55" t="s">
        <v>4</v>
      </c>
      <c r="U77" s="37"/>
      <c r="V77" s="55" t="s">
        <v>4</v>
      </c>
      <c r="W77" s="37"/>
      <c r="X77" s="37" t="s">
        <v>869</v>
      </c>
      <c r="Y77" s="55" t="s">
        <v>4</v>
      </c>
      <c r="Z77" s="55" t="s">
        <v>4</v>
      </c>
      <c r="AA77" s="55" t="s">
        <v>4</v>
      </c>
      <c r="AB77" s="37" t="s">
        <v>391</v>
      </c>
      <c r="AC77" s="28"/>
      <c r="AD77" s="24"/>
      <c r="AE77" s="24"/>
    </row>
    <row r="78">
      <c r="A78" s="25"/>
      <c r="B78" s="53" t="s">
        <v>1076</v>
      </c>
      <c r="C78" s="53">
        <v>9.97308057E9</v>
      </c>
      <c r="D78" s="53"/>
      <c r="E78" s="55" t="s">
        <v>367</v>
      </c>
      <c r="F78" s="53" t="s">
        <v>429</v>
      </c>
      <c r="G78" s="53"/>
      <c r="H78" s="53" t="s">
        <v>375</v>
      </c>
      <c r="I78" s="53" t="s">
        <v>383</v>
      </c>
      <c r="J78" s="53" t="s">
        <v>377</v>
      </c>
      <c r="K78" s="26" t="s">
        <v>1058</v>
      </c>
      <c r="L78" s="37" t="s">
        <v>1059</v>
      </c>
      <c r="M78" s="53" t="s">
        <v>1060</v>
      </c>
      <c r="N78" s="53" t="s">
        <v>1061</v>
      </c>
      <c r="O78" s="56" t="s">
        <v>9</v>
      </c>
      <c r="P78" s="55" t="s">
        <v>4</v>
      </c>
      <c r="Q78" s="55" t="s">
        <v>4</v>
      </c>
      <c r="R78" s="53"/>
      <c r="S78" s="53"/>
      <c r="T78" s="55" t="s">
        <v>4</v>
      </c>
      <c r="U78" s="37"/>
      <c r="V78" s="55" t="s">
        <v>4</v>
      </c>
      <c r="W78" s="37"/>
      <c r="X78" s="37" t="s">
        <v>869</v>
      </c>
      <c r="Y78" s="55" t="s">
        <v>4</v>
      </c>
      <c r="Z78" s="55" t="s">
        <v>4</v>
      </c>
      <c r="AA78" s="55" t="s">
        <v>4</v>
      </c>
      <c r="AB78" s="37" t="s">
        <v>391</v>
      </c>
      <c r="AC78" s="28"/>
      <c r="AD78" s="24"/>
      <c r="AE78" s="24"/>
    </row>
    <row r="79" hidden="1">
      <c r="A79" s="25"/>
      <c r="B79" s="53" t="s">
        <v>1077</v>
      </c>
      <c r="C79" s="53">
        <v>8.8093012E9</v>
      </c>
      <c r="D79" s="53"/>
      <c r="E79" s="55"/>
      <c r="F79" s="53"/>
      <c r="G79" s="53"/>
      <c r="H79" s="53"/>
      <c r="I79" s="53"/>
      <c r="J79" s="53"/>
      <c r="K79" s="19"/>
      <c r="L79" s="37" t="s">
        <v>1059</v>
      </c>
      <c r="M79" s="53"/>
      <c r="N79" s="53"/>
      <c r="O79" s="56" t="s">
        <v>13</v>
      </c>
      <c r="P79" s="55"/>
      <c r="Q79" s="55"/>
      <c r="R79" s="53"/>
      <c r="S79" s="53"/>
      <c r="T79" s="55"/>
      <c r="U79" s="37"/>
      <c r="V79" s="55"/>
      <c r="W79" s="37"/>
      <c r="X79" s="37"/>
      <c r="Y79" s="55"/>
      <c r="Z79" s="55"/>
      <c r="AA79" s="55"/>
      <c r="AB79" s="37"/>
      <c r="AC79" s="28"/>
      <c r="AD79" s="24"/>
      <c r="AE79" s="24"/>
    </row>
    <row r="80" hidden="1">
      <c r="A80" s="25"/>
      <c r="B80" s="53" t="s">
        <v>1078</v>
      </c>
      <c r="C80" s="53">
        <v>7.76683456E9</v>
      </c>
      <c r="D80" s="53"/>
      <c r="E80" s="55"/>
      <c r="F80" s="53"/>
      <c r="G80" s="53"/>
      <c r="H80" s="53"/>
      <c r="I80" s="53"/>
      <c r="J80" s="53"/>
      <c r="K80" s="19"/>
      <c r="L80" s="37" t="s">
        <v>1059</v>
      </c>
      <c r="M80" s="53"/>
      <c r="N80" s="53"/>
      <c r="O80" s="56" t="s">
        <v>9</v>
      </c>
      <c r="P80" s="55"/>
      <c r="Q80" s="55"/>
      <c r="R80" s="53"/>
      <c r="S80" s="53"/>
      <c r="T80" s="55"/>
      <c r="U80" s="37"/>
      <c r="V80" s="55"/>
      <c r="W80" s="37"/>
      <c r="X80" s="37"/>
      <c r="Y80" s="55"/>
      <c r="Z80" s="55"/>
      <c r="AA80" s="55"/>
      <c r="AB80" s="37"/>
      <c r="AC80" s="17" t="s">
        <v>1079</v>
      </c>
      <c r="AD80" s="24"/>
      <c r="AE80" s="24"/>
    </row>
    <row r="81">
      <c r="A81" s="25"/>
      <c r="B81" s="53" t="s">
        <v>1080</v>
      </c>
      <c r="C81" s="53">
        <v>7.8701618E9</v>
      </c>
      <c r="D81" s="53">
        <v>33.0</v>
      </c>
      <c r="E81" s="55" t="s">
        <v>367</v>
      </c>
      <c r="F81" s="53" t="s">
        <v>1081</v>
      </c>
      <c r="G81" s="53"/>
      <c r="H81" s="53" t="s">
        <v>375</v>
      </c>
      <c r="I81" s="53" t="s">
        <v>407</v>
      </c>
      <c r="J81" s="53" t="s">
        <v>825</v>
      </c>
      <c r="K81" s="26" t="s">
        <v>1058</v>
      </c>
      <c r="L81" s="37" t="s">
        <v>1059</v>
      </c>
      <c r="M81" s="53" t="s">
        <v>1060</v>
      </c>
      <c r="N81" s="53" t="s">
        <v>1061</v>
      </c>
      <c r="O81" s="56" t="s">
        <v>9</v>
      </c>
      <c r="P81" s="55" t="s">
        <v>4</v>
      </c>
      <c r="Q81" s="55" t="s">
        <v>4</v>
      </c>
      <c r="R81" s="53"/>
      <c r="S81" s="53"/>
      <c r="T81" s="55" t="s">
        <v>4</v>
      </c>
      <c r="U81" s="37"/>
      <c r="V81" s="55" t="s">
        <v>4</v>
      </c>
      <c r="W81" s="37"/>
      <c r="X81" s="37" t="s">
        <v>869</v>
      </c>
      <c r="Y81" s="55" t="s">
        <v>4</v>
      </c>
      <c r="Z81" s="55" t="s">
        <v>4</v>
      </c>
      <c r="AA81" s="55" t="s">
        <v>4</v>
      </c>
      <c r="AB81" s="37" t="s">
        <v>391</v>
      </c>
      <c r="AC81" s="28"/>
      <c r="AD81" s="24"/>
      <c r="AE81" s="24"/>
    </row>
    <row r="82">
      <c r="A82" s="25"/>
      <c r="B82" s="53" t="s">
        <v>1082</v>
      </c>
      <c r="C82" s="53">
        <v>6.201361489E9</v>
      </c>
      <c r="D82" s="53">
        <v>36.0</v>
      </c>
      <c r="E82" s="55" t="s">
        <v>405</v>
      </c>
      <c r="F82" s="53" t="s">
        <v>1083</v>
      </c>
      <c r="G82" s="53"/>
      <c r="H82" s="53" t="s">
        <v>375</v>
      </c>
      <c r="I82" s="53" t="s">
        <v>383</v>
      </c>
      <c r="J82" s="53" t="s">
        <v>377</v>
      </c>
      <c r="K82" s="26" t="s">
        <v>1058</v>
      </c>
      <c r="L82" s="37" t="s">
        <v>1059</v>
      </c>
      <c r="M82" s="53" t="s">
        <v>1060</v>
      </c>
      <c r="N82" s="53" t="s">
        <v>1061</v>
      </c>
      <c r="O82" s="56" t="s">
        <v>9</v>
      </c>
      <c r="P82" s="55" t="s">
        <v>4</v>
      </c>
      <c r="Q82" s="55" t="s">
        <v>4</v>
      </c>
      <c r="R82" s="53" t="s">
        <v>888</v>
      </c>
      <c r="S82" s="53"/>
      <c r="T82" s="55" t="s">
        <v>4</v>
      </c>
      <c r="U82" s="37"/>
      <c r="V82" s="55" t="s">
        <v>4</v>
      </c>
      <c r="W82" s="37"/>
      <c r="X82" s="37" t="s">
        <v>869</v>
      </c>
      <c r="Y82" s="55" t="s">
        <v>4</v>
      </c>
      <c r="Z82" s="55" t="s">
        <v>4</v>
      </c>
      <c r="AA82" s="55" t="s">
        <v>4</v>
      </c>
      <c r="AB82" s="37" t="s">
        <v>391</v>
      </c>
      <c r="AC82" s="28"/>
      <c r="AD82" s="24"/>
      <c r="AE82" s="24"/>
    </row>
    <row r="83" hidden="1">
      <c r="A83" s="25"/>
      <c r="B83" s="53" t="s">
        <v>1084</v>
      </c>
      <c r="C83" s="53">
        <v>8.521710511E9</v>
      </c>
      <c r="D83" s="53"/>
      <c r="E83" s="55"/>
      <c r="F83" s="53"/>
      <c r="G83" s="53"/>
      <c r="H83" s="53"/>
      <c r="I83" s="53"/>
      <c r="J83" s="53"/>
      <c r="K83" s="19"/>
      <c r="L83" s="37" t="s">
        <v>1059</v>
      </c>
      <c r="M83" s="53"/>
      <c r="N83" s="53"/>
      <c r="O83" s="56" t="s">
        <v>23</v>
      </c>
      <c r="P83" s="55"/>
      <c r="Q83" s="55"/>
      <c r="R83" s="53"/>
      <c r="S83" s="53"/>
      <c r="T83" s="55"/>
      <c r="U83" s="37"/>
      <c r="V83" s="55"/>
      <c r="W83" s="37"/>
      <c r="X83" s="37"/>
      <c r="Y83" s="55"/>
      <c r="Z83" s="55"/>
      <c r="AA83" s="55"/>
      <c r="AB83" s="37"/>
      <c r="AC83" s="28"/>
      <c r="AD83" s="24"/>
      <c r="AE83" s="24"/>
    </row>
    <row r="84" hidden="1">
      <c r="A84" s="25"/>
      <c r="B84" s="53" t="s">
        <v>1085</v>
      </c>
      <c r="C84" s="53">
        <v>9.155238041E9</v>
      </c>
      <c r="D84" s="53"/>
      <c r="E84" s="55"/>
      <c r="F84" s="53"/>
      <c r="G84" s="53"/>
      <c r="H84" s="53"/>
      <c r="I84" s="53"/>
      <c r="J84" s="53"/>
      <c r="K84" s="19"/>
      <c r="L84" s="37" t="s">
        <v>1059</v>
      </c>
      <c r="M84" s="53"/>
      <c r="N84" s="53"/>
      <c r="O84" s="56" t="s">
        <v>13</v>
      </c>
      <c r="P84" s="55"/>
      <c r="Q84" s="55"/>
      <c r="R84" s="53"/>
      <c r="S84" s="53"/>
      <c r="T84" s="55"/>
      <c r="U84" s="37"/>
      <c r="V84" s="55"/>
      <c r="W84" s="37"/>
      <c r="X84" s="37"/>
      <c r="Y84" s="55"/>
      <c r="Z84" s="55"/>
      <c r="AA84" s="55"/>
      <c r="AB84" s="37"/>
      <c r="AC84" s="28"/>
      <c r="AD84" s="24"/>
      <c r="AE84" s="24"/>
    </row>
    <row r="85">
      <c r="A85" s="25"/>
      <c r="B85" s="53" t="s">
        <v>1086</v>
      </c>
      <c r="C85" s="53">
        <v>9.162880879E9</v>
      </c>
      <c r="D85" s="53">
        <v>30.0</v>
      </c>
      <c r="E85" s="55" t="s">
        <v>367</v>
      </c>
      <c r="F85" s="53" t="s">
        <v>441</v>
      </c>
      <c r="G85" s="53"/>
      <c r="H85" s="53" t="s">
        <v>375</v>
      </c>
      <c r="I85" s="53" t="s">
        <v>1087</v>
      </c>
      <c r="J85" s="53" t="s">
        <v>1088</v>
      </c>
      <c r="K85" s="26" t="s">
        <v>1058</v>
      </c>
      <c r="L85" s="37" t="s">
        <v>1059</v>
      </c>
      <c r="M85" s="53" t="s">
        <v>1060</v>
      </c>
      <c r="N85" s="53" t="s">
        <v>1089</v>
      </c>
      <c r="O85" s="56" t="s">
        <v>9</v>
      </c>
      <c r="P85" s="55" t="s">
        <v>4</v>
      </c>
      <c r="Q85" s="55" t="s">
        <v>4</v>
      </c>
      <c r="R85" s="53"/>
      <c r="S85" s="53"/>
      <c r="T85" s="55" t="s">
        <v>4</v>
      </c>
      <c r="U85" s="37"/>
      <c r="V85" s="55" t="s">
        <v>4</v>
      </c>
      <c r="W85" s="37"/>
      <c r="X85" s="37" t="s">
        <v>869</v>
      </c>
      <c r="Y85" s="55" t="s">
        <v>4</v>
      </c>
      <c r="Z85" s="55" t="s">
        <v>4</v>
      </c>
      <c r="AA85" s="55" t="s">
        <v>4</v>
      </c>
      <c r="AB85" s="37" t="s">
        <v>391</v>
      </c>
      <c r="AC85" s="28"/>
      <c r="AD85" s="24"/>
      <c r="AE85" s="24"/>
    </row>
    <row r="86" hidden="1">
      <c r="A86" s="25"/>
      <c r="B86" s="53" t="s">
        <v>1090</v>
      </c>
      <c r="C86" s="53">
        <v>9.13578471E9</v>
      </c>
      <c r="D86" s="53"/>
      <c r="E86" s="55"/>
      <c r="F86" s="53"/>
      <c r="G86" s="53"/>
      <c r="H86" s="53"/>
      <c r="I86" s="53"/>
      <c r="J86" s="53"/>
      <c r="K86" s="19"/>
      <c r="L86" s="37" t="s">
        <v>1059</v>
      </c>
      <c r="M86" s="53"/>
      <c r="N86" s="53"/>
      <c r="O86" s="56" t="s">
        <v>23</v>
      </c>
      <c r="P86" s="55"/>
      <c r="Q86" s="55"/>
      <c r="R86" s="53"/>
      <c r="S86" s="53"/>
      <c r="T86" s="55"/>
      <c r="U86" s="37"/>
      <c r="V86" s="55"/>
      <c r="W86" s="37"/>
      <c r="X86" s="37"/>
      <c r="Y86" s="55"/>
      <c r="Z86" s="55"/>
      <c r="AA86" s="55"/>
      <c r="AB86" s="37"/>
      <c r="AC86" s="28"/>
      <c r="AD86" s="24"/>
      <c r="AE86" s="24"/>
    </row>
    <row r="87">
      <c r="A87" s="25"/>
      <c r="B87" s="53" t="s">
        <v>1091</v>
      </c>
      <c r="C87" s="53">
        <v>9.693680804E9</v>
      </c>
      <c r="D87" s="53">
        <v>34.0</v>
      </c>
      <c r="E87" s="55" t="s">
        <v>405</v>
      </c>
      <c r="F87" s="53" t="s">
        <v>1056</v>
      </c>
      <c r="G87" s="53"/>
      <c r="H87" s="53" t="s">
        <v>375</v>
      </c>
      <c r="I87" s="53" t="s">
        <v>383</v>
      </c>
      <c r="J87" s="53" t="s">
        <v>377</v>
      </c>
      <c r="K87" s="26" t="s">
        <v>1058</v>
      </c>
      <c r="L87" s="37" t="s">
        <v>1059</v>
      </c>
      <c r="M87" s="53" t="s">
        <v>1060</v>
      </c>
      <c r="N87" s="53" t="s">
        <v>1092</v>
      </c>
      <c r="O87" s="56" t="s">
        <v>9</v>
      </c>
      <c r="P87" s="55" t="s">
        <v>4</v>
      </c>
      <c r="Q87" s="55" t="s">
        <v>4</v>
      </c>
      <c r="R87" s="53"/>
      <c r="S87" s="53"/>
      <c r="T87" s="55" t="s">
        <v>380</v>
      </c>
      <c r="U87" s="37"/>
      <c r="V87" s="55" t="s">
        <v>380</v>
      </c>
      <c r="W87" s="37"/>
      <c r="X87" s="37" t="s">
        <v>869</v>
      </c>
      <c r="Y87" s="55" t="s">
        <v>4</v>
      </c>
      <c r="Z87" s="55" t="s">
        <v>4</v>
      </c>
      <c r="AA87" s="55" t="s">
        <v>4</v>
      </c>
      <c r="AB87" s="37" t="s">
        <v>391</v>
      </c>
      <c r="AC87" s="28"/>
      <c r="AD87" s="24"/>
      <c r="AE87" s="24"/>
    </row>
    <row r="88">
      <c r="A88" s="25"/>
      <c r="B88" s="53" t="s">
        <v>1093</v>
      </c>
      <c r="C88" s="53">
        <v>7.542002246E9</v>
      </c>
      <c r="D88" s="53">
        <v>32.0</v>
      </c>
      <c r="E88" s="55" t="s">
        <v>405</v>
      </c>
      <c r="F88" s="53" t="s">
        <v>1056</v>
      </c>
      <c r="G88" s="53"/>
      <c r="H88" s="53" t="s">
        <v>375</v>
      </c>
      <c r="I88" s="53" t="s">
        <v>407</v>
      </c>
      <c r="J88" s="53" t="s">
        <v>825</v>
      </c>
      <c r="K88" s="26" t="s">
        <v>1058</v>
      </c>
      <c r="L88" s="37" t="s">
        <v>1059</v>
      </c>
      <c r="M88" s="53" t="s">
        <v>1060</v>
      </c>
      <c r="N88" s="53" t="s">
        <v>1061</v>
      </c>
      <c r="O88" s="56" t="s">
        <v>9</v>
      </c>
      <c r="P88" s="55" t="s">
        <v>4</v>
      </c>
      <c r="Q88" s="55" t="s">
        <v>4</v>
      </c>
      <c r="R88" s="53" t="s">
        <v>867</v>
      </c>
      <c r="S88" s="53" t="s">
        <v>652</v>
      </c>
      <c r="T88" s="55" t="s">
        <v>4</v>
      </c>
      <c r="U88" s="37"/>
      <c r="V88" s="55" t="s">
        <v>4</v>
      </c>
      <c r="W88" s="37"/>
      <c r="X88" s="37" t="s">
        <v>869</v>
      </c>
      <c r="Y88" s="55" t="s">
        <v>4</v>
      </c>
      <c r="Z88" s="55" t="s">
        <v>4</v>
      </c>
      <c r="AA88" s="55" t="s">
        <v>4</v>
      </c>
      <c r="AB88" s="37" t="s">
        <v>391</v>
      </c>
      <c r="AC88" s="28"/>
      <c r="AD88" s="24"/>
      <c r="AE88" s="24"/>
    </row>
    <row r="89">
      <c r="A89" s="25"/>
      <c r="B89" s="53" t="s">
        <v>1094</v>
      </c>
      <c r="C89" s="53">
        <v>9.771139826E9</v>
      </c>
      <c r="D89" s="53"/>
      <c r="E89" s="55"/>
      <c r="F89" s="53"/>
      <c r="G89" s="53"/>
      <c r="H89" s="53"/>
      <c r="I89" s="53"/>
      <c r="J89" s="53"/>
      <c r="K89" s="26" t="s">
        <v>1058</v>
      </c>
      <c r="L89" s="37" t="s">
        <v>1059</v>
      </c>
      <c r="M89" s="53" t="s">
        <v>1060</v>
      </c>
      <c r="N89" s="53" t="s">
        <v>1061</v>
      </c>
      <c r="O89" s="56" t="s">
        <v>9</v>
      </c>
      <c r="P89" s="55" t="s">
        <v>4</v>
      </c>
      <c r="Q89" s="55"/>
      <c r="R89" s="53"/>
      <c r="S89" s="53"/>
      <c r="T89" s="55" t="s">
        <v>4</v>
      </c>
      <c r="U89" s="37"/>
      <c r="V89" s="55" t="s">
        <v>4</v>
      </c>
      <c r="W89" s="37"/>
      <c r="X89" s="37"/>
      <c r="Y89" s="55" t="s">
        <v>4</v>
      </c>
      <c r="Z89" s="55" t="s">
        <v>4</v>
      </c>
      <c r="AA89" s="55" t="s">
        <v>4</v>
      </c>
      <c r="AB89" s="37" t="s">
        <v>391</v>
      </c>
      <c r="AC89" s="28"/>
      <c r="AD89" s="24"/>
      <c r="AE89" s="24"/>
    </row>
    <row r="90">
      <c r="A90" s="25"/>
      <c r="B90" s="53" t="s">
        <v>1095</v>
      </c>
      <c r="C90" s="53">
        <v>8.340645622E9</v>
      </c>
      <c r="D90" s="53">
        <v>22.0</v>
      </c>
      <c r="E90" s="55" t="s">
        <v>367</v>
      </c>
      <c r="F90" s="53" t="s">
        <v>925</v>
      </c>
      <c r="G90" s="53"/>
      <c r="H90" s="53" t="s">
        <v>375</v>
      </c>
      <c r="I90" s="53" t="s">
        <v>383</v>
      </c>
      <c r="J90" s="53" t="s">
        <v>1096</v>
      </c>
      <c r="K90" s="26" t="s">
        <v>1058</v>
      </c>
      <c r="L90" s="37" t="s">
        <v>1059</v>
      </c>
      <c r="M90" s="53" t="s">
        <v>1060</v>
      </c>
      <c r="N90" s="53" t="s">
        <v>1061</v>
      </c>
      <c r="O90" s="56" t="s">
        <v>9</v>
      </c>
      <c r="P90" s="55" t="s">
        <v>4</v>
      </c>
      <c r="Q90" s="55" t="s">
        <v>4</v>
      </c>
      <c r="R90" s="53"/>
      <c r="S90" s="53"/>
      <c r="T90" s="55" t="s">
        <v>4</v>
      </c>
      <c r="U90" s="37"/>
      <c r="V90" s="55" t="s">
        <v>4</v>
      </c>
      <c r="W90" s="37"/>
      <c r="X90" s="37" t="s">
        <v>869</v>
      </c>
      <c r="Y90" s="55" t="s">
        <v>4</v>
      </c>
      <c r="Z90" s="55" t="s">
        <v>4</v>
      </c>
      <c r="AA90" s="55" t="s">
        <v>4</v>
      </c>
      <c r="AB90" s="37" t="s">
        <v>391</v>
      </c>
      <c r="AC90" s="28"/>
      <c r="AD90" s="24"/>
      <c r="AE90" s="24"/>
    </row>
    <row r="91">
      <c r="A91" s="25"/>
      <c r="B91" s="53" t="s">
        <v>1097</v>
      </c>
      <c r="C91" s="53">
        <v>9.123447073E9</v>
      </c>
      <c r="D91" s="53">
        <v>19.0</v>
      </c>
      <c r="E91" s="55" t="s">
        <v>367</v>
      </c>
      <c r="F91" s="53" t="s">
        <v>1074</v>
      </c>
      <c r="G91" s="53"/>
      <c r="H91" s="53" t="s">
        <v>375</v>
      </c>
      <c r="I91" s="53" t="s">
        <v>926</v>
      </c>
      <c r="J91" s="53" t="s">
        <v>377</v>
      </c>
      <c r="K91" s="26" t="s">
        <v>1058</v>
      </c>
      <c r="L91" s="37" t="s">
        <v>1059</v>
      </c>
      <c r="M91" s="53" t="s">
        <v>1060</v>
      </c>
      <c r="N91" s="53" t="s">
        <v>1061</v>
      </c>
      <c r="O91" s="56" t="s">
        <v>9</v>
      </c>
      <c r="P91" s="55" t="s">
        <v>4</v>
      </c>
      <c r="Q91" s="55" t="s">
        <v>4</v>
      </c>
      <c r="R91" s="53" t="s">
        <v>867</v>
      </c>
      <c r="S91" s="53" t="s">
        <v>652</v>
      </c>
      <c r="T91" s="55" t="s">
        <v>4</v>
      </c>
      <c r="U91" s="37"/>
      <c r="V91" s="55" t="s">
        <v>4</v>
      </c>
      <c r="W91" s="37"/>
      <c r="X91" s="37" t="s">
        <v>869</v>
      </c>
      <c r="Y91" s="55" t="s">
        <v>4</v>
      </c>
      <c r="Z91" s="55" t="s">
        <v>4</v>
      </c>
      <c r="AA91" s="55" t="s">
        <v>4</v>
      </c>
      <c r="AB91" s="37" t="s">
        <v>391</v>
      </c>
      <c r="AC91" s="28"/>
      <c r="AD91" s="24"/>
      <c r="AE91" s="24"/>
    </row>
    <row r="92">
      <c r="A92" s="25"/>
      <c r="B92" s="53" t="s">
        <v>1098</v>
      </c>
      <c r="C92" s="53">
        <v>7.488901148E9</v>
      </c>
      <c r="D92" s="53">
        <v>19.0</v>
      </c>
      <c r="E92" s="55" t="s">
        <v>367</v>
      </c>
      <c r="F92" s="53" t="s">
        <v>920</v>
      </c>
      <c r="G92" s="53"/>
      <c r="H92" s="53" t="s">
        <v>375</v>
      </c>
      <c r="I92" s="53" t="s">
        <v>926</v>
      </c>
      <c r="J92" s="53" t="s">
        <v>377</v>
      </c>
      <c r="K92" s="26" t="s">
        <v>1058</v>
      </c>
      <c r="L92" s="37" t="s">
        <v>1059</v>
      </c>
      <c r="M92" s="53" t="s">
        <v>1060</v>
      </c>
      <c r="N92" s="53" t="s">
        <v>1061</v>
      </c>
      <c r="O92" s="56" t="s">
        <v>9</v>
      </c>
      <c r="P92" s="55" t="s">
        <v>4</v>
      </c>
      <c r="Q92" s="55" t="s">
        <v>4</v>
      </c>
      <c r="R92" s="53" t="s">
        <v>867</v>
      </c>
      <c r="S92" s="53" t="s">
        <v>652</v>
      </c>
      <c r="T92" s="55" t="s">
        <v>4</v>
      </c>
      <c r="U92" s="37"/>
      <c r="V92" s="55" t="s">
        <v>4</v>
      </c>
      <c r="W92" s="37"/>
      <c r="X92" s="37" t="s">
        <v>869</v>
      </c>
      <c r="Y92" s="55" t="s">
        <v>4</v>
      </c>
      <c r="Z92" s="55" t="s">
        <v>4</v>
      </c>
      <c r="AA92" s="55" t="s">
        <v>4</v>
      </c>
      <c r="AB92" s="37" t="s">
        <v>391</v>
      </c>
      <c r="AC92" s="28"/>
      <c r="AD92" s="24"/>
      <c r="AE92" s="24"/>
    </row>
    <row r="93" hidden="1">
      <c r="A93" s="25"/>
      <c r="B93" s="53" t="s">
        <v>1099</v>
      </c>
      <c r="C93" s="53">
        <v>8.298545911E9</v>
      </c>
      <c r="D93" s="53"/>
      <c r="E93" s="55"/>
      <c r="F93" s="53"/>
      <c r="G93" s="53"/>
      <c r="H93" s="53"/>
      <c r="I93" s="53"/>
      <c r="J93" s="53"/>
      <c r="K93" s="19"/>
      <c r="L93" s="37" t="s">
        <v>1059</v>
      </c>
      <c r="M93" s="53"/>
      <c r="N93" s="53"/>
      <c r="O93" s="56" t="s">
        <v>27</v>
      </c>
      <c r="P93" s="55"/>
      <c r="Q93" s="55"/>
      <c r="R93" s="53"/>
      <c r="S93" s="53"/>
      <c r="T93" s="55"/>
      <c r="U93" s="37"/>
      <c r="V93" s="55"/>
      <c r="W93" s="37"/>
      <c r="X93" s="37"/>
      <c r="Y93" s="55"/>
      <c r="Z93" s="55"/>
      <c r="AA93" s="55"/>
      <c r="AB93" s="37"/>
      <c r="AC93" s="28"/>
      <c r="AD93" s="24"/>
      <c r="AE93" s="24"/>
    </row>
    <row r="94">
      <c r="A94" s="25"/>
      <c r="B94" s="53" t="s">
        <v>1100</v>
      </c>
      <c r="C94" s="53">
        <v>9.934813501E9</v>
      </c>
      <c r="D94" s="53">
        <v>45.0</v>
      </c>
      <c r="E94" s="55" t="s">
        <v>405</v>
      </c>
      <c r="F94" s="53" t="s">
        <v>636</v>
      </c>
      <c r="G94" s="53"/>
      <c r="H94" s="53" t="s">
        <v>375</v>
      </c>
      <c r="I94" s="53" t="s">
        <v>418</v>
      </c>
      <c r="J94" s="53" t="s">
        <v>1057</v>
      </c>
      <c r="K94" s="26" t="s">
        <v>1058</v>
      </c>
      <c r="L94" s="37" t="s">
        <v>1059</v>
      </c>
      <c r="M94" s="53" t="s">
        <v>1068</v>
      </c>
      <c r="N94" s="53" t="s">
        <v>1101</v>
      </c>
      <c r="O94" s="56" t="s">
        <v>9</v>
      </c>
      <c r="P94" s="55" t="s">
        <v>4</v>
      </c>
      <c r="Q94" s="55" t="s">
        <v>4</v>
      </c>
      <c r="R94" s="53" t="s">
        <v>867</v>
      </c>
      <c r="S94" s="53" t="s">
        <v>652</v>
      </c>
      <c r="T94" s="55" t="s">
        <v>4</v>
      </c>
      <c r="U94" s="37"/>
      <c r="V94" s="55" t="s">
        <v>4</v>
      </c>
      <c r="W94" s="37"/>
      <c r="X94" s="37" t="s">
        <v>869</v>
      </c>
      <c r="Y94" s="55" t="s">
        <v>4</v>
      </c>
      <c r="Z94" s="55" t="s">
        <v>4</v>
      </c>
      <c r="AA94" s="55" t="s">
        <v>4</v>
      </c>
      <c r="AB94" s="37" t="s">
        <v>391</v>
      </c>
      <c r="AC94" s="28"/>
      <c r="AD94" s="24"/>
      <c r="AE94" s="24"/>
    </row>
    <row r="95">
      <c r="A95" s="25"/>
      <c r="B95" s="53" t="s">
        <v>1102</v>
      </c>
      <c r="C95" s="53">
        <v>7.667144607E9</v>
      </c>
      <c r="D95" s="53">
        <v>18.0</v>
      </c>
      <c r="E95" s="55" t="s">
        <v>367</v>
      </c>
      <c r="F95" s="53" t="s">
        <v>925</v>
      </c>
      <c r="G95" s="53"/>
      <c r="H95" s="53" t="s">
        <v>375</v>
      </c>
      <c r="I95" s="53" t="s">
        <v>926</v>
      </c>
      <c r="J95" s="53" t="s">
        <v>1103</v>
      </c>
      <c r="K95" s="26" t="s">
        <v>1058</v>
      </c>
      <c r="L95" s="37" t="s">
        <v>1059</v>
      </c>
      <c r="M95" s="53" t="s">
        <v>1060</v>
      </c>
      <c r="N95" s="53" t="s">
        <v>1104</v>
      </c>
      <c r="O95" s="56" t="s">
        <v>9</v>
      </c>
      <c r="P95" s="55" t="s">
        <v>4</v>
      </c>
      <c r="Q95" s="55" t="s">
        <v>4</v>
      </c>
      <c r="R95" s="53"/>
      <c r="S95" s="53"/>
      <c r="T95" s="55" t="s">
        <v>4</v>
      </c>
      <c r="U95" s="37"/>
      <c r="V95" s="55" t="s">
        <v>4</v>
      </c>
      <c r="W95" s="37"/>
      <c r="X95" s="37"/>
      <c r="Y95" s="55" t="s">
        <v>4</v>
      </c>
      <c r="Z95" s="55" t="s">
        <v>4</v>
      </c>
      <c r="AA95" s="55" t="s">
        <v>4</v>
      </c>
      <c r="AB95" s="37" t="s">
        <v>391</v>
      </c>
      <c r="AC95" s="28"/>
      <c r="AD95" s="24"/>
      <c r="AE95" s="24"/>
    </row>
    <row r="96">
      <c r="A96" s="25"/>
      <c r="B96" s="53" t="s">
        <v>1105</v>
      </c>
      <c r="C96" s="53">
        <v>7.739679907E9</v>
      </c>
      <c r="D96" s="53">
        <v>40.0</v>
      </c>
      <c r="E96" s="55"/>
      <c r="F96" s="53" t="s">
        <v>1106</v>
      </c>
      <c r="G96" s="53"/>
      <c r="H96" s="53" t="s">
        <v>375</v>
      </c>
      <c r="I96" s="53" t="s">
        <v>663</v>
      </c>
      <c r="J96" s="53" t="s">
        <v>384</v>
      </c>
      <c r="K96" s="26" t="s">
        <v>1058</v>
      </c>
      <c r="L96" s="37" t="s">
        <v>1059</v>
      </c>
      <c r="M96" s="53" t="s">
        <v>1068</v>
      </c>
      <c r="N96" s="53"/>
      <c r="O96" s="56" t="s">
        <v>9</v>
      </c>
      <c r="P96" s="55" t="s">
        <v>4</v>
      </c>
      <c r="Q96" s="55" t="s">
        <v>380</v>
      </c>
      <c r="R96" s="53"/>
      <c r="S96" s="53"/>
      <c r="T96" s="55" t="s">
        <v>4</v>
      </c>
      <c r="U96" s="37"/>
      <c r="V96" s="55" t="s">
        <v>380</v>
      </c>
      <c r="W96" s="37"/>
      <c r="X96" s="37" t="s">
        <v>869</v>
      </c>
      <c r="Y96" s="55" t="s">
        <v>4</v>
      </c>
      <c r="Z96" s="55" t="s">
        <v>4</v>
      </c>
      <c r="AA96" s="55" t="s">
        <v>4</v>
      </c>
      <c r="AB96" s="37" t="s">
        <v>391</v>
      </c>
      <c r="AC96" s="28"/>
      <c r="AD96" s="24"/>
      <c r="AE96" s="24"/>
    </row>
    <row r="97">
      <c r="A97" s="25"/>
      <c r="B97" s="53" t="s">
        <v>1107</v>
      </c>
      <c r="C97" s="53">
        <v>9.304298942E9</v>
      </c>
      <c r="D97" s="53">
        <v>23.0</v>
      </c>
      <c r="E97" s="55" t="s">
        <v>367</v>
      </c>
      <c r="F97" s="53" t="s">
        <v>1108</v>
      </c>
      <c r="G97" s="53"/>
      <c r="H97" s="53" t="s">
        <v>375</v>
      </c>
      <c r="I97" s="53" t="s">
        <v>663</v>
      </c>
      <c r="J97" s="53" t="s">
        <v>377</v>
      </c>
      <c r="K97" s="26" t="s">
        <v>1058</v>
      </c>
      <c r="L97" s="37" t="s">
        <v>1059</v>
      </c>
      <c r="M97" s="53" t="s">
        <v>1068</v>
      </c>
      <c r="N97" s="53" t="s">
        <v>1109</v>
      </c>
      <c r="O97" s="56" t="s">
        <v>9</v>
      </c>
      <c r="P97" s="55" t="s">
        <v>4</v>
      </c>
      <c r="Q97" s="55" t="s">
        <v>4</v>
      </c>
      <c r="R97" s="53"/>
      <c r="S97" s="53"/>
      <c r="T97" s="55" t="s">
        <v>4</v>
      </c>
      <c r="U97" s="37"/>
      <c r="V97" s="55" t="s">
        <v>4</v>
      </c>
      <c r="W97" s="37"/>
      <c r="X97" s="37" t="s">
        <v>869</v>
      </c>
      <c r="Y97" s="55" t="s">
        <v>4</v>
      </c>
      <c r="Z97" s="55" t="s">
        <v>4</v>
      </c>
      <c r="AA97" s="55" t="s">
        <v>4</v>
      </c>
      <c r="AB97" s="37" t="s">
        <v>391</v>
      </c>
      <c r="AC97" s="28"/>
      <c r="AD97" s="24"/>
      <c r="AE97" s="24"/>
    </row>
    <row r="98">
      <c r="A98" s="25"/>
      <c r="B98" s="53" t="s">
        <v>1110</v>
      </c>
      <c r="C98" s="53">
        <v>9.905470638E9</v>
      </c>
      <c r="D98" s="53">
        <v>29.0</v>
      </c>
      <c r="E98" s="55" t="s">
        <v>367</v>
      </c>
      <c r="F98" s="53" t="s">
        <v>1074</v>
      </c>
      <c r="G98" s="53"/>
      <c r="H98" s="53" t="s">
        <v>375</v>
      </c>
      <c r="I98" s="53" t="s">
        <v>383</v>
      </c>
      <c r="J98" s="53" t="s">
        <v>1111</v>
      </c>
      <c r="K98" s="26" t="s">
        <v>1058</v>
      </c>
      <c r="L98" s="37" t="s">
        <v>1059</v>
      </c>
      <c r="M98" s="53" t="s">
        <v>1112</v>
      </c>
      <c r="N98" s="53" t="s">
        <v>1113</v>
      </c>
      <c r="O98" s="56" t="s">
        <v>9</v>
      </c>
      <c r="P98" s="55" t="s">
        <v>4</v>
      </c>
      <c r="Q98" s="55" t="s">
        <v>4</v>
      </c>
      <c r="R98" s="53"/>
      <c r="S98" s="53"/>
      <c r="T98" s="55" t="s">
        <v>4</v>
      </c>
      <c r="U98" s="37"/>
      <c r="V98" s="55" t="s">
        <v>4</v>
      </c>
      <c r="W98" s="37"/>
      <c r="X98" s="37" t="s">
        <v>869</v>
      </c>
      <c r="Y98" s="55" t="s">
        <v>4</v>
      </c>
      <c r="Z98" s="55" t="s">
        <v>4</v>
      </c>
      <c r="AA98" s="55" t="s">
        <v>4</v>
      </c>
      <c r="AB98" s="37" t="s">
        <v>391</v>
      </c>
      <c r="AC98" s="28"/>
      <c r="AD98" s="24"/>
      <c r="AE98" s="24"/>
    </row>
    <row r="99">
      <c r="A99" s="25"/>
      <c r="B99" s="53" t="s">
        <v>453</v>
      </c>
      <c r="C99" s="53">
        <v>7.762822074E9</v>
      </c>
      <c r="D99" s="53">
        <v>28.0</v>
      </c>
      <c r="E99" s="55" t="s">
        <v>367</v>
      </c>
      <c r="F99" s="53" t="s">
        <v>1074</v>
      </c>
      <c r="G99" s="53"/>
      <c r="H99" s="53" t="s">
        <v>375</v>
      </c>
      <c r="I99" s="53" t="s">
        <v>1066</v>
      </c>
      <c r="J99" s="53" t="s">
        <v>377</v>
      </c>
      <c r="K99" s="26" t="s">
        <v>1058</v>
      </c>
      <c r="L99" s="37" t="s">
        <v>1059</v>
      </c>
      <c r="M99" s="53" t="s">
        <v>1061</v>
      </c>
      <c r="N99" s="53" t="s">
        <v>1114</v>
      </c>
      <c r="O99" s="56" t="s">
        <v>9</v>
      </c>
      <c r="P99" s="55" t="s">
        <v>4</v>
      </c>
      <c r="Q99" s="55" t="s">
        <v>380</v>
      </c>
      <c r="R99" s="53"/>
      <c r="S99" s="53"/>
      <c r="T99" s="55" t="s">
        <v>4</v>
      </c>
      <c r="U99" s="37"/>
      <c r="V99" s="55" t="s">
        <v>4</v>
      </c>
      <c r="W99" s="37"/>
      <c r="X99" s="37" t="s">
        <v>869</v>
      </c>
      <c r="Y99" s="55" t="s">
        <v>4</v>
      </c>
      <c r="Z99" s="55" t="s">
        <v>4</v>
      </c>
      <c r="AA99" s="55" t="s">
        <v>4</v>
      </c>
      <c r="AB99" s="37" t="s">
        <v>391</v>
      </c>
      <c r="AC99" s="28"/>
      <c r="AD99" s="24"/>
      <c r="AE99" s="24"/>
    </row>
    <row r="100">
      <c r="A100" s="25"/>
      <c r="B100" s="53" t="s">
        <v>98</v>
      </c>
      <c r="C100" s="53">
        <v>6.204145586E9</v>
      </c>
      <c r="D100" s="53">
        <v>35.0</v>
      </c>
      <c r="E100" s="55" t="s">
        <v>367</v>
      </c>
      <c r="F100" s="53" t="s">
        <v>1115</v>
      </c>
      <c r="G100" s="53"/>
      <c r="H100" s="53" t="s">
        <v>518</v>
      </c>
      <c r="I100" s="53"/>
      <c r="J100" s="53" t="s">
        <v>518</v>
      </c>
      <c r="K100" s="26" t="s">
        <v>1116</v>
      </c>
      <c r="L100" s="37" t="s">
        <v>1059</v>
      </c>
      <c r="M100" s="53"/>
      <c r="N100" s="53" t="s">
        <v>1117</v>
      </c>
      <c r="O100" s="56" t="s">
        <v>9</v>
      </c>
      <c r="P100" s="55" t="s">
        <v>380</v>
      </c>
      <c r="Q100" s="55" t="s">
        <v>380</v>
      </c>
      <c r="R100" s="53"/>
      <c r="S100" s="53"/>
      <c r="T100" s="55" t="s">
        <v>380</v>
      </c>
      <c r="U100" s="37"/>
      <c r="V100" s="55" t="s">
        <v>380</v>
      </c>
      <c r="W100" s="37"/>
      <c r="X100" s="37" t="s">
        <v>946</v>
      </c>
      <c r="Y100" s="55" t="s">
        <v>4</v>
      </c>
      <c r="Z100" s="55" t="s">
        <v>380</v>
      </c>
      <c r="AA100" s="55" t="s">
        <v>4</v>
      </c>
      <c r="AB100" s="37" t="s">
        <v>391</v>
      </c>
      <c r="AC100" s="17" t="s">
        <v>1118</v>
      </c>
      <c r="AD100" s="24"/>
      <c r="AE100" s="24"/>
    </row>
    <row r="101">
      <c r="A101" s="25"/>
      <c r="B101" s="53" t="s">
        <v>1119</v>
      </c>
      <c r="C101" s="53">
        <v>8.294364226E9</v>
      </c>
      <c r="D101" s="53">
        <v>22.0</v>
      </c>
      <c r="E101" s="55" t="s">
        <v>367</v>
      </c>
      <c r="F101" s="53" t="s">
        <v>382</v>
      </c>
      <c r="G101" s="53"/>
      <c r="H101" s="53" t="s">
        <v>375</v>
      </c>
      <c r="I101" s="53" t="s">
        <v>926</v>
      </c>
      <c r="J101" s="53" t="s">
        <v>384</v>
      </c>
      <c r="K101" s="26" t="s">
        <v>1058</v>
      </c>
      <c r="L101" s="37" t="s">
        <v>1059</v>
      </c>
      <c r="M101" s="53" t="s">
        <v>1112</v>
      </c>
      <c r="N101" s="53" t="s">
        <v>1120</v>
      </c>
      <c r="O101" s="56" t="s">
        <v>9</v>
      </c>
      <c r="P101" s="55" t="s">
        <v>4</v>
      </c>
      <c r="Q101" s="55" t="s">
        <v>380</v>
      </c>
      <c r="R101" s="53"/>
      <c r="S101" s="53"/>
      <c r="T101" s="55" t="s">
        <v>4</v>
      </c>
      <c r="U101" s="37" t="s">
        <v>1121</v>
      </c>
      <c r="V101" s="55" t="s">
        <v>4</v>
      </c>
      <c r="W101" s="37" t="s">
        <v>1122</v>
      </c>
      <c r="X101" s="37" t="s">
        <v>869</v>
      </c>
      <c r="Y101" s="55" t="s">
        <v>4</v>
      </c>
      <c r="Z101" s="55" t="s">
        <v>380</v>
      </c>
      <c r="AA101" s="55" t="s">
        <v>4</v>
      </c>
      <c r="AB101" s="37" t="s">
        <v>391</v>
      </c>
      <c r="AC101" s="28"/>
      <c r="AD101" s="24"/>
      <c r="AE101" s="24"/>
    </row>
    <row r="102">
      <c r="A102" s="25"/>
      <c r="B102" s="53" t="s">
        <v>1123</v>
      </c>
      <c r="C102" s="53">
        <v>7.050666705E9</v>
      </c>
      <c r="D102" s="53">
        <v>24.0</v>
      </c>
      <c r="E102" s="55" t="s">
        <v>367</v>
      </c>
      <c r="F102" s="53" t="s">
        <v>441</v>
      </c>
      <c r="G102" s="53"/>
      <c r="H102" s="53" t="s">
        <v>375</v>
      </c>
      <c r="I102" s="53" t="s">
        <v>418</v>
      </c>
      <c r="J102" s="53" t="s">
        <v>1124</v>
      </c>
      <c r="K102" s="26" t="s">
        <v>1058</v>
      </c>
      <c r="L102" s="37" t="s">
        <v>1059</v>
      </c>
      <c r="M102" s="53" t="s">
        <v>1112</v>
      </c>
      <c r="N102" s="53" t="s">
        <v>1125</v>
      </c>
      <c r="O102" s="56" t="s">
        <v>9</v>
      </c>
      <c r="P102" s="55" t="s">
        <v>4</v>
      </c>
      <c r="Q102" s="55" t="s">
        <v>4</v>
      </c>
      <c r="R102" s="53"/>
      <c r="S102" s="53"/>
      <c r="T102" s="55" t="s">
        <v>380</v>
      </c>
      <c r="U102" s="37"/>
      <c r="V102" s="55" t="s">
        <v>380</v>
      </c>
      <c r="W102" s="37"/>
      <c r="X102" s="37" t="s">
        <v>869</v>
      </c>
      <c r="Y102" s="55" t="s">
        <v>4</v>
      </c>
      <c r="Z102" s="55" t="s">
        <v>4</v>
      </c>
      <c r="AA102" s="55" t="s">
        <v>4</v>
      </c>
      <c r="AB102" s="37" t="s">
        <v>391</v>
      </c>
      <c r="AC102" s="28"/>
      <c r="AD102" s="24"/>
      <c r="AE102" s="24"/>
    </row>
    <row r="103" hidden="1">
      <c r="A103" s="25"/>
      <c r="B103" s="53" t="s">
        <v>1126</v>
      </c>
      <c r="C103" s="53">
        <v>9.065032392E9</v>
      </c>
      <c r="D103" s="53"/>
      <c r="E103" s="55"/>
      <c r="F103" s="53"/>
      <c r="G103" s="53"/>
      <c r="H103" s="53"/>
      <c r="I103" s="53"/>
      <c r="J103" s="53"/>
      <c r="K103" s="19"/>
      <c r="L103" s="37" t="s">
        <v>1059</v>
      </c>
      <c r="M103" s="53"/>
      <c r="N103" s="53"/>
      <c r="O103" s="56" t="s">
        <v>27</v>
      </c>
      <c r="P103" s="55"/>
      <c r="Q103" s="55"/>
      <c r="R103" s="53"/>
      <c r="S103" s="53"/>
      <c r="T103" s="55"/>
      <c r="U103" s="37"/>
      <c r="V103" s="55"/>
      <c r="W103" s="37"/>
      <c r="X103" s="37"/>
      <c r="Y103" s="55"/>
      <c r="Z103" s="55"/>
      <c r="AA103" s="55"/>
      <c r="AB103" s="37"/>
      <c r="AC103" s="28"/>
      <c r="AD103" s="24"/>
      <c r="AE103" s="24"/>
    </row>
    <row r="104" hidden="1">
      <c r="A104" s="25"/>
      <c r="B104" s="53" t="s">
        <v>1127</v>
      </c>
      <c r="C104" s="53">
        <v>9.298014227E9</v>
      </c>
      <c r="D104" s="53"/>
      <c r="E104" s="55"/>
      <c r="F104" s="53"/>
      <c r="G104" s="53"/>
      <c r="H104" s="53"/>
      <c r="I104" s="53"/>
      <c r="J104" s="53"/>
      <c r="K104" s="19"/>
      <c r="L104" s="37" t="s">
        <v>1059</v>
      </c>
      <c r="M104" s="53"/>
      <c r="N104" s="53"/>
      <c r="O104" s="56" t="s">
        <v>27</v>
      </c>
      <c r="P104" s="55"/>
      <c r="Q104" s="55"/>
      <c r="R104" s="53"/>
      <c r="S104" s="53"/>
      <c r="T104" s="55"/>
      <c r="U104" s="37"/>
      <c r="V104" s="55"/>
      <c r="W104" s="37"/>
      <c r="X104" s="37"/>
      <c r="Y104" s="55"/>
      <c r="Z104" s="55"/>
      <c r="AA104" s="55"/>
      <c r="AB104" s="37"/>
      <c r="AC104" s="17" t="s">
        <v>916</v>
      </c>
      <c r="AD104" s="24"/>
      <c r="AE104" s="24"/>
    </row>
    <row r="105" hidden="1">
      <c r="A105" s="25"/>
      <c r="B105" s="53" t="s">
        <v>1128</v>
      </c>
      <c r="C105" s="53">
        <v>7.372872439E9</v>
      </c>
      <c r="D105" s="53"/>
      <c r="E105" s="55"/>
      <c r="F105" s="53"/>
      <c r="G105" s="53"/>
      <c r="H105" s="53"/>
      <c r="I105" s="53"/>
      <c r="J105" s="53"/>
      <c r="K105" s="19"/>
      <c r="L105" s="37" t="s">
        <v>1059</v>
      </c>
      <c r="M105" s="53"/>
      <c r="N105" s="53"/>
      <c r="O105" s="56" t="s">
        <v>13</v>
      </c>
      <c r="P105" s="55"/>
      <c r="Q105" s="55"/>
      <c r="R105" s="53"/>
      <c r="S105" s="53"/>
      <c r="T105" s="55"/>
      <c r="U105" s="37"/>
      <c r="V105" s="55"/>
      <c r="W105" s="37"/>
      <c r="X105" s="37"/>
      <c r="Y105" s="55"/>
      <c r="Z105" s="55"/>
      <c r="AA105" s="55"/>
      <c r="AB105" s="37"/>
      <c r="AC105" s="28"/>
      <c r="AD105" s="24"/>
      <c r="AE105" s="24"/>
    </row>
    <row r="106">
      <c r="A106" s="25"/>
      <c r="B106" s="53" t="s">
        <v>1129</v>
      </c>
      <c r="C106" s="53">
        <v>6.206658148E9</v>
      </c>
      <c r="D106" s="53">
        <v>28.0</v>
      </c>
      <c r="E106" s="55" t="s">
        <v>367</v>
      </c>
      <c r="F106" s="53"/>
      <c r="G106" s="53"/>
      <c r="H106" s="53" t="s">
        <v>375</v>
      </c>
      <c r="I106" s="53" t="s">
        <v>1130</v>
      </c>
      <c r="J106" s="53" t="s">
        <v>1131</v>
      </c>
      <c r="K106" s="26" t="s">
        <v>1058</v>
      </c>
      <c r="L106" s="37" t="s">
        <v>1059</v>
      </c>
      <c r="M106" s="53" t="s">
        <v>1068</v>
      </c>
      <c r="N106" s="53" t="s">
        <v>1132</v>
      </c>
      <c r="O106" s="56" t="s">
        <v>9</v>
      </c>
      <c r="P106" s="55" t="s">
        <v>4</v>
      </c>
      <c r="Q106" s="55" t="s">
        <v>380</v>
      </c>
      <c r="R106" s="53"/>
      <c r="S106" s="53"/>
      <c r="T106" s="55" t="s">
        <v>380</v>
      </c>
      <c r="U106" s="37"/>
      <c r="V106" s="55" t="s">
        <v>380</v>
      </c>
      <c r="W106" s="37"/>
      <c r="X106" s="37" t="s">
        <v>869</v>
      </c>
      <c r="Y106" s="55" t="s">
        <v>4</v>
      </c>
      <c r="Z106" s="55" t="s">
        <v>4</v>
      </c>
      <c r="AA106" s="55" t="s">
        <v>4</v>
      </c>
      <c r="AB106" s="37" t="s">
        <v>391</v>
      </c>
      <c r="AC106" s="28"/>
      <c r="AD106" s="24"/>
      <c r="AE106" s="24"/>
    </row>
    <row r="107">
      <c r="A107" s="25"/>
      <c r="B107" s="53" t="s">
        <v>1133</v>
      </c>
      <c r="C107" s="53">
        <v>9.771145018E9</v>
      </c>
      <c r="D107" s="53">
        <v>60.0</v>
      </c>
      <c r="E107" s="55" t="s">
        <v>367</v>
      </c>
      <c r="F107" s="53" t="s">
        <v>374</v>
      </c>
      <c r="G107" s="53"/>
      <c r="H107" s="53" t="s">
        <v>375</v>
      </c>
      <c r="I107" s="53" t="s">
        <v>926</v>
      </c>
      <c r="J107" s="53" t="s">
        <v>377</v>
      </c>
      <c r="K107" s="26" t="s">
        <v>1058</v>
      </c>
      <c r="L107" s="37" t="s">
        <v>1059</v>
      </c>
      <c r="M107" s="53" t="s">
        <v>1068</v>
      </c>
      <c r="N107" s="53" t="s">
        <v>1061</v>
      </c>
      <c r="O107" s="56" t="s">
        <v>9</v>
      </c>
      <c r="P107" s="55" t="s">
        <v>4</v>
      </c>
      <c r="Q107" s="55" t="s">
        <v>4</v>
      </c>
      <c r="R107" s="53" t="s">
        <v>867</v>
      </c>
      <c r="S107" s="53" t="s">
        <v>652</v>
      </c>
      <c r="T107" s="55" t="s">
        <v>4</v>
      </c>
      <c r="U107" s="37"/>
      <c r="V107" s="55" t="s">
        <v>4</v>
      </c>
      <c r="W107" s="37"/>
      <c r="X107" s="37"/>
      <c r="Y107" s="55" t="s">
        <v>4</v>
      </c>
      <c r="Z107" s="55" t="s">
        <v>4</v>
      </c>
      <c r="AA107" s="55" t="s">
        <v>4</v>
      </c>
      <c r="AB107" s="37" t="s">
        <v>391</v>
      </c>
      <c r="AC107" s="28"/>
      <c r="AD107" s="24"/>
      <c r="AE107" s="24"/>
    </row>
    <row r="108">
      <c r="A108" s="25"/>
      <c r="B108" s="53" t="s">
        <v>1134</v>
      </c>
      <c r="C108" s="53">
        <v>9.162937438E9</v>
      </c>
      <c r="D108" s="53">
        <v>30.0</v>
      </c>
      <c r="E108" s="55" t="s">
        <v>367</v>
      </c>
      <c r="F108" s="53"/>
      <c r="G108" s="53"/>
      <c r="H108" s="53" t="s">
        <v>375</v>
      </c>
      <c r="I108" s="53"/>
      <c r="J108" s="53"/>
      <c r="K108" s="26" t="s">
        <v>1058</v>
      </c>
      <c r="L108" s="37" t="s">
        <v>1059</v>
      </c>
      <c r="M108" s="53" t="s">
        <v>1068</v>
      </c>
      <c r="N108" s="53" t="s">
        <v>1061</v>
      </c>
      <c r="O108" s="56" t="s">
        <v>9</v>
      </c>
      <c r="P108" s="55" t="s">
        <v>4</v>
      </c>
      <c r="Q108" s="55" t="s">
        <v>380</v>
      </c>
      <c r="R108" s="53"/>
      <c r="S108" s="53"/>
      <c r="T108" s="55" t="s">
        <v>4</v>
      </c>
      <c r="U108" s="37" t="s">
        <v>1121</v>
      </c>
      <c r="V108" s="55" t="s">
        <v>4</v>
      </c>
      <c r="W108" s="37" t="s">
        <v>1135</v>
      </c>
      <c r="X108" s="37" t="s">
        <v>869</v>
      </c>
      <c r="Y108" s="55" t="s">
        <v>4</v>
      </c>
      <c r="Z108" s="55" t="s">
        <v>4</v>
      </c>
      <c r="AA108" s="55" t="s">
        <v>4</v>
      </c>
      <c r="AB108" s="37" t="s">
        <v>391</v>
      </c>
      <c r="AC108" s="28"/>
      <c r="AD108" s="24"/>
      <c r="AE108" s="24"/>
    </row>
    <row r="109">
      <c r="A109" s="25"/>
      <c r="B109" s="53" t="s">
        <v>89</v>
      </c>
      <c r="C109" s="53">
        <v>9.110956925E9</v>
      </c>
      <c r="D109" s="53">
        <v>46.0</v>
      </c>
      <c r="E109" s="55" t="s">
        <v>367</v>
      </c>
      <c r="F109" s="53" t="s">
        <v>374</v>
      </c>
      <c r="G109" s="53"/>
      <c r="H109" s="53" t="s">
        <v>375</v>
      </c>
      <c r="I109" s="53" t="s">
        <v>383</v>
      </c>
      <c r="J109" s="53" t="s">
        <v>1136</v>
      </c>
      <c r="K109" s="26" t="s">
        <v>1058</v>
      </c>
      <c r="L109" s="37" t="s">
        <v>1059</v>
      </c>
      <c r="M109" s="53" t="s">
        <v>1068</v>
      </c>
      <c r="N109" s="53" t="s">
        <v>1137</v>
      </c>
      <c r="O109" s="56" t="s">
        <v>9</v>
      </c>
      <c r="P109" s="55" t="s">
        <v>4</v>
      </c>
      <c r="Q109" s="55" t="s">
        <v>4</v>
      </c>
      <c r="R109" s="53" t="s">
        <v>444</v>
      </c>
      <c r="S109" s="53"/>
      <c r="T109" s="55" t="s">
        <v>4</v>
      </c>
      <c r="U109" s="37" t="s">
        <v>768</v>
      </c>
      <c r="V109" s="55" t="s">
        <v>380</v>
      </c>
      <c r="W109" s="37"/>
      <c r="X109" s="37" t="s">
        <v>869</v>
      </c>
      <c r="Y109" s="55" t="s">
        <v>4</v>
      </c>
      <c r="Z109" s="55" t="s">
        <v>4</v>
      </c>
      <c r="AA109" s="55" t="s">
        <v>4</v>
      </c>
      <c r="AB109" s="37" t="s">
        <v>391</v>
      </c>
      <c r="AC109" s="28"/>
      <c r="AD109" s="24"/>
      <c r="AE109" s="24"/>
    </row>
    <row r="110" hidden="1">
      <c r="A110" s="25"/>
      <c r="B110" s="53" t="s">
        <v>1138</v>
      </c>
      <c r="C110" s="53">
        <v>6.200375751E9</v>
      </c>
      <c r="D110" s="53"/>
      <c r="E110" s="55"/>
      <c r="F110" s="53"/>
      <c r="G110" s="53"/>
      <c r="H110" s="53"/>
      <c r="I110" s="53"/>
      <c r="J110" s="53"/>
      <c r="K110" s="19"/>
      <c r="L110" s="37" t="s">
        <v>1059</v>
      </c>
      <c r="M110" s="53"/>
      <c r="N110" s="53"/>
      <c r="O110" s="56" t="s">
        <v>54</v>
      </c>
      <c r="P110" s="55"/>
      <c r="Q110" s="55"/>
      <c r="R110" s="53"/>
      <c r="S110" s="53"/>
      <c r="T110" s="55"/>
      <c r="U110" s="37"/>
      <c r="V110" s="55"/>
      <c r="W110" s="37"/>
      <c r="X110" s="37"/>
      <c r="Y110" s="55"/>
      <c r="Z110" s="55"/>
      <c r="AA110" s="55"/>
      <c r="AB110" s="37"/>
      <c r="AC110" s="28"/>
      <c r="AD110" s="24"/>
      <c r="AE110" s="24"/>
    </row>
    <row r="111">
      <c r="A111" s="25"/>
      <c r="B111" s="53" t="s">
        <v>1139</v>
      </c>
      <c r="C111" s="53">
        <v>7.654886047E9</v>
      </c>
      <c r="D111" s="53">
        <v>27.0</v>
      </c>
      <c r="E111" s="55" t="s">
        <v>367</v>
      </c>
      <c r="F111" s="53"/>
      <c r="G111" s="53"/>
      <c r="H111" s="53" t="s">
        <v>518</v>
      </c>
      <c r="I111" s="53" t="s">
        <v>804</v>
      </c>
      <c r="J111" s="53" t="s">
        <v>1140</v>
      </c>
      <c r="K111" s="26" t="s">
        <v>1058</v>
      </c>
      <c r="L111" s="37" t="s">
        <v>1059</v>
      </c>
      <c r="M111" s="53" t="s">
        <v>1068</v>
      </c>
      <c r="N111" s="53" t="s">
        <v>1061</v>
      </c>
      <c r="O111" s="56" t="s">
        <v>9</v>
      </c>
      <c r="P111" s="55" t="s">
        <v>4</v>
      </c>
      <c r="Q111" s="55" t="s">
        <v>4</v>
      </c>
      <c r="R111" s="53" t="s">
        <v>444</v>
      </c>
      <c r="S111" s="53" t="s">
        <v>1141</v>
      </c>
      <c r="T111" s="55" t="s">
        <v>4</v>
      </c>
      <c r="U111" s="37" t="s">
        <v>1142</v>
      </c>
      <c r="V111" s="55" t="s">
        <v>4</v>
      </c>
      <c r="W111" s="37" t="s">
        <v>1143</v>
      </c>
      <c r="X111" s="37" t="s">
        <v>869</v>
      </c>
      <c r="Y111" s="55" t="s">
        <v>4</v>
      </c>
      <c r="Z111" s="55" t="s">
        <v>4</v>
      </c>
      <c r="AA111" s="55" t="s">
        <v>4</v>
      </c>
      <c r="AB111" s="37" t="s">
        <v>391</v>
      </c>
      <c r="AC111" s="28"/>
      <c r="AD111" s="24"/>
      <c r="AE111" s="24"/>
    </row>
    <row r="112" hidden="1">
      <c r="A112" s="25"/>
      <c r="B112" s="57" t="s">
        <v>1144</v>
      </c>
      <c r="C112" s="53">
        <v>8.521201092E9</v>
      </c>
      <c r="D112" s="53"/>
      <c r="E112" s="55"/>
      <c r="F112" s="53"/>
      <c r="G112" s="53"/>
      <c r="H112" s="53"/>
      <c r="I112" s="53"/>
      <c r="J112" s="53"/>
      <c r="K112" s="19"/>
      <c r="L112" s="37" t="s">
        <v>1059</v>
      </c>
      <c r="M112" s="53"/>
      <c r="N112" s="53"/>
      <c r="O112" s="56" t="s">
        <v>9</v>
      </c>
      <c r="P112" s="55"/>
      <c r="Q112" s="55"/>
      <c r="R112" s="53"/>
      <c r="S112" s="53"/>
      <c r="T112" s="55"/>
      <c r="U112" s="37"/>
      <c r="V112" s="55"/>
      <c r="W112" s="37"/>
      <c r="X112" s="37"/>
      <c r="Y112" s="55"/>
      <c r="Z112" s="55"/>
      <c r="AA112" s="55"/>
      <c r="AB112" s="37"/>
      <c r="AC112" s="17" t="s">
        <v>1145</v>
      </c>
      <c r="AD112" s="24"/>
      <c r="AE112" s="24"/>
    </row>
    <row r="113" hidden="1">
      <c r="A113" s="25"/>
      <c r="B113" s="53" t="s">
        <v>1146</v>
      </c>
      <c r="C113" s="53">
        <v>8.084565771E9</v>
      </c>
      <c r="D113" s="53"/>
      <c r="E113" s="55"/>
      <c r="F113" s="53"/>
      <c r="G113" s="53"/>
      <c r="H113" s="53"/>
      <c r="I113" s="53"/>
      <c r="J113" s="53"/>
      <c r="K113" s="19"/>
      <c r="L113" s="37" t="s">
        <v>1059</v>
      </c>
      <c r="M113" s="53"/>
      <c r="N113" s="53"/>
      <c r="O113" s="56" t="s">
        <v>27</v>
      </c>
      <c r="P113" s="55"/>
      <c r="Q113" s="55"/>
      <c r="R113" s="53"/>
      <c r="S113" s="53"/>
      <c r="T113" s="55"/>
      <c r="U113" s="37"/>
      <c r="V113" s="55"/>
      <c r="W113" s="37"/>
      <c r="X113" s="37"/>
      <c r="Y113" s="55"/>
      <c r="Z113" s="55"/>
      <c r="AA113" s="55"/>
      <c r="AB113" s="37"/>
      <c r="AC113" s="28"/>
      <c r="AD113" s="24"/>
      <c r="AE113" s="24"/>
    </row>
    <row r="114" hidden="1">
      <c r="A114" s="25"/>
      <c r="B114" s="53" t="s">
        <v>1147</v>
      </c>
      <c r="C114" s="53">
        <v>9.555937428E9</v>
      </c>
      <c r="D114" s="53"/>
      <c r="E114" s="55"/>
      <c r="F114" s="53"/>
      <c r="G114" s="53"/>
      <c r="H114" s="53"/>
      <c r="I114" s="53"/>
      <c r="J114" s="53"/>
      <c r="K114" s="19"/>
      <c r="L114" s="37" t="s">
        <v>1059</v>
      </c>
      <c r="M114" s="53"/>
      <c r="N114" s="53"/>
      <c r="O114" s="56" t="s">
        <v>27</v>
      </c>
      <c r="P114" s="55"/>
      <c r="Q114" s="55"/>
      <c r="R114" s="53"/>
      <c r="S114" s="53"/>
      <c r="T114" s="55"/>
      <c r="U114" s="37"/>
      <c r="V114" s="55"/>
      <c r="W114" s="37"/>
      <c r="X114" s="37"/>
      <c r="Y114" s="55"/>
      <c r="Z114" s="55"/>
      <c r="AA114" s="55"/>
      <c r="AB114" s="37"/>
      <c r="AC114" s="28"/>
      <c r="AD114" s="24"/>
      <c r="AE114" s="24"/>
    </row>
    <row r="115" hidden="1">
      <c r="A115" s="25"/>
      <c r="B115" s="53" t="s">
        <v>1148</v>
      </c>
      <c r="C115" s="53">
        <v>9.135066161E9</v>
      </c>
      <c r="D115" s="53"/>
      <c r="E115" s="55"/>
      <c r="F115" s="53"/>
      <c r="G115" s="53"/>
      <c r="H115" s="53"/>
      <c r="I115" s="53"/>
      <c r="J115" s="53"/>
      <c r="K115" s="19"/>
      <c r="L115" s="37" t="s">
        <v>1059</v>
      </c>
      <c r="M115" s="53"/>
      <c r="N115" s="53"/>
      <c r="O115" s="56" t="s">
        <v>13</v>
      </c>
      <c r="P115" s="55"/>
      <c r="Q115" s="55"/>
      <c r="R115" s="53"/>
      <c r="S115" s="53"/>
      <c r="T115" s="55"/>
      <c r="U115" s="37"/>
      <c r="V115" s="55"/>
      <c r="W115" s="37"/>
      <c r="X115" s="37"/>
      <c r="Y115" s="55"/>
      <c r="Z115" s="55"/>
      <c r="AA115" s="55"/>
      <c r="AB115" s="37"/>
      <c r="AC115" s="28"/>
      <c r="AD115" s="24"/>
      <c r="AE115" s="24"/>
    </row>
    <row r="116" hidden="1">
      <c r="A116" s="25"/>
      <c r="B116" s="53" t="s">
        <v>1149</v>
      </c>
      <c r="C116" s="53">
        <v>8.298014227E9</v>
      </c>
      <c r="D116" s="53"/>
      <c r="E116" s="55"/>
      <c r="F116" s="53"/>
      <c r="G116" s="53"/>
      <c r="H116" s="53"/>
      <c r="I116" s="53"/>
      <c r="J116" s="53"/>
      <c r="K116" s="19"/>
      <c r="L116" s="37" t="s">
        <v>1059</v>
      </c>
      <c r="M116" s="58"/>
      <c r="N116" s="58"/>
      <c r="O116" s="56" t="s">
        <v>27</v>
      </c>
      <c r="P116" s="55"/>
      <c r="Q116" s="55"/>
      <c r="R116" s="53"/>
      <c r="S116" s="53"/>
      <c r="T116" s="55"/>
      <c r="U116" s="37"/>
      <c r="V116" s="55"/>
      <c r="W116" s="37"/>
      <c r="X116" s="37"/>
      <c r="Y116" s="55"/>
      <c r="Z116" s="55"/>
      <c r="AA116" s="55"/>
      <c r="AB116" s="37"/>
      <c r="AC116" s="28"/>
      <c r="AD116" s="60"/>
      <c r="AE116" s="60"/>
    </row>
    <row r="117">
      <c r="A117" s="25"/>
      <c r="B117" s="53" t="s">
        <v>1150</v>
      </c>
      <c r="C117" s="53">
        <v>8.676019903E9</v>
      </c>
      <c r="D117" s="53">
        <v>98.0</v>
      </c>
      <c r="E117" s="55" t="s">
        <v>367</v>
      </c>
      <c r="F117" s="53" t="s">
        <v>429</v>
      </c>
      <c r="G117" s="53"/>
      <c r="H117" s="53" t="s">
        <v>375</v>
      </c>
      <c r="I117" s="53" t="s">
        <v>663</v>
      </c>
      <c r="J117" s="53" t="s">
        <v>1057</v>
      </c>
      <c r="K117" s="26" t="s">
        <v>1058</v>
      </c>
      <c r="L117" s="37" t="s">
        <v>1059</v>
      </c>
      <c r="M117" s="53" t="s">
        <v>1060</v>
      </c>
      <c r="N117" s="53" t="s">
        <v>1061</v>
      </c>
      <c r="O117" s="56" t="s">
        <v>9</v>
      </c>
      <c r="P117" s="55" t="s">
        <v>4</v>
      </c>
      <c r="Q117" s="55" t="s">
        <v>4</v>
      </c>
      <c r="R117" s="53" t="s">
        <v>867</v>
      </c>
      <c r="S117" s="53" t="s">
        <v>652</v>
      </c>
      <c r="T117" s="55" t="s">
        <v>4</v>
      </c>
      <c r="U117" s="37"/>
      <c r="V117" s="55" t="s">
        <v>4</v>
      </c>
      <c r="W117" s="37"/>
      <c r="X117" s="37" t="s">
        <v>869</v>
      </c>
      <c r="Y117" s="55" t="s">
        <v>4</v>
      </c>
      <c r="Z117" s="55" t="s">
        <v>4</v>
      </c>
      <c r="AA117" s="55" t="s">
        <v>4</v>
      </c>
      <c r="AB117" s="37" t="s">
        <v>391</v>
      </c>
      <c r="AC117" s="28"/>
      <c r="AD117" s="24"/>
      <c r="AE117" s="24"/>
    </row>
    <row r="118">
      <c r="A118" s="25"/>
      <c r="B118" s="53" t="s">
        <v>1151</v>
      </c>
      <c r="C118" s="53">
        <v>9.031965995E9</v>
      </c>
      <c r="D118" s="53"/>
      <c r="E118" s="55"/>
      <c r="F118" s="53"/>
      <c r="G118" s="53"/>
      <c r="H118" s="53"/>
      <c r="I118" s="53"/>
      <c r="J118" s="53"/>
      <c r="K118" s="19"/>
      <c r="L118" s="37" t="s">
        <v>1059</v>
      </c>
      <c r="M118" s="53"/>
      <c r="N118" s="53"/>
      <c r="O118" s="56" t="s">
        <v>9</v>
      </c>
      <c r="P118" s="55"/>
      <c r="Q118" s="55"/>
      <c r="R118" s="53"/>
      <c r="S118" s="53"/>
      <c r="T118" s="55"/>
      <c r="U118" s="37"/>
      <c r="V118" s="55"/>
      <c r="W118" s="37"/>
      <c r="X118" s="37"/>
      <c r="Y118" s="55"/>
      <c r="Z118" s="55"/>
      <c r="AA118" s="55"/>
      <c r="AB118" s="37" t="s">
        <v>391</v>
      </c>
      <c r="AC118" s="17" t="s">
        <v>1152</v>
      </c>
      <c r="AD118" s="24"/>
      <c r="AE118" s="24"/>
    </row>
    <row r="119" hidden="1">
      <c r="A119" s="25"/>
      <c r="B119" s="53" t="s">
        <v>1153</v>
      </c>
      <c r="C119" s="53">
        <v>7.643053695E9</v>
      </c>
      <c r="D119" s="53"/>
      <c r="E119" s="55"/>
      <c r="F119" s="53"/>
      <c r="G119" s="53"/>
      <c r="H119" s="53"/>
      <c r="I119" s="53"/>
      <c r="J119" s="53"/>
      <c r="K119" s="19"/>
      <c r="L119" s="37" t="s">
        <v>1059</v>
      </c>
      <c r="M119" s="53"/>
      <c r="N119" s="53"/>
      <c r="O119" s="56" t="s">
        <v>13</v>
      </c>
      <c r="P119" s="55"/>
      <c r="Q119" s="55"/>
      <c r="R119" s="53"/>
      <c r="S119" s="53"/>
      <c r="T119" s="55"/>
      <c r="U119" s="37"/>
      <c r="V119" s="55"/>
      <c r="W119" s="37"/>
      <c r="X119" s="37"/>
      <c r="Y119" s="55"/>
      <c r="Z119" s="55"/>
      <c r="AA119" s="55"/>
      <c r="AB119" s="37"/>
      <c r="AC119" s="28"/>
      <c r="AD119" s="24"/>
      <c r="AE119" s="24"/>
    </row>
    <row r="120">
      <c r="A120" s="25"/>
      <c r="B120" s="53" t="s">
        <v>1154</v>
      </c>
      <c r="C120" s="53">
        <v>7.520154067E9</v>
      </c>
      <c r="D120" s="53">
        <v>19.0</v>
      </c>
      <c r="E120" s="55" t="s">
        <v>367</v>
      </c>
      <c r="F120" s="53" t="s">
        <v>1074</v>
      </c>
      <c r="G120" s="53"/>
      <c r="H120" s="53" t="s">
        <v>375</v>
      </c>
      <c r="I120" s="53" t="s">
        <v>407</v>
      </c>
      <c r="J120" s="53" t="s">
        <v>1155</v>
      </c>
      <c r="K120" s="26" t="s">
        <v>1058</v>
      </c>
      <c r="L120" s="37" t="s">
        <v>1059</v>
      </c>
      <c r="M120" s="53" t="s">
        <v>1060</v>
      </c>
      <c r="N120" s="53" t="s">
        <v>1061</v>
      </c>
      <c r="O120" s="56" t="s">
        <v>9</v>
      </c>
      <c r="P120" s="55" t="s">
        <v>4</v>
      </c>
      <c r="Q120" s="55" t="s">
        <v>380</v>
      </c>
      <c r="R120" s="53"/>
      <c r="S120" s="53"/>
      <c r="T120" s="55" t="s">
        <v>380</v>
      </c>
      <c r="U120" s="37"/>
      <c r="V120" s="55" t="s">
        <v>380</v>
      </c>
      <c r="W120" s="37"/>
      <c r="X120" s="37" t="s">
        <v>869</v>
      </c>
      <c r="Y120" s="55" t="s">
        <v>4</v>
      </c>
      <c r="Z120" s="55" t="s">
        <v>4</v>
      </c>
      <c r="AA120" s="55" t="s">
        <v>4</v>
      </c>
      <c r="AB120" s="37" t="s">
        <v>391</v>
      </c>
      <c r="AC120" s="28"/>
      <c r="AD120" s="24"/>
      <c r="AE120" s="24"/>
    </row>
    <row r="121">
      <c r="A121" s="25"/>
      <c r="B121" s="53" t="s">
        <v>1156</v>
      </c>
      <c r="C121" s="53">
        <v>9.065032392E9</v>
      </c>
      <c r="D121" s="53">
        <v>18.0</v>
      </c>
      <c r="E121" s="55" t="s">
        <v>367</v>
      </c>
      <c r="F121" s="53" t="s">
        <v>1074</v>
      </c>
      <c r="G121" s="53"/>
      <c r="H121" s="53" t="s">
        <v>375</v>
      </c>
      <c r="I121" s="53" t="s">
        <v>1020</v>
      </c>
      <c r="J121" s="53" t="s">
        <v>1157</v>
      </c>
      <c r="K121" s="26" t="s">
        <v>1058</v>
      </c>
      <c r="L121" s="37" t="s">
        <v>1059</v>
      </c>
      <c r="M121" s="53" t="s">
        <v>1060</v>
      </c>
      <c r="N121" s="53" t="s">
        <v>1061</v>
      </c>
      <c r="O121" s="56" t="s">
        <v>9</v>
      </c>
      <c r="P121" s="55" t="s">
        <v>4</v>
      </c>
      <c r="Q121" s="55" t="s">
        <v>380</v>
      </c>
      <c r="R121" s="53"/>
      <c r="S121" s="53"/>
      <c r="T121" s="55" t="s">
        <v>380</v>
      </c>
      <c r="U121" s="37"/>
      <c r="V121" s="55" t="s">
        <v>380</v>
      </c>
      <c r="W121" s="37"/>
      <c r="X121" s="37" t="s">
        <v>869</v>
      </c>
      <c r="Y121" s="55" t="s">
        <v>4</v>
      </c>
      <c r="Z121" s="55" t="s">
        <v>4</v>
      </c>
      <c r="AA121" s="55" t="s">
        <v>4</v>
      </c>
      <c r="AB121" s="37" t="s">
        <v>391</v>
      </c>
      <c r="AC121" s="28"/>
      <c r="AD121" s="24"/>
      <c r="AE121" s="24"/>
    </row>
    <row r="122" hidden="1">
      <c r="A122" s="25"/>
      <c r="B122" s="53" t="s">
        <v>1126</v>
      </c>
      <c r="C122" s="53">
        <v>9.065032392E9</v>
      </c>
      <c r="D122" s="53"/>
      <c r="E122" s="55"/>
      <c r="F122" s="53"/>
      <c r="G122" s="53"/>
      <c r="H122" s="53"/>
      <c r="I122" s="53"/>
      <c r="J122" s="53"/>
      <c r="K122" s="19"/>
      <c r="L122" s="37" t="s">
        <v>1059</v>
      </c>
      <c r="M122" s="53"/>
      <c r="N122" s="53"/>
      <c r="O122" s="56"/>
      <c r="P122" s="55"/>
      <c r="Q122" s="55"/>
      <c r="R122" s="53"/>
      <c r="S122" s="53"/>
      <c r="T122" s="55"/>
      <c r="U122" s="37"/>
      <c r="V122" s="55"/>
      <c r="W122" s="37"/>
      <c r="X122" s="37"/>
      <c r="Y122" s="55"/>
      <c r="Z122" s="55"/>
      <c r="AA122" s="55"/>
      <c r="AB122" s="37"/>
      <c r="AC122" s="28"/>
      <c r="AD122" s="24"/>
      <c r="AE122" s="24"/>
    </row>
    <row r="123" hidden="1">
      <c r="A123" s="25"/>
      <c r="B123" s="53" t="s">
        <v>1139</v>
      </c>
      <c r="C123" s="53">
        <v>7.654886047E9</v>
      </c>
      <c r="D123" s="53"/>
      <c r="E123" s="55"/>
      <c r="F123" s="53"/>
      <c r="G123" s="53"/>
      <c r="H123" s="53"/>
      <c r="I123" s="53"/>
      <c r="J123" s="53"/>
      <c r="K123" s="19"/>
      <c r="L123" s="37" t="s">
        <v>1059</v>
      </c>
      <c r="M123" s="53"/>
      <c r="N123" s="53"/>
      <c r="O123" s="56" t="s">
        <v>13</v>
      </c>
      <c r="P123" s="55"/>
      <c r="Q123" s="55"/>
      <c r="R123" s="53"/>
      <c r="S123" s="53"/>
      <c r="T123" s="55"/>
      <c r="U123" s="37"/>
      <c r="V123" s="55"/>
      <c r="W123" s="37"/>
      <c r="X123" s="37"/>
      <c r="Y123" s="55"/>
      <c r="Z123" s="55"/>
      <c r="AA123" s="55"/>
      <c r="AB123" s="37"/>
      <c r="AC123" s="28"/>
      <c r="AD123" s="24"/>
      <c r="AE123" s="24"/>
    </row>
    <row r="124" hidden="1">
      <c r="A124" s="25"/>
      <c r="B124" s="53" t="s">
        <v>1158</v>
      </c>
      <c r="C124" s="53">
        <v>7.670713702E9</v>
      </c>
      <c r="D124" s="53"/>
      <c r="E124" s="55"/>
      <c r="F124" s="53"/>
      <c r="G124" s="53"/>
      <c r="H124" s="53"/>
      <c r="I124" s="53"/>
      <c r="J124" s="53"/>
      <c r="K124" s="19"/>
      <c r="L124" s="37" t="s">
        <v>1059</v>
      </c>
      <c r="M124" s="53"/>
      <c r="N124" s="53"/>
      <c r="O124" s="56" t="s">
        <v>30</v>
      </c>
      <c r="P124" s="55"/>
      <c r="Q124" s="55"/>
      <c r="R124" s="53"/>
      <c r="S124" s="53"/>
      <c r="T124" s="55"/>
      <c r="U124" s="37"/>
      <c r="V124" s="55"/>
      <c r="W124" s="37"/>
      <c r="X124" s="37"/>
      <c r="Y124" s="55"/>
      <c r="Z124" s="55"/>
      <c r="AA124" s="55"/>
      <c r="AB124" s="37"/>
      <c r="AC124" s="28"/>
      <c r="AD124" s="24"/>
      <c r="AE124" s="24"/>
    </row>
    <row r="125" hidden="1">
      <c r="A125" s="25"/>
      <c r="B125" s="53" t="s">
        <v>1159</v>
      </c>
      <c r="C125" s="53">
        <v>8.676923016E9</v>
      </c>
      <c r="D125" s="53"/>
      <c r="E125" s="55"/>
      <c r="F125" s="53"/>
      <c r="G125" s="53"/>
      <c r="H125" s="53"/>
      <c r="I125" s="53"/>
      <c r="J125" s="53"/>
      <c r="K125" s="19"/>
      <c r="L125" s="37" t="s">
        <v>1059</v>
      </c>
      <c r="M125" s="53"/>
      <c r="N125" s="53"/>
      <c r="O125" s="56" t="s">
        <v>13</v>
      </c>
      <c r="P125" s="55"/>
      <c r="Q125" s="55"/>
      <c r="R125" s="53"/>
      <c r="S125" s="53"/>
      <c r="T125" s="55"/>
      <c r="U125" s="37"/>
      <c r="V125" s="55"/>
      <c r="W125" s="37"/>
      <c r="X125" s="37"/>
      <c r="Y125" s="55"/>
      <c r="Z125" s="55"/>
      <c r="AA125" s="55"/>
      <c r="AB125" s="37"/>
      <c r="AC125" s="28"/>
      <c r="AD125" s="24"/>
      <c r="AE125" s="24"/>
    </row>
    <row r="126" hidden="1">
      <c r="A126" s="31"/>
      <c r="B126" s="53" t="s">
        <v>1160</v>
      </c>
      <c r="C126" s="53">
        <v>9.608143848E9</v>
      </c>
      <c r="D126" s="53"/>
      <c r="E126" s="55"/>
      <c r="F126" s="53"/>
      <c r="G126" s="53"/>
      <c r="H126" s="53"/>
      <c r="I126" s="53"/>
      <c r="J126" s="53"/>
      <c r="K126" s="19"/>
      <c r="L126" s="37" t="s">
        <v>1059</v>
      </c>
      <c r="M126" s="53"/>
      <c r="N126" s="53"/>
      <c r="O126" s="56" t="s">
        <v>23</v>
      </c>
      <c r="P126" s="55"/>
      <c r="Q126" s="55"/>
      <c r="R126" s="53"/>
      <c r="S126" s="53"/>
      <c r="T126" s="55"/>
      <c r="U126" s="37"/>
      <c r="V126" s="55"/>
      <c r="W126" s="37"/>
      <c r="X126" s="37"/>
      <c r="Y126" s="55"/>
      <c r="Z126" s="55"/>
      <c r="AA126" s="55"/>
      <c r="AB126" s="37"/>
      <c r="AC126" s="28"/>
      <c r="AD126" s="24"/>
      <c r="AE126" s="24"/>
    </row>
    <row r="128">
      <c r="A128" s="105" t="s">
        <v>1822</v>
      </c>
      <c r="B128" s="105" t="s">
        <v>1823</v>
      </c>
      <c r="C128" s="105" t="s">
        <v>1824</v>
      </c>
      <c r="D128" s="105" t="s">
        <v>1825</v>
      </c>
      <c r="E128" s="105" t="s">
        <v>391</v>
      </c>
      <c r="F128" s="105" t="s">
        <v>1826</v>
      </c>
      <c r="G128" s="105" t="s">
        <v>23</v>
      </c>
      <c r="H128" s="105" t="s">
        <v>13</v>
      </c>
      <c r="I128" s="105" t="s">
        <v>1827</v>
      </c>
      <c r="J128" s="105" t="s">
        <v>1828</v>
      </c>
      <c r="K128" s="105" t="s">
        <v>54</v>
      </c>
      <c r="L128" s="105" t="s">
        <v>3</v>
      </c>
      <c r="M128" s="128" t="s">
        <v>1829</v>
      </c>
      <c r="N128" s="105" t="s">
        <v>1830</v>
      </c>
    </row>
    <row r="129">
      <c r="A129" s="53" t="s">
        <v>1837</v>
      </c>
      <c r="B129" s="53" t="s">
        <v>1838</v>
      </c>
      <c r="C129" s="28">
        <v>58.0</v>
      </c>
      <c r="D129" s="17">
        <v>39.0</v>
      </c>
      <c r="E129" s="17">
        <v>37.0</v>
      </c>
      <c r="F129" s="17">
        <v>0.0</v>
      </c>
      <c r="G129" s="17">
        <v>4.0</v>
      </c>
      <c r="H129" s="28">
        <v>7.0</v>
      </c>
      <c r="I129" s="17">
        <v>6.0</v>
      </c>
      <c r="J129" s="17">
        <v>1.0</v>
      </c>
      <c r="K129" s="28">
        <v>1.0</v>
      </c>
      <c r="L129" s="95"/>
      <c r="M129" s="113">
        <v>45862.0</v>
      </c>
      <c r="N129" s="53" t="s">
        <v>1860</v>
      </c>
    </row>
  </sheetData>
  <autoFilter ref="$A$68:$AE$126">
    <filterColumn colId="27">
      <filters>
        <filter val="Verified"/>
      </filters>
    </filterColumn>
  </autoFilter>
  <mergeCells count="2">
    <mergeCell ref="A1:C5"/>
    <mergeCell ref="A69:A126"/>
  </mergeCells>
  <dataValidations>
    <dataValidation type="list" allowBlank="1" showErrorMessage="1" sqref="P69:Q126 T69:T126 V69:V126 Y69:AA126">
      <formula1>"Yes,NO"</formula1>
    </dataValidation>
    <dataValidation type="list" allowBlank="1" showErrorMessage="1" sqref="E69:E126">
      <formula1>"Male,Female"</formula1>
    </dataValidation>
    <dataValidation type="list" allowBlank="1" showErrorMessage="1" sqref="D7:D43 O69:O126">
      <formula1>"Connected,Call Back Later,Busy,Switch off,Not Received,Wrong No."</formula1>
    </dataValidation>
    <dataValidation type="list" allowBlank="1" showErrorMessage="1" sqref="E7:E43">
      <formula1>"CONFIRMED,NOT CONFIRMED"</formula1>
    </dataValidation>
    <dataValidation type="list" allowBlank="1" showErrorMessage="1" sqref="AB69:AB126">
      <formula1>"Verified,Not Verified"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1.38"/>
    <col customWidth="1" min="4" max="4" width="13.75"/>
    <col customWidth="1" min="7" max="7" width="14.63"/>
  </cols>
  <sheetData>
    <row r="1">
      <c r="A1" s="68" t="s">
        <v>1861</v>
      </c>
      <c r="D1" s="3"/>
      <c r="E1" s="3"/>
      <c r="F1" s="69"/>
    </row>
    <row r="2">
      <c r="D2" s="3"/>
      <c r="E2" s="3"/>
      <c r="F2" s="69"/>
    </row>
    <row r="3">
      <c r="D3" s="3"/>
      <c r="E3" s="3"/>
      <c r="F3" s="69"/>
    </row>
    <row r="4">
      <c r="D4" s="3"/>
      <c r="E4" s="3"/>
      <c r="F4" s="69"/>
    </row>
    <row r="5" ht="57.0" customHeight="1">
      <c r="D5" s="3"/>
      <c r="E5" s="3"/>
      <c r="F5" s="69"/>
    </row>
    <row r="6">
      <c r="A6" s="72" t="s">
        <v>5</v>
      </c>
      <c r="B6" s="72" t="s">
        <v>6</v>
      </c>
      <c r="C6" s="72" t="s">
        <v>7</v>
      </c>
      <c r="D6" s="73" t="s">
        <v>1858</v>
      </c>
      <c r="E6" s="74" t="s">
        <v>2</v>
      </c>
      <c r="F6" s="91" t="s">
        <v>3</v>
      </c>
      <c r="G6" s="73" t="s">
        <v>1862</v>
      </c>
      <c r="H6" s="74" t="s">
        <v>2</v>
      </c>
      <c r="I6" s="91" t="s">
        <v>3</v>
      </c>
    </row>
    <row r="7">
      <c r="A7" s="54">
        <v>1.0</v>
      </c>
      <c r="B7" s="53" t="s">
        <v>861</v>
      </c>
      <c r="C7" s="53">
        <v>8.651505002E9</v>
      </c>
      <c r="D7" s="79" t="s">
        <v>9</v>
      </c>
      <c r="E7" s="80" t="s">
        <v>1623</v>
      </c>
      <c r="F7" s="87"/>
      <c r="G7" s="79" t="s">
        <v>9</v>
      </c>
      <c r="H7" s="80" t="s">
        <v>1623</v>
      </c>
    </row>
    <row r="8">
      <c r="A8" s="54">
        <v>2.0</v>
      </c>
      <c r="B8" s="53" t="s">
        <v>870</v>
      </c>
      <c r="C8" s="53">
        <v>7.3690755E9</v>
      </c>
      <c r="D8" s="79" t="s">
        <v>9</v>
      </c>
      <c r="E8" s="80" t="s">
        <v>1623</v>
      </c>
      <c r="F8" s="87"/>
      <c r="G8" s="79" t="s">
        <v>9</v>
      </c>
      <c r="H8" s="80" t="s">
        <v>1623</v>
      </c>
    </row>
    <row r="9">
      <c r="A9" s="54">
        <v>3.0</v>
      </c>
      <c r="B9" s="53" t="s">
        <v>874</v>
      </c>
      <c r="C9" s="53">
        <v>9.117343385E9</v>
      </c>
      <c r="D9" s="79" t="s">
        <v>9</v>
      </c>
      <c r="E9" s="80" t="s">
        <v>1623</v>
      </c>
      <c r="F9" s="138"/>
      <c r="G9" s="79" t="s">
        <v>9</v>
      </c>
      <c r="H9" s="80" t="s">
        <v>1623</v>
      </c>
    </row>
    <row r="10">
      <c r="A10" s="54">
        <v>4.0</v>
      </c>
      <c r="B10" s="53" t="s">
        <v>878</v>
      </c>
      <c r="C10" s="54">
        <v>9.162641006E9</v>
      </c>
      <c r="D10" s="79" t="s">
        <v>9</v>
      </c>
      <c r="E10" s="80" t="s">
        <v>1623</v>
      </c>
      <c r="F10" s="87"/>
      <c r="G10" s="79" t="s">
        <v>9</v>
      </c>
      <c r="H10" s="80" t="s">
        <v>1623</v>
      </c>
    </row>
    <row r="11">
      <c r="A11" s="54">
        <v>5.0</v>
      </c>
      <c r="B11" s="53" t="s">
        <v>1863</v>
      </c>
      <c r="C11" s="53">
        <v>6.202721054E9</v>
      </c>
      <c r="D11" s="79" t="s">
        <v>9</v>
      </c>
      <c r="E11" s="80" t="s">
        <v>1623</v>
      </c>
      <c r="F11" s="87"/>
      <c r="G11" s="79" t="s">
        <v>9</v>
      </c>
      <c r="H11" s="80" t="s">
        <v>1623</v>
      </c>
    </row>
    <row r="12">
      <c r="A12" s="54">
        <v>6.0</v>
      </c>
      <c r="B12" s="53" t="s">
        <v>885</v>
      </c>
      <c r="C12" s="53">
        <v>9.931083299E9</v>
      </c>
      <c r="D12" s="79" t="s">
        <v>9</v>
      </c>
      <c r="E12" s="80" t="s">
        <v>1623</v>
      </c>
      <c r="F12" s="87"/>
      <c r="G12" s="79" t="s">
        <v>23</v>
      </c>
      <c r="H12" s="80"/>
    </row>
    <row r="13">
      <c r="A13" s="54">
        <v>7.0</v>
      </c>
      <c r="B13" s="53" t="s">
        <v>889</v>
      </c>
      <c r="C13" s="53">
        <v>7.002464047E9</v>
      </c>
      <c r="D13" s="79" t="s">
        <v>9</v>
      </c>
      <c r="E13" s="80" t="s">
        <v>1623</v>
      </c>
      <c r="F13" s="87"/>
      <c r="G13" s="79" t="s">
        <v>9</v>
      </c>
      <c r="H13" s="80" t="s">
        <v>1623</v>
      </c>
    </row>
    <row r="14">
      <c r="A14" s="54">
        <v>8.0</v>
      </c>
      <c r="B14" s="53" t="s">
        <v>892</v>
      </c>
      <c r="C14" s="53">
        <v>9.955438136E9</v>
      </c>
      <c r="D14" s="79" t="s">
        <v>9</v>
      </c>
      <c r="E14" s="80" t="s">
        <v>1623</v>
      </c>
      <c r="F14" s="138" t="s">
        <v>1864</v>
      </c>
      <c r="G14" s="79" t="s">
        <v>9</v>
      </c>
      <c r="H14" s="80" t="s">
        <v>1624</v>
      </c>
    </row>
    <row r="15">
      <c r="A15" s="54">
        <v>9.0</v>
      </c>
      <c r="B15" s="53" t="s">
        <v>894</v>
      </c>
      <c r="C15" s="53">
        <v>6.204151263E9</v>
      </c>
      <c r="D15" s="79" t="s">
        <v>9</v>
      </c>
      <c r="E15" s="80" t="s">
        <v>1623</v>
      </c>
      <c r="F15" s="87"/>
      <c r="G15" s="79" t="s">
        <v>23</v>
      </c>
      <c r="H15" s="80"/>
    </row>
    <row r="16">
      <c r="A16" s="54">
        <v>10.0</v>
      </c>
      <c r="B16" s="53" t="s">
        <v>96</v>
      </c>
      <c r="C16" s="53">
        <v>9.064978953E9</v>
      </c>
      <c r="D16" s="79" t="s">
        <v>9</v>
      </c>
      <c r="E16" s="80" t="s">
        <v>1623</v>
      </c>
      <c r="F16" s="87"/>
      <c r="G16" s="79" t="s">
        <v>9</v>
      </c>
      <c r="H16" s="80" t="s">
        <v>1623</v>
      </c>
      <c r="J16" s="39" t="s">
        <v>1855</v>
      </c>
    </row>
    <row r="17">
      <c r="A17" s="54">
        <v>11.0</v>
      </c>
      <c r="B17" s="53" t="s">
        <v>898</v>
      </c>
      <c r="C17" s="53">
        <v>9.576776815E9</v>
      </c>
      <c r="D17" s="79" t="s">
        <v>9</v>
      </c>
      <c r="E17" s="80" t="s">
        <v>1623</v>
      </c>
      <c r="F17" s="87"/>
      <c r="G17" s="79" t="s">
        <v>9</v>
      </c>
      <c r="H17" s="80" t="s">
        <v>1623</v>
      </c>
    </row>
    <row r="18">
      <c r="A18" s="54">
        <v>12.0</v>
      </c>
      <c r="B18" s="53" t="s">
        <v>901</v>
      </c>
      <c r="C18" s="53">
        <v>8.084104962E9</v>
      </c>
      <c r="D18" s="79" t="s">
        <v>9</v>
      </c>
      <c r="E18" s="80" t="s">
        <v>1623</v>
      </c>
      <c r="F18" s="87"/>
      <c r="G18" s="79" t="s">
        <v>23</v>
      </c>
      <c r="H18" s="80"/>
    </row>
    <row r="19">
      <c r="A19" s="54">
        <v>13.0</v>
      </c>
      <c r="B19" s="53" t="s">
        <v>905</v>
      </c>
      <c r="C19" s="53">
        <v>9.576772011E9</v>
      </c>
      <c r="D19" s="79" t="s">
        <v>9</v>
      </c>
      <c r="E19" s="80" t="s">
        <v>1623</v>
      </c>
      <c r="F19" s="87"/>
      <c r="G19" s="79" t="s">
        <v>9</v>
      </c>
      <c r="H19" s="80" t="s">
        <v>1623</v>
      </c>
    </row>
    <row r="20">
      <c r="A20" s="54">
        <v>14.0</v>
      </c>
      <c r="B20" s="53" t="s">
        <v>907</v>
      </c>
      <c r="C20" s="53">
        <v>9.90587773E9</v>
      </c>
      <c r="D20" s="79" t="s">
        <v>23</v>
      </c>
      <c r="E20" s="80" t="s">
        <v>1624</v>
      </c>
      <c r="F20" s="87"/>
      <c r="G20" s="79" t="s">
        <v>9</v>
      </c>
      <c r="H20" s="80" t="s">
        <v>1623</v>
      </c>
    </row>
    <row r="21">
      <c r="A21" s="54">
        <v>15.0</v>
      </c>
      <c r="B21" s="53" t="s">
        <v>909</v>
      </c>
      <c r="C21" s="53">
        <v>9.304610587E9</v>
      </c>
      <c r="D21" s="79" t="s">
        <v>9</v>
      </c>
      <c r="E21" s="80" t="s">
        <v>1623</v>
      </c>
      <c r="F21" s="87"/>
      <c r="G21" s="79" t="s">
        <v>9</v>
      </c>
      <c r="H21" s="80" t="s">
        <v>1623</v>
      </c>
    </row>
    <row r="22">
      <c r="A22" s="54">
        <v>16.0</v>
      </c>
      <c r="B22" s="53" t="s">
        <v>912</v>
      </c>
      <c r="C22" s="53">
        <v>8.292597165E9</v>
      </c>
      <c r="D22" s="79" t="s">
        <v>9</v>
      </c>
      <c r="E22" s="80" t="s">
        <v>1623</v>
      </c>
      <c r="F22" s="87"/>
      <c r="G22" s="79" t="s">
        <v>9</v>
      </c>
      <c r="H22" s="80" t="s">
        <v>1623</v>
      </c>
    </row>
    <row r="23">
      <c r="A23" s="54">
        <v>17.0</v>
      </c>
      <c r="B23" s="53" t="s">
        <v>915</v>
      </c>
      <c r="C23" s="53">
        <v>9.102837613E9</v>
      </c>
      <c r="D23" s="79" t="s">
        <v>27</v>
      </c>
      <c r="E23" s="80" t="s">
        <v>1624</v>
      </c>
      <c r="F23" s="138" t="s">
        <v>1865</v>
      </c>
      <c r="G23" s="79" t="s">
        <v>27</v>
      </c>
      <c r="H23" s="80"/>
      <c r="I23" s="39" t="s">
        <v>916</v>
      </c>
    </row>
    <row r="24">
      <c r="A24" s="54">
        <v>18.0</v>
      </c>
      <c r="B24" s="53" t="s">
        <v>917</v>
      </c>
      <c r="C24" s="53">
        <v>8.119819835E9</v>
      </c>
      <c r="D24" s="79" t="s">
        <v>9</v>
      </c>
      <c r="E24" s="80" t="s">
        <v>1623</v>
      </c>
      <c r="F24" s="87"/>
      <c r="G24" s="79" t="s">
        <v>9</v>
      </c>
      <c r="H24" s="80" t="s">
        <v>1623</v>
      </c>
    </row>
    <row r="25">
      <c r="A25" s="54">
        <v>19.0</v>
      </c>
      <c r="B25" s="53" t="s">
        <v>321</v>
      </c>
      <c r="C25" s="53">
        <v>8.541852045E9</v>
      </c>
      <c r="D25" s="79" t="s">
        <v>9</v>
      </c>
      <c r="E25" s="80" t="s">
        <v>1623</v>
      </c>
      <c r="F25" s="87"/>
      <c r="G25" s="79" t="s">
        <v>9</v>
      </c>
      <c r="H25" s="80" t="s">
        <v>1623</v>
      </c>
    </row>
    <row r="26">
      <c r="A26" s="54">
        <v>20.0</v>
      </c>
      <c r="B26" s="53" t="s">
        <v>921</v>
      </c>
      <c r="C26" s="53">
        <v>7.46104653E9</v>
      </c>
      <c r="D26" s="79" t="s">
        <v>9</v>
      </c>
      <c r="E26" s="80" t="s">
        <v>1623</v>
      </c>
      <c r="F26" s="87"/>
      <c r="G26" s="79" t="s">
        <v>9</v>
      </c>
      <c r="H26" s="80" t="s">
        <v>1623</v>
      </c>
    </row>
    <row r="27">
      <c r="A27" s="54">
        <v>21.0</v>
      </c>
      <c r="B27" s="53" t="s">
        <v>924</v>
      </c>
      <c r="C27" s="53">
        <v>8.002589899E9</v>
      </c>
      <c r="D27" s="79" t="s">
        <v>9</v>
      </c>
      <c r="E27" s="80" t="s">
        <v>1623</v>
      </c>
      <c r="F27" s="87"/>
      <c r="G27" s="79" t="s">
        <v>9</v>
      </c>
      <c r="H27" s="80" t="s">
        <v>1623</v>
      </c>
    </row>
    <row r="28">
      <c r="A28" s="54">
        <v>22.0</v>
      </c>
      <c r="B28" s="53" t="s">
        <v>927</v>
      </c>
      <c r="C28" s="53">
        <v>7.255065738E9</v>
      </c>
      <c r="D28" s="79" t="s">
        <v>9</v>
      </c>
      <c r="E28" s="80" t="s">
        <v>1623</v>
      </c>
      <c r="F28" s="87"/>
      <c r="G28" s="79" t="s">
        <v>9</v>
      </c>
      <c r="H28" s="80" t="s">
        <v>1623</v>
      </c>
    </row>
    <row r="29">
      <c r="F29" s="87"/>
    </row>
    <row r="30">
      <c r="F30" s="87"/>
    </row>
    <row r="31" ht="84.75" customHeight="1">
      <c r="A31" s="10" t="s">
        <v>339</v>
      </c>
      <c r="B31" s="11" t="s">
        <v>340</v>
      </c>
      <c r="C31" s="12" t="s">
        <v>341</v>
      </c>
      <c r="D31" s="11" t="s">
        <v>342</v>
      </c>
      <c r="E31" s="11" t="s">
        <v>343</v>
      </c>
      <c r="F31" s="11" t="s">
        <v>344</v>
      </c>
      <c r="G31" s="11" t="s">
        <v>345</v>
      </c>
      <c r="H31" s="11" t="s">
        <v>346</v>
      </c>
      <c r="I31" s="11" t="s">
        <v>347</v>
      </c>
      <c r="J31" s="12" t="s">
        <v>348</v>
      </c>
      <c r="K31" s="12" t="s">
        <v>349</v>
      </c>
      <c r="L31" s="11" t="s">
        <v>350</v>
      </c>
      <c r="M31" s="11" t="s">
        <v>351</v>
      </c>
      <c r="N31" s="11" t="s">
        <v>1</v>
      </c>
      <c r="O31" s="11" t="s">
        <v>352</v>
      </c>
      <c r="P31" s="11" t="s">
        <v>353</v>
      </c>
      <c r="Q31" s="11" t="s">
        <v>354</v>
      </c>
      <c r="R31" s="11" t="s">
        <v>355</v>
      </c>
      <c r="S31" s="11" t="s">
        <v>356</v>
      </c>
      <c r="T31" s="11" t="s">
        <v>357</v>
      </c>
      <c r="U31" s="11" t="s">
        <v>358</v>
      </c>
      <c r="V31" s="11" t="s">
        <v>359</v>
      </c>
      <c r="W31" s="11" t="s">
        <v>360</v>
      </c>
      <c r="X31" s="11" t="s">
        <v>361</v>
      </c>
      <c r="Y31" s="11" t="s">
        <v>362</v>
      </c>
      <c r="Z31" s="11" t="s">
        <v>363</v>
      </c>
      <c r="AA31" s="13" t="s">
        <v>364</v>
      </c>
      <c r="AB31" s="14" t="s">
        <v>3</v>
      </c>
      <c r="AC31" s="15"/>
      <c r="AD31" s="15"/>
    </row>
    <row r="32">
      <c r="A32" s="139" t="s">
        <v>860</v>
      </c>
      <c r="B32" s="53" t="s">
        <v>861</v>
      </c>
      <c r="C32" s="53">
        <v>8.651505002E9</v>
      </c>
      <c r="D32" s="26">
        <v>38.0</v>
      </c>
      <c r="E32" s="20" t="s">
        <v>367</v>
      </c>
      <c r="F32" s="63" t="s">
        <v>441</v>
      </c>
      <c r="G32" s="26" t="s">
        <v>551</v>
      </c>
      <c r="H32" s="26" t="s">
        <v>383</v>
      </c>
      <c r="I32" s="26" t="s">
        <v>862</v>
      </c>
      <c r="J32" s="26" t="s">
        <v>863</v>
      </c>
      <c r="K32" s="18" t="s">
        <v>864</v>
      </c>
      <c r="L32" s="26" t="s">
        <v>865</v>
      </c>
      <c r="M32" s="26" t="s">
        <v>866</v>
      </c>
      <c r="N32" s="21" t="s">
        <v>9</v>
      </c>
      <c r="O32" s="20" t="s">
        <v>4</v>
      </c>
      <c r="P32" s="20" t="s">
        <v>4</v>
      </c>
      <c r="Q32" s="26" t="s">
        <v>867</v>
      </c>
      <c r="R32" s="26" t="s">
        <v>652</v>
      </c>
      <c r="S32" s="20" t="s">
        <v>4</v>
      </c>
      <c r="T32" s="19"/>
      <c r="U32" s="20" t="s">
        <v>4</v>
      </c>
      <c r="V32" s="26" t="s">
        <v>868</v>
      </c>
      <c r="W32" s="26" t="s">
        <v>869</v>
      </c>
      <c r="X32" s="20" t="s">
        <v>4</v>
      </c>
      <c r="Y32" s="20" t="s">
        <v>4</v>
      </c>
      <c r="Z32" s="20" t="s">
        <v>4</v>
      </c>
      <c r="AA32" s="26" t="s">
        <v>391</v>
      </c>
      <c r="AB32" s="28"/>
      <c r="AC32" s="52"/>
      <c r="AD32" s="52"/>
    </row>
    <row r="33">
      <c r="A33" s="25"/>
      <c r="B33" s="53" t="s">
        <v>870</v>
      </c>
      <c r="C33" s="53">
        <v>7.3690755E9</v>
      </c>
      <c r="D33" s="26">
        <v>38.0</v>
      </c>
      <c r="E33" s="20" t="s">
        <v>367</v>
      </c>
      <c r="F33" s="63" t="s">
        <v>441</v>
      </c>
      <c r="G33" s="26" t="s">
        <v>551</v>
      </c>
      <c r="H33" s="26" t="s">
        <v>383</v>
      </c>
      <c r="I33" s="26" t="s">
        <v>871</v>
      </c>
      <c r="J33" s="26" t="s">
        <v>872</v>
      </c>
      <c r="K33" s="18" t="s">
        <v>864</v>
      </c>
      <c r="L33" s="26" t="s">
        <v>873</v>
      </c>
      <c r="M33" s="19"/>
      <c r="N33" s="21" t="s">
        <v>9</v>
      </c>
      <c r="O33" s="20" t="s">
        <v>4</v>
      </c>
      <c r="P33" s="20" t="s">
        <v>4</v>
      </c>
      <c r="Q33" s="26" t="s">
        <v>867</v>
      </c>
      <c r="R33" s="26" t="s">
        <v>652</v>
      </c>
      <c r="S33" s="20" t="s">
        <v>4</v>
      </c>
      <c r="T33" s="19"/>
      <c r="U33" s="20" t="s">
        <v>4</v>
      </c>
      <c r="V33" s="19"/>
      <c r="W33" s="26" t="s">
        <v>869</v>
      </c>
      <c r="X33" s="20" t="s">
        <v>4</v>
      </c>
      <c r="Y33" s="20" t="s">
        <v>4</v>
      </c>
      <c r="Z33" s="20" t="s">
        <v>4</v>
      </c>
      <c r="AA33" s="26" t="s">
        <v>391</v>
      </c>
      <c r="AB33" s="28"/>
      <c r="AC33" s="52"/>
      <c r="AD33" s="52"/>
    </row>
    <row r="34">
      <c r="A34" s="25"/>
      <c r="B34" s="53" t="s">
        <v>874</v>
      </c>
      <c r="C34" s="53">
        <v>9.117343385E9</v>
      </c>
      <c r="D34" s="26">
        <v>35.0</v>
      </c>
      <c r="E34" s="20" t="s">
        <v>367</v>
      </c>
      <c r="F34" s="63" t="s">
        <v>441</v>
      </c>
      <c r="G34" s="26" t="s">
        <v>551</v>
      </c>
      <c r="H34" s="26" t="s">
        <v>418</v>
      </c>
      <c r="I34" s="26" t="s">
        <v>875</v>
      </c>
      <c r="J34" s="26" t="s">
        <v>872</v>
      </c>
      <c r="K34" s="18" t="s">
        <v>864</v>
      </c>
      <c r="L34" s="26" t="s">
        <v>865</v>
      </c>
      <c r="M34" s="26" t="s">
        <v>876</v>
      </c>
      <c r="N34" s="21" t="s">
        <v>9</v>
      </c>
      <c r="O34" s="20" t="s">
        <v>4</v>
      </c>
      <c r="P34" s="20" t="s">
        <v>4</v>
      </c>
      <c r="Q34" s="26" t="s">
        <v>867</v>
      </c>
      <c r="R34" s="26" t="s">
        <v>877</v>
      </c>
      <c r="S34" s="20" t="s">
        <v>4</v>
      </c>
      <c r="T34" s="19"/>
      <c r="U34" s="20" t="s">
        <v>4</v>
      </c>
      <c r="V34" s="19"/>
      <c r="W34" s="26" t="s">
        <v>869</v>
      </c>
      <c r="X34" s="20" t="s">
        <v>4</v>
      </c>
      <c r="Y34" s="20" t="s">
        <v>4</v>
      </c>
      <c r="Z34" s="20" t="s">
        <v>4</v>
      </c>
      <c r="AA34" s="26" t="s">
        <v>391</v>
      </c>
      <c r="AB34" s="28"/>
      <c r="AC34" s="52"/>
      <c r="AD34" s="52"/>
    </row>
    <row r="35">
      <c r="A35" s="25"/>
      <c r="B35" s="53" t="s">
        <v>878</v>
      </c>
      <c r="C35" s="54">
        <v>9.162641006E9</v>
      </c>
      <c r="D35" s="26">
        <v>33.0</v>
      </c>
      <c r="E35" s="20" t="s">
        <v>367</v>
      </c>
      <c r="F35" s="63" t="s">
        <v>879</v>
      </c>
      <c r="G35" s="26" t="s">
        <v>551</v>
      </c>
      <c r="H35" s="26" t="s">
        <v>512</v>
      </c>
      <c r="I35" s="26" t="s">
        <v>880</v>
      </c>
      <c r="J35" s="26" t="s">
        <v>872</v>
      </c>
      <c r="K35" s="18" t="s">
        <v>864</v>
      </c>
      <c r="L35" s="26" t="s">
        <v>865</v>
      </c>
      <c r="M35" s="26" t="s">
        <v>881</v>
      </c>
      <c r="N35" s="21" t="s">
        <v>9</v>
      </c>
      <c r="O35" s="20" t="s">
        <v>4</v>
      </c>
      <c r="P35" s="20" t="s">
        <v>4</v>
      </c>
      <c r="Q35" s="26" t="s">
        <v>867</v>
      </c>
      <c r="R35" s="26" t="s">
        <v>652</v>
      </c>
      <c r="S35" s="20" t="s">
        <v>4</v>
      </c>
      <c r="T35" s="19"/>
      <c r="U35" s="20" t="s">
        <v>4</v>
      </c>
      <c r="V35" s="19"/>
      <c r="W35" s="26" t="s">
        <v>869</v>
      </c>
      <c r="X35" s="20" t="s">
        <v>4</v>
      </c>
      <c r="Y35" s="20" t="s">
        <v>4</v>
      </c>
      <c r="Z35" s="20" t="s">
        <v>4</v>
      </c>
      <c r="AA35" s="26" t="s">
        <v>391</v>
      </c>
      <c r="AB35" s="28"/>
      <c r="AC35" s="52"/>
      <c r="AD35" s="52"/>
    </row>
    <row r="36">
      <c r="A36" s="25"/>
      <c r="B36" s="53" t="s">
        <v>882</v>
      </c>
      <c r="C36" s="53">
        <v>6.202721054E9</v>
      </c>
      <c r="D36" s="26">
        <v>25.0</v>
      </c>
      <c r="E36" s="20" t="s">
        <v>367</v>
      </c>
      <c r="F36" s="63" t="s">
        <v>883</v>
      </c>
      <c r="G36" s="26" t="s">
        <v>375</v>
      </c>
      <c r="H36" s="26" t="s">
        <v>407</v>
      </c>
      <c r="I36" s="26" t="s">
        <v>825</v>
      </c>
      <c r="J36" s="26" t="s">
        <v>872</v>
      </c>
      <c r="K36" s="18" t="s">
        <v>864</v>
      </c>
      <c r="L36" s="26" t="s">
        <v>865</v>
      </c>
      <c r="M36" s="26" t="s">
        <v>884</v>
      </c>
      <c r="N36" s="21" t="s">
        <v>9</v>
      </c>
      <c r="O36" s="20" t="s">
        <v>4</v>
      </c>
      <c r="P36" s="20" t="s">
        <v>4</v>
      </c>
      <c r="Q36" s="26" t="s">
        <v>867</v>
      </c>
      <c r="R36" s="26" t="s">
        <v>652</v>
      </c>
      <c r="S36" s="20" t="s">
        <v>4</v>
      </c>
      <c r="T36" s="19"/>
      <c r="U36" s="20" t="s">
        <v>4</v>
      </c>
      <c r="V36" s="19"/>
      <c r="W36" s="26" t="s">
        <v>869</v>
      </c>
      <c r="X36" s="20" t="s">
        <v>4</v>
      </c>
      <c r="Y36" s="20" t="s">
        <v>4</v>
      </c>
      <c r="Z36" s="20" t="s">
        <v>4</v>
      </c>
      <c r="AA36" s="26" t="s">
        <v>391</v>
      </c>
      <c r="AB36" s="28"/>
      <c r="AC36" s="52"/>
      <c r="AD36" s="52"/>
    </row>
    <row r="37">
      <c r="A37" s="25"/>
      <c r="B37" s="53" t="s">
        <v>885</v>
      </c>
      <c r="C37" s="53">
        <v>9.931083299E9</v>
      </c>
      <c r="D37" s="26">
        <v>29.0</v>
      </c>
      <c r="E37" s="20" t="s">
        <v>367</v>
      </c>
      <c r="F37" s="63" t="s">
        <v>441</v>
      </c>
      <c r="G37" s="26" t="s">
        <v>551</v>
      </c>
      <c r="H37" s="26" t="s">
        <v>512</v>
      </c>
      <c r="I37" s="26" t="s">
        <v>886</v>
      </c>
      <c r="J37" s="26" t="s">
        <v>872</v>
      </c>
      <c r="K37" s="18" t="s">
        <v>864</v>
      </c>
      <c r="L37" s="26" t="s">
        <v>873</v>
      </c>
      <c r="M37" s="26" t="s">
        <v>887</v>
      </c>
      <c r="N37" s="21" t="s">
        <v>9</v>
      </c>
      <c r="O37" s="20" t="s">
        <v>4</v>
      </c>
      <c r="P37" s="20" t="s">
        <v>4</v>
      </c>
      <c r="Q37" s="26" t="s">
        <v>888</v>
      </c>
      <c r="R37" s="26" t="s">
        <v>652</v>
      </c>
      <c r="S37" s="20" t="s">
        <v>4</v>
      </c>
      <c r="T37" s="19"/>
      <c r="U37" s="20" t="s">
        <v>4</v>
      </c>
      <c r="V37" s="19"/>
      <c r="W37" s="26" t="s">
        <v>869</v>
      </c>
      <c r="X37" s="20" t="s">
        <v>4</v>
      </c>
      <c r="Y37" s="20" t="s">
        <v>4</v>
      </c>
      <c r="Z37" s="20" t="s">
        <v>4</v>
      </c>
      <c r="AA37" s="26" t="s">
        <v>391</v>
      </c>
      <c r="AB37" s="28"/>
      <c r="AC37" s="52"/>
      <c r="AD37" s="52"/>
    </row>
    <row r="38">
      <c r="A38" s="25"/>
      <c r="B38" s="53" t="s">
        <v>889</v>
      </c>
      <c r="C38" s="53">
        <v>7.002464047E9</v>
      </c>
      <c r="D38" s="26">
        <v>45.0</v>
      </c>
      <c r="E38" s="20" t="s">
        <v>367</v>
      </c>
      <c r="F38" s="63" t="s">
        <v>441</v>
      </c>
      <c r="G38" s="26" t="s">
        <v>551</v>
      </c>
      <c r="H38" s="26" t="s">
        <v>418</v>
      </c>
      <c r="I38" s="26" t="s">
        <v>890</v>
      </c>
      <c r="J38" s="26" t="s">
        <v>872</v>
      </c>
      <c r="K38" s="18" t="s">
        <v>864</v>
      </c>
      <c r="L38" s="26" t="s">
        <v>873</v>
      </c>
      <c r="M38" s="26" t="s">
        <v>891</v>
      </c>
      <c r="N38" s="21" t="s">
        <v>9</v>
      </c>
      <c r="O38" s="20" t="s">
        <v>4</v>
      </c>
      <c r="P38" s="20" t="s">
        <v>4</v>
      </c>
      <c r="Q38" s="26" t="s">
        <v>888</v>
      </c>
      <c r="R38" s="26" t="s">
        <v>652</v>
      </c>
      <c r="S38" s="20" t="s">
        <v>4</v>
      </c>
      <c r="T38" s="26" t="s">
        <v>756</v>
      </c>
      <c r="U38" s="20" t="s">
        <v>4</v>
      </c>
      <c r="V38" s="19"/>
      <c r="W38" s="26" t="s">
        <v>869</v>
      </c>
      <c r="X38" s="20" t="s">
        <v>4</v>
      </c>
      <c r="Y38" s="20" t="s">
        <v>4</v>
      </c>
      <c r="Z38" s="20" t="s">
        <v>4</v>
      </c>
      <c r="AA38" s="26" t="s">
        <v>391</v>
      </c>
      <c r="AB38" s="28"/>
      <c r="AC38" s="52"/>
      <c r="AD38" s="52"/>
    </row>
    <row r="39">
      <c r="A39" s="25"/>
      <c r="B39" s="53" t="s">
        <v>892</v>
      </c>
      <c r="C39" s="53">
        <v>9.955438136E9</v>
      </c>
      <c r="D39" s="26">
        <v>35.0</v>
      </c>
      <c r="E39" s="20" t="s">
        <v>367</v>
      </c>
      <c r="F39" s="63" t="s">
        <v>441</v>
      </c>
      <c r="G39" s="26" t="s">
        <v>551</v>
      </c>
      <c r="H39" s="26" t="s">
        <v>418</v>
      </c>
      <c r="I39" s="26" t="s">
        <v>875</v>
      </c>
      <c r="J39" s="26" t="s">
        <v>872</v>
      </c>
      <c r="K39" s="18" t="s">
        <v>864</v>
      </c>
      <c r="L39" s="26" t="s">
        <v>873</v>
      </c>
      <c r="M39" s="26" t="s">
        <v>893</v>
      </c>
      <c r="N39" s="21" t="s">
        <v>9</v>
      </c>
      <c r="O39" s="20" t="s">
        <v>4</v>
      </c>
      <c r="P39" s="20" t="s">
        <v>380</v>
      </c>
      <c r="Q39" s="19"/>
      <c r="R39" s="19"/>
      <c r="S39" s="20" t="s">
        <v>4</v>
      </c>
      <c r="T39" s="19"/>
      <c r="U39" s="20" t="s">
        <v>4</v>
      </c>
      <c r="V39" s="19"/>
      <c r="W39" s="26" t="s">
        <v>869</v>
      </c>
      <c r="X39" s="20" t="s">
        <v>4</v>
      </c>
      <c r="Y39" s="20" t="s">
        <v>4</v>
      </c>
      <c r="Z39" s="20" t="s">
        <v>4</v>
      </c>
      <c r="AA39" s="26" t="s">
        <v>391</v>
      </c>
      <c r="AB39" s="28"/>
      <c r="AC39" s="52"/>
      <c r="AD39" s="52"/>
    </row>
    <row r="40">
      <c r="A40" s="25"/>
      <c r="B40" s="53" t="s">
        <v>894</v>
      </c>
      <c r="C40" s="53">
        <v>6.204151263E9</v>
      </c>
      <c r="D40" s="26">
        <v>47.0</v>
      </c>
      <c r="E40" s="20" t="s">
        <v>367</v>
      </c>
      <c r="F40" s="63" t="s">
        <v>895</v>
      </c>
      <c r="G40" s="26" t="s">
        <v>551</v>
      </c>
      <c r="H40" s="26" t="s">
        <v>512</v>
      </c>
      <c r="I40" s="26" t="s">
        <v>880</v>
      </c>
      <c r="J40" s="26" t="s">
        <v>872</v>
      </c>
      <c r="K40" s="18" t="s">
        <v>864</v>
      </c>
      <c r="L40" s="26" t="s">
        <v>865</v>
      </c>
      <c r="M40" s="26" t="s">
        <v>896</v>
      </c>
      <c r="N40" s="21" t="s">
        <v>9</v>
      </c>
      <c r="O40" s="20" t="s">
        <v>4</v>
      </c>
      <c r="P40" s="20" t="s">
        <v>380</v>
      </c>
      <c r="Q40" s="19"/>
      <c r="R40" s="19"/>
      <c r="S40" s="20" t="s">
        <v>4</v>
      </c>
      <c r="T40" s="19"/>
      <c r="U40" s="20" t="s">
        <v>4</v>
      </c>
      <c r="V40" s="19"/>
      <c r="W40" s="26" t="s">
        <v>869</v>
      </c>
      <c r="X40" s="20" t="s">
        <v>4</v>
      </c>
      <c r="Y40" s="20" t="s">
        <v>4</v>
      </c>
      <c r="Z40" s="20" t="s">
        <v>4</v>
      </c>
      <c r="AA40" s="26" t="s">
        <v>391</v>
      </c>
      <c r="AB40" s="17"/>
      <c r="AC40" s="52"/>
      <c r="AD40" s="52"/>
    </row>
    <row r="41">
      <c r="A41" s="25"/>
      <c r="B41" s="53" t="s">
        <v>96</v>
      </c>
      <c r="C41" s="53">
        <v>9.064978953E9</v>
      </c>
      <c r="D41" s="26">
        <v>28.0</v>
      </c>
      <c r="E41" s="20" t="s">
        <v>367</v>
      </c>
      <c r="F41" s="63" t="s">
        <v>441</v>
      </c>
      <c r="G41" s="26" t="s">
        <v>551</v>
      </c>
      <c r="H41" s="26" t="s">
        <v>418</v>
      </c>
      <c r="I41" s="26" t="s">
        <v>551</v>
      </c>
      <c r="J41" s="26" t="s">
        <v>872</v>
      </c>
      <c r="K41" s="18" t="s">
        <v>864</v>
      </c>
      <c r="L41" s="26" t="s">
        <v>873</v>
      </c>
      <c r="M41" s="26" t="s">
        <v>897</v>
      </c>
      <c r="N41" s="21" t="s">
        <v>9</v>
      </c>
      <c r="O41" s="20" t="s">
        <v>4</v>
      </c>
      <c r="P41" s="20" t="s">
        <v>4</v>
      </c>
      <c r="Q41" s="19"/>
      <c r="R41" s="19"/>
      <c r="S41" s="20" t="s">
        <v>4</v>
      </c>
      <c r="T41" s="19"/>
      <c r="U41" s="20" t="s">
        <v>4</v>
      </c>
      <c r="V41" s="19"/>
      <c r="W41" s="26" t="s">
        <v>869</v>
      </c>
      <c r="X41" s="20" t="s">
        <v>4</v>
      </c>
      <c r="Y41" s="20" t="s">
        <v>4</v>
      </c>
      <c r="Z41" s="20" t="s">
        <v>4</v>
      </c>
      <c r="AA41" s="26" t="s">
        <v>391</v>
      </c>
      <c r="AB41" s="28"/>
      <c r="AC41" s="52"/>
      <c r="AD41" s="52"/>
    </row>
    <row r="42">
      <c r="A42" s="25"/>
      <c r="B42" s="53" t="s">
        <v>898</v>
      </c>
      <c r="C42" s="53">
        <v>9.576776815E9</v>
      </c>
      <c r="D42" s="26">
        <v>34.0</v>
      </c>
      <c r="E42" s="20" t="s">
        <v>367</v>
      </c>
      <c r="F42" s="63" t="s">
        <v>429</v>
      </c>
      <c r="G42" s="26" t="s">
        <v>375</v>
      </c>
      <c r="H42" s="26" t="s">
        <v>637</v>
      </c>
      <c r="I42" s="26" t="s">
        <v>377</v>
      </c>
      <c r="J42" s="26" t="s">
        <v>872</v>
      </c>
      <c r="K42" s="18" t="s">
        <v>864</v>
      </c>
      <c r="L42" s="26" t="s">
        <v>873</v>
      </c>
      <c r="M42" s="26" t="s">
        <v>899</v>
      </c>
      <c r="N42" s="21" t="s">
        <v>9</v>
      </c>
      <c r="O42" s="20" t="s">
        <v>4</v>
      </c>
      <c r="P42" s="20" t="s">
        <v>4</v>
      </c>
      <c r="Q42" s="26" t="s">
        <v>867</v>
      </c>
      <c r="R42" s="26" t="s">
        <v>652</v>
      </c>
      <c r="S42" s="20" t="s">
        <v>4</v>
      </c>
      <c r="T42" s="19"/>
      <c r="U42" s="20" t="s">
        <v>4</v>
      </c>
      <c r="V42" s="19"/>
      <c r="W42" s="26" t="s">
        <v>900</v>
      </c>
      <c r="X42" s="20" t="s">
        <v>4</v>
      </c>
      <c r="Y42" s="20" t="s">
        <v>4</v>
      </c>
      <c r="Z42" s="20" t="s">
        <v>4</v>
      </c>
      <c r="AA42" s="26" t="s">
        <v>391</v>
      </c>
      <c r="AB42" s="28"/>
      <c r="AC42" s="52"/>
      <c r="AD42" s="52"/>
    </row>
    <row r="43">
      <c r="A43" s="25"/>
      <c r="B43" s="53" t="s">
        <v>901</v>
      </c>
      <c r="C43" s="53">
        <v>8.084104962E9</v>
      </c>
      <c r="D43" s="26">
        <v>26.0</v>
      </c>
      <c r="E43" s="20" t="s">
        <v>367</v>
      </c>
      <c r="F43" s="63" t="s">
        <v>429</v>
      </c>
      <c r="G43" s="26" t="s">
        <v>375</v>
      </c>
      <c r="H43" s="26" t="s">
        <v>383</v>
      </c>
      <c r="I43" s="26" t="s">
        <v>902</v>
      </c>
      <c r="J43" s="26" t="s">
        <v>872</v>
      </c>
      <c r="K43" s="18" t="s">
        <v>864</v>
      </c>
      <c r="L43" s="26" t="s">
        <v>873</v>
      </c>
      <c r="M43" s="26" t="s">
        <v>903</v>
      </c>
      <c r="N43" s="21" t="s">
        <v>9</v>
      </c>
      <c r="O43" s="20" t="s">
        <v>4</v>
      </c>
      <c r="P43" s="20" t="s">
        <v>4</v>
      </c>
      <c r="Q43" s="26" t="s">
        <v>888</v>
      </c>
      <c r="R43" s="26" t="s">
        <v>904</v>
      </c>
      <c r="S43" s="20" t="s">
        <v>4</v>
      </c>
      <c r="T43" s="19"/>
      <c r="U43" s="20" t="s">
        <v>4</v>
      </c>
      <c r="V43" s="19"/>
      <c r="W43" s="26" t="s">
        <v>869</v>
      </c>
      <c r="X43" s="20" t="s">
        <v>4</v>
      </c>
      <c r="Y43" s="20" t="s">
        <v>4</v>
      </c>
      <c r="Z43" s="20" t="s">
        <v>4</v>
      </c>
      <c r="AA43" s="26" t="s">
        <v>391</v>
      </c>
      <c r="AB43" s="28"/>
      <c r="AC43" s="52"/>
      <c r="AD43" s="52"/>
    </row>
    <row r="44">
      <c r="A44" s="25"/>
      <c r="B44" s="53" t="s">
        <v>905</v>
      </c>
      <c r="C44" s="53">
        <v>9.576772011E9</v>
      </c>
      <c r="D44" s="26">
        <v>40.0</v>
      </c>
      <c r="E44" s="20" t="s">
        <v>367</v>
      </c>
      <c r="F44" s="63" t="s">
        <v>883</v>
      </c>
      <c r="G44" s="26" t="s">
        <v>375</v>
      </c>
      <c r="H44" s="26" t="s">
        <v>383</v>
      </c>
      <c r="I44" s="26" t="s">
        <v>377</v>
      </c>
      <c r="J44" s="26" t="s">
        <v>872</v>
      </c>
      <c r="K44" s="18" t="s">
        <v>864</v>
      </c>
      <c r="L44" s="26" t="s">
        <v>865</v>
      </c>
      <c r="M44" s="26" t="s">
        <v>906</v>
      </c>
      <c r="N44" s="21" t="s">
        <v>9</v>
      </c>
      <c r="O44" s="20" t="s">
        <v>4</v>
      </c>
      <c r="P44" s="20" t="s">
        <v>4</v>
      </c>
      <c r="Q44" s="19"/>
      <c r="R44" s="19"/>
      <c r="S44" s="20" t="s">
        <v>4</v>
      </c>
      <c r="T44" s="19"/>
      <c r="U44" s="20" t="s">
        <v>4</v>
      </c>
      <c r="V44" s="19"/>
      <c r="W44" s="26" t="s">
        <v>869</v>
      </c>
      <c r="X44" s="20" t="s">
        <v>4</v>
      </c>
      <c r="Y44" s="20" t="s">
        <v>4</v>
      </c>
      <c r="Z44" s="20" t="s">
        <v>4</v>
      </c>
      <c r="AA44" s="26" t="s">
        <v>391</v>
      </c>
      <c r="AB44" s="28"/>
      <c r="AC44" s="52"/>
      <c r="AD44" s="52"/>
    </row>
    <row r="45">
      <c r="A45" s="25"/>
      <c r="B45" s="53" t="s">
        <v>907</v>
      </c>
      <c r="C45" s="53">
        <v>9.90587773E9</v>
      </c>
      <c r="D45" s="26">
        <v>30.0</v>
      </c>
      <c r="E45" s="20" t="s">
        <v>367</v>
      </c>
      <c r="F45" s="63" t="s">
        <v>883</v>
      </c>
      <c r="G45" s="26" t="s">
        <v>375</v>
      </c>
      <c r="H45" s="26" t="s">
        <v>383</v>
      </c>
      <c r="I45" s="26" t="s">
        <v>377</v>
      </c>
      <c r="J45" s="26" t="s">
        <v>872</v>
      </c>
      <c r="K45" s="18" t="s">
        <v>864</v>
      </c>
      <c r="L45" s="26" t="s">
        <v>865</v>
      </c>
      <c r="M45" s="26" t="s">
        <v>908</v>
      </c>
      <c r="N45" s="21" t="s">
        <v>9</v>
      </c>
      <c r="O45" s="20" t="s">
        <v>4</v>
      </c>
      <c r="P45" s="20" t="s">
        <v>4</v>
      </c>
      <c r="Q45" s="26" t="s">
        <v>867</v>
      </c>
      <c r="R45" s="26" t="s">
        <v>652</v>
      </c>
      <c r="S45" s="20" t="s">
        <v>4</v>
      </c>
      <c r="T45" s="19"/>
      <c r="U45" s="20" t="s">
        <v>4</v>
      </c>
      <c r="V45" s="19"/>
      <c r="W45" s="26" t="s">
        <v>869</v>
      </c>
      <c r="X45" s="20" t="s">
        <v>4</v>
      </c>
      <c r="Y45" s="20" t="s">
        <v>4</v>
      </c>
      <c r="Z45" s="20" t="s">
        <v>4</v>
      </c>
      <c r="AA45" s="26" t="s">
        <v>391</v>
      </c>
      <c r="AB45" s="28"/>
      <c r="AC45" s="52"/>
      <c r="AD45" s="52"/>
    </row>
    <row r="46">
      <c r="A46" s="25"/>
      <c r="B46" s="53" t="s">
        <v>909</v>
      </c>
      <c r="C46" s="53">
        <v>9.304610587E9</v>
      </c>
      <c r="D46" s="26">
        <v>30.0</v>
      </c>
      <c r="E46" s="20" t="s">
        <v>367</v>
      </c>
      <c r="F46" s="63" t="s">
        <v>441</v>
      </c>
      <c r="G46" s="26" t="s">
        <v>551</v>
      </c>
      <c r="H46" s="26" t="s">
        <v>418</v>
      </c>
      <c r="I46" s="26" t="s">
        <v>910</v>
      </c>
      <c r="J46" s="26" t="s">
        <v>872</v>
      </c>
      <c r="K46" s="18" t="s">
        <v>864</v>
      </c>
      <c r="L46" s="26" t="s">
        <v>865</v>
      </c>
      <c r="M46" s="26" t="s">
        <v>911</v>
      </c>
      <c r="N46" s="21" t="s">
        <v>9</v>
      </c>
      <c r="O46" s="20" t="s">
        <v>4</v>
      </c>
      <c r="P46" s="20" t="s">
        <v>4</v>
      </c>
      <c r="Q46" s="19"/>
      <c r="R46" s="19"/>
      <c r="S46" s="20" t="s">
        <v>4</v>
      </c>
      <c r="T46" s="19"/>
      <c r="U46" s="20" t="s">
        <v>4</v>
      </c>
      <c r="V46" s="19"/>
      <c r="W46" s="26" t="s">
        <v>869</v>
      </c>
      <c r="X46" s="20" t="s">
        <v>4</v>
      </c>
      <c r="Y46" s="20" t="s">
        <v>4</v>
      </c>
      <c r="Z46" s="20" t="s">
        <v>4</v>
      </c>
      <c r="AA46" s="26" t="s">
        <v>391</v>
      </c>
      <c r="AB46" s="28"/>
      <c r="AC46" s="52"/>
      <c r="AD46" s="52"/>
    </row>
    <row r="47">
      <c r="A47" s="25"/>
      <c r="B47" s="53" t="s">
        <v>912</v>
      </c>
      <c r="C47" s="53">
        <v>8.292597165E9</v>
      </c>
      <c r="D47" s="26">
        <v>40.0</v>
      </c>
      <c r="E47" s="20" t="s">
        <v>367</v>
      </c>
      <c r="F47" s="63" t="s">
        <v>441</v>
      </c>
      <c r="G47" s="26" t="s">
        <v>375</v>
      </c>
      <c r="H47" s="26" t="s">
        <v>383</v>
      </c>
      <c r="I47" s="26" t="s">
        <v>913</v>
      </c>
      <c r="J47" s="26" t="s">
        <v>872</v>
      </c>
      <c r="K47" s="18" t="s">
        <v>864</v>
      </c>
      <c r="L47" s="26" t="s">
        <v>865</v>
      </c>
      <c r="M47" s="26" t="s">
        <v>914</v>
      </c>
      <c r="N47" s="21" t="s">
        <v>9</v>
      </c>
      <c r="O47" s="20" t="s">
        <v>4</v>
      </c>
      <c r="P47" s="20" t="s">
        <v>4</v>
      </c>
      <c r="Q47" s="26" t="s">
        <v>867</v>
      </c>
      <c r="R47" s="26" t="s">
        <v>652</v>
      </c>
      <c r="S47" s="20" t="s">
        <v>4</v>
      </c>
      <c r="T47" s="19"/>
      <c r="U47" s="20" t="s">
        <v>4</v>
      </c>
      <c r="V47" s="19"/>
      <c r="W47" s="26" t="s">
        <v>869</v>
      </c>
      <c r="X47" s="20" t="s">
        <v>4</v>
      </c>
      <c r="Y47" s="20" t="s">
        <v>4</v>
      </c>
      <c r="Z47" s="20" t="s">
        <v>4</v>
      </c>
      <c r="AA47" s="26" t="s">
        <v>391</v>
      </c>
      <c r="AB47" s="28"/>
      <c r="AC47" s="52"/>
      <c r="AD47" s="52"/>
    </row>
    <row r="48">
      <c r="A48" s="25"/>
      <c r="B48" s="53" t="s">
        <v>915</v>
      </c>
      <c r="C48" s="53">
        <v>9.102837613E9</v>
      </c>
      <c r="D48" s="19"/>
      <c r="E48" s="20"/>
      <c r="F48" s="101"/>
      <c r="G48" s="19"/>
      <c r="H48" s="19"/>
      <c r="I48" s="19"/>
      <c r="J48" s="26" t="s">
        <v>872</v>
      </c>
      <c r="K48" s="18" t="s">
        <v>864</v>
      </c>
      <c r="L48" s="26" t="s">
        <v>865</v>
      </c>
      <c r="M48" s="19"/>
      <c r="N48" s="21" t="s">
        <v>27</v>
      </c>
      <c r="O48" s="20"/>
      <c r="P48" s="20"/>
      <c r="Q48" s="19"/>
      <c r="R48" s="19"/>
      <c r="S48" s="20"/>
      <c r="T48" s="19"/>
      <c r="U48" s="20"/>
      <c r="V48" s="19"/>
      <c r="W48" s="19"/>
      <c r="X48" s="20"/>
      <c r="Y48" s="20"/>
      <c r="Z48" s="20"/>
      <c r="AA48" s="26"/>
      <c r="AB48" s="17" t="s">
        <v>916</v>
      </c>
      <c r="AC48" s="52"/>
      <c r="AD48" s="52"/>
    </row>
    <row r="49">
      <c r="A49" s="25"/>
      <c r="B49" s="53" t="s">
        <v>917</v>
      </c>
      <c r="C49" s="53">
        <v>8.119819835E9</v>
      </c>
      <c r="D49" s="26">
        <v>32.0</v>
      </c>
      <c r="E49" s="20" t="s">
        <v>367</v>
      </c>
      <c r="F49" s="63" t="s">
        <v>441</v>
      </c>
      <c r="G49" s="26" t="s">
        <v>375</v>
      </c>
      <c r="H49" s="26" t="s">
        <v>383</v>
      </c>
      <c r="I49" s="26" t="s">
        <v>918</v>
      </c>
      <c r="J49" s="26" t="s">
        <v>872</v>
      </c>
      <c r="K49" s="18" t="s">
        <v>864</v>
      </c>
      <c r="L49" s="26" t="s">
        <v>873</v>
      </c>
      <c r="M49" s="26" t="s">
        <v>903</v>
      </c>
      <c r="N49" s="21" t="s">
        <v>9</v>
      </c>
      <c r="O49" s="20" t="s">
        <v>4</v>
      </c>
      <c r="P49" s="20" t="s">
        <v>4</v>
      </c>
      <c r="Q49" s="26" t="s">
        <v>867</v>
      </c>
      <c r="R49" s="26" t="s">
        <v>919</v>
      </c>
      <c r="S49" s="20" t="s">
        <v>4</v>
      </c>
      <c r="T49" s="19"/>
      <c r="U49" s="20" t="s">
        <v>4</v>
      </c>
      <c r="V49" s="19"/>
      <c r="W49" s="26" t="s">
        <v>900</v>
      </c>
      <c r="X49" s="20" t="s">
        <v>4</v>
      </c>
      <c r="Y49" s="20" t="s">
        <v>4</v>
      </c>
      <c r="Z49" s="20" t="s">
        <v>4</v>
      </c>
      <c r="AA49" s="26" t="s">
        <v>391</v>
      </c>
      <c r="AB49" s="28"/>
      <c r="AC49" s="52"/>
      <c r="AD49" s="52"/>
    </row>
    <row r="50">
      <c r="A50" s="25"/>
      <c r="B50" s="53" t="s">
        <v>321</v>
      </c>
      <c r="C50" s="53">
        <v>8.541852045E9</v>
      </c>
      <c r="D50" s="26">
        <v>26.0</v>
      </c>
      <c r="E50" s="20" t="s">
        <v>367</v>
      </c>
      <c r="F50" s="63" t="s">
        <v>920</v>
      </c>
      <c r="G50" s="26" t="s">
        <v>375</v>
      </c>
      <c r="H50" s="26" t="s">
        <v>407</v>
      </c>
      <c r="I50" s="26" t="s">
        <v>829</v>
      </c>
      <c r="J50" s="26" t="s">
        <v>872</v>
      </c>
      <c r="K50" s="18" t="s">
        <v>864</v>
      </c>
      <c r="L50" s="26" t="s">
        <v>873</v>
      </c>
      <c r="M50" s="19"/>
      <c r="N50" s="21" t="s">
        <v>9</v>
      </c>
      <c r="O50" s="20" t="s">
        <v>4</v>
      </c>
      <c r="P50" s="20" t="s">
        <v>380</v>
      </c>
      <c r="Q50" s="19"/>
      <c r="R50" s="19"/>
      <c r="S50" s="20" t="s">
        <v>4</v>
      </c>
      <c r="T50" s="19"/>
      <c r="U50" s="20" t="s">
        <v>4</v>
      </c>
      <c r="V50" s="19"/>
      <c r="W50" s="19"/>
      <c r="X50" s="20" t="s">
        <v>4</v>
      </c>
      <c r="Y50" s="20" t="s">
        <v>4</v>
      </c>
      <c r="Z50" s="20" t="s">
        <v>4</v>
      </c>
      <c r="AA50" s="26" t="s">
        <v>391</v>
      </c>
      <c r="AB50" s="28"/>
      <c r="AC50" s="52"/>
      <c r="AD50" s="52"/>
    </row>
    <row r="51">
      <c r="A51" s="25"/>
      <c r="B51" s="53" t="s">
        <v>921</v>
      </c>
      <c r="C51" s="53">
        <v>7.46104653E9</v>
      </c>
      <c r="D51" s="26">
        <v>25.0</v>
      </c>
      <c r="E51" s="20" t="s">
        <v>367</v>
      </c>
      <c r="F51" s="63" t="s">
        <v>922</v>
      </c>
      <c r="G51" s="26" t="s">
        <v>375</v>
      </c>
      <c r="H51" s="26" t="s">
        <v>407</v>
      </c>
      <c r="I51" s="26" t="s">
        <v>923</v>
      </c>
      <c r="J51" s="26" t="s">
        <v>872</v>
      </c>
      <c r="K51" s="18" t="s">
        <v>864</v>
      </c>
      <c r="L51" s="26" t="s">
        <v>865</v>
      </c>
      <c r="M51" s="26" t="s">
        <v>903</v>
      </c>
      <c r="N51" s="21" t="s">
        <v>9</v>
      </c>
      <c r="O51" s="20" t="s">
        <v>4</v>
      </c>
      <c r="P51" s="20" t="s">
        <v>4</v>
      </c>
      <c r="Q51" s="26" t="s">
        <v>867</v>
      </c>
      <c r="R51" s="26" t="s">
        <v>652</v>
      </c>
      <c r="S51" s="20" t="s">
        <v>4</v>
      </c>
      <c r="T51" s="19"/>
      <c r="U51" s="20" t="s">
        <v>4</v>
      </c>
      <c r="V51" s="19"/>
      <c r="W51" s="26" t="s">
        <v>869</v>
      </c>
      <c r="X51" s="20" t="s">
        <v>4</v>
      </c>
      <c r="Y51" s="20" t="s">
        <v>4</v>
      </c>
      <c r="Z51" s="20" t="s">
        <v>4</v>
      </c>
      <c r="AA51" s="26" t="s">
        <v>391</v>
      </c>
      <c r="AB51" s="28"/>
      <c r="AC51" s="52"/>
      <c r="AD51" s="52"/>
    </row>
    <row r="52">
      <c r="A52" s="25"/>
      <c r="B52" s="53" t="s">
        <v>924</v>
      </c>
      <c r="C52" s="53">
        <v>8.002589899E9</v>
      </c>
      <c r="D52" s="26">
        <v>24.0</v>
      </c>
      <c r="E52" s="20" t="s">
        <v>367</v>
      </c>
      <c r="F52" s="63" t="s">
        <v>925</v>
      </c>
      <c r="G52" s="26" t="s">
        <v>375</v>
      </c>
      <c r="H52" s="26" t="s">
        <v>926</v>
      </c>
      <c r="I52" s="26" t="s">
        <v>377</v>
      </c>
      <c r="J52" s="26" t="s">
        <v>872</v>
      </c>
      <c r="K52" s="18" t="s">
        <v>864</v>
      </c>
      <c r="L52" s="26" t="s">
        <v>865</v>
      </c>
      <c r="M52" s="26" t="s">
        <v>903</v>
      </c>
      <c r="N52" s="21" t="s">
        <v>9</v>
      </c>
      <c r="O52" s="20" t="s">
        <v>4</v>
      </c>
      <c r="P52" s="20" t="s">
        <v>4</v>
      </c>
      <c r="Q52" s="26" t="s">
        <v>867</v>
      </c>
      <c r="R52" s="26" t="s">
        <v>652</v>
      </c>
      <c r="S52" s="20" t="s">
        <v>4</v>
      </c>
      <c r="T52" s="19"/>
      <c r="U52" s="20" t="s">
        <v>4</v>
      </c>
      <c r="V52" s="19"/>
      <c r="W52" s="26" t="s">
        <v>869</v>
      </c>
      <c r="X52" s="20" t="s">
        <v>4</v>
      </c>
      <c r="Y52" s="20" t="s">
        <v>4</v>
      </c>
      <c r="Z52" s="20" t="s">
        <v>4</v>
      </c>
      <c r="AA52" s="26" t="s">
        <v>391</v>
      </c>
      <c r="AB52" s="28"/>
      <c r="AC52" s="52"/>
      <c r="AD52" s="52"/>
    </row>
    <row r="53">
      <c r="A53" s="31"/>
      <c r="B53" s="53" t="s">
        <v>927</v>
      </c>
      <c r="C53" s="53">
        <v>7.255065738E9</v>
      </c>
      <c r="D53" s="26">
        <v>25.0</v>
      </c>
      <c r="E53" s="20" t="s">
        <v>367</v>
      </c>
      <c r="F53" s="63" t="s">
        <v>429</v>
      </c>
      <c r="G53" s="26" t="s">
        <v>375</v>
      </c>
      <c r="H53" s="26" t="s">
        <v>926</v>
      </c>
      <c r="I53" s="26" t="s">
        <v>377</v>
      </c>
      <c r="J53" s="26" t="s">
        <v>872</v>
      </c>
      <c r="K53" s="18" t="s">
        <v>864</v>
      </c>
      <c r="L53" s="26" t="s">
        <v>873</v>
      </c>
      <c r="M53" s="26" t="s">
        <v>903</v>
      </c>
      <c r="N53" s="21" t="s">
        <v>9</v>
      </c>
      <c r="O53" s="20" t="s">
        <v>4</v>
      </c>
      <c r="P53" s="20" t="s">
        <v>4</v>
      </c>
      <c r="Q53" s="26" t="s">
        <v>867</v>
      </c>
      <c r="R53" s="26" t="s">
        <v>652</v>
      </c>
      <c r="S53" s="20" t="s">
        <v>4</v>
      </c>
      <c r="T53" s="19"/>
      <c r="U53" s="20" t="s">
        <v>380</v>
      </c>
      <c r="V53" s="19"/>
      <c r="W53" s="26" t="s">
        <v>869</v>
      </c>
      <c r="X53" s="20" t="s">
        <v>4</v>
      </c>
      <c r="Y53" s="20" t="s">
        <v>4</v>
      </c>
      <c r="Z53" s="20" t="s">
        <v>4</v>
      </c>
      <c r="AA53" s="26" t="s">
        <v>391</v>
      </c>
      <c r="AB53" s="28"/>
      <c r="AC53" s="52"/>
      <c r="AD53" s="52"/>
    </row>
    <row r="54">
      <c r="F54" s="87"/>
    </row>
    <row r="55">
      <c r="F55" s="87"/>
    </row>
    <row r="56">
      <c r="F56" s="87"/>
    </row>
    <row r="57">
      <c r="F57" s="87"/>
    </row>
    <row r="58">
      <c r="F58" s="87"/>
    </row>
    <row r="59">
      <c r="F59" s="87"/>
    </row>
    <row r="60">
      <c r="F60" s="87"/>
    </row>
    <row r="61">
      <c r="F61" s="87"/>
    </row>
    <row r="62">
      <c r="F62" s="87"/>
    </row>
    <row r="63">
      <c r="F63" s="87"/>
    </row>
    <row r="64">
      <c r="F64" s="87"/>
    </row>
    <row r="65">
      <c r="F65" s="87"/>
    </row>
    <row r="66">
      <c r="F66" s="87"/>
    </row>
    <row r="67">
      <c r="F67" s="87"/>
    </row>
    <row r="68">
      <c r="F68" s="87"/>
    </row>
    <row r="69">
      <c r="F69" s="87"/>
    </row>
    <row r="70">
      <c r="F70" s="87"/>
    </row>
    <row r="71">
      <c r="F71" s="87"/>
    </row>
    <row r="72">
      <c r="F72" s="87"/>
    </row>
    <row r="73">
      <c r="F73" s="87"/>
    </row>
    <row r="74">
      <c r="F74" s="87"/>
    </row>
    <row r="75">
      <c r="F75" s="87"/>
    </row>
    <row r="76">
      <c r="F76" s="87"/>
    </row>
    <row r="77">
      <c r="F77" s="87"/>
    </row>
    <row r="78">
      <c r="F78" s="87"/>
    </row>
    <row r="79">
      <c r="F79" s="87"/>
    </row>
    <row r="80">
      <c r="F80" s="87"/>
    </row>
    <row r="81">
      <c r="F81" s="87"/>
    </row>
    <row r="82">
      <c r="F82" s="87"/>
    </row>
    <row r="83">
      <c r="F83" s="87"/>
    </row>
    <row r="84">
      <c r="F84" s="87"/>
    </row>
    <row r="85">
      <c r="F85" s="87"/>
    </row>
    <row r="86">
      <c r="F86" s="87"/>
    </row>
    <row r="87">
      <c r="F87" s="87"/>
    </row>
    <row r="88">
      <c r="F88" s="87"/>
    </row>
    <row r="89">
      <c r="F89" s="87"/>
    </row>
    <row r="90">
      <c r="F90" s="87"/>
    </row>
    <row r="91">
      <c r="F91" s="87"/>
    </row>
    <row r="92">
      <c r="F92" s="87"/>
    </row>
    <row r="93">
      <c r="F93" s="87"/>
    </row>
    <row r="94">
      <c r="F94" s="87"/>
    </row>
    <row r="95">
      <c r="F95" s="87"/>
    </row>
    <row r="96">
      <c r="F96" s="87"/>
    </row>
    <row r="97">
      <c r="F97" s="87"/>
    </row>
    <row r="98">
      <c r="F98" s="87"/>
    </row>
    <row r="99">
      <c r="F99" s="87"/>
    </row>
    <row r="100">
      <c r="F100" s="87"/>
    </row>
    <row r="101">
      <c r="F101" s="87"/>
    </row>
    <row r="102">
      <c r="F102" s="87"/>
    </row>
    <row r="103">
      <c r="F103" s="87"/>
    </row>
    <row r="104">
      <c r="F104" s="87"/>
    </row>
    <row r="105">
      <c r="F105" s="87"/>
    </row>
    <row r="106">
      <c r="F106" s="87"/>
    </row>
    <row r="107">
      <c r="F107" s="87"/>
    </row>
    <row r="108">
      <c r="F108" s="87"/>
    </row>
    <row r="109">
      <c r="F109" s="87"/>
    </row>
    <row r="110">
      <c r="F110" s="87"/>
    </row>
    <row r="111">
      <c r="F111" s="87"/>
    </row>
    <row r="112">
      <c r="F112" s="87"/>
    </row>
    <row r="113">
      <c r="F113" s="87"/>
    </row>
    <row r="114">
      <c r="F114" s="87"/>
    </row>
    <row r="115">
      <c r="F115" s="87"/>
    </row>
    <row r="116">
      <c r="F116" s="87"/>
    </row>
    <row r="117">
      <c r="F117" s="87"/>
    </row>
    <row r="118">
      <c r="F118" s="87"/>
    </row>
    <row r="119">
      <c r="F119" s="87"/>
    </row>
    <row r="120">
      <c r="F120" s="87"/>
    </row>
    <row r="121">
      <c r="F121" s="87"/>
    </row>
    <row r="122">
      <c r="F122" s="87"/>
    </row>
    <row r="123">
      <c r="F123" s="87"/>
    </row>
    <row r="124">
      <c r="F124" s="87"/>
    </row>
    <row r="125">
      <c r="F125" s="87"/>
    </row>
    <row r="126">
      <c r="F126" s="87"/>
    </row>
    <row r="127">
      <c r="F127" s="87"/>
    </row>
    <row r="128">
      <c r="F128" s="87"/>
    </row>
    <row r="129">
      <c r="F129" s="87"/>
    </row>
    <row r="130">
      <c r="F130" s="87"/>
    </row>
    <row r="131">
      <c r="F131" s="87"/>
    </row>
    <row r="132">
      <c r="F132" s="87"/>
    </row>
    <row r="133">
      <c r="F133" s="87"/>
    </row>
    <row r="134">
      <c r="F134" s="87"/>
    </row>
    <row r="135">
      <c r="F135" s="87"/>
    </row>
    <row r="136">
      <c r="F136" s="87"/>
    </row>
    <row r="137">
      <c r="F137" s="87"/>
    </row>
    <row r="138">
      <c r="F138" s="87"/>
    </row>
    <row r="139">
      <c r="F139" s="87"/>
    </row>
    <row r="140">
      <c r="F140" s="87"/>
    </row>
    <row r="141">
      <c r="F141" s="87"/>
    </row>
    <row r="142">
      <c r="F142" s="87"/>
    </row>
    <row r="143">
      <c r="F143" s="87"/>
    </row>
    <row r="144">
      <c r="F144" s="87"/>
    </row>
    <row r="145">
      <c r="F145" s="87"/>
    </row>
    <row r="146">
      <c r="F146" s="87"/>
    </row>
    <row r="147">
      <c r="F147" s="87"/>
    </row>
    <row r="148">
      <c r="F148" s="87"/>
    </row>
    <row r="149">
      <c r="F149" s="87"/>
    </row>
    <row r="150">
      <c r="F150" s="87"/>
    </row>
    <row r="151">
      <c r="F151" s="87"/>
    </row>
    <row r="152">
      <c r="F152" s="87"/>
    </row>
    <row r="153">
      <c r="F153" s="87"/>
    </row>
    <row r="154">
      <c r="F154" s="87"/>
    </row>
    <row r="155">
      <c r="F155" s="87"/>
    </row>
    <row r="156">
      <c r="F156" s="87"/>
    </row>
    <row r="157">
      <c r="F157" s="87"/>
    </row>
    <row r="158">
      <c r="F158" s="87"/>
    </row>
    <row r="159">
      <c r="F159" s="87"/>
    </row>
    <row r="160">
      <c r="F160" s="87"/>
    </row>
    <row r="161">
      <c r="F161" s="87"/>
    </row>
    <row r="162">
      <c r="F162" s="87"/>
    </row>
    <row r="163">
      <c r="F163" s="87"/>
    </row>
    <row r="164">
      <c r="F164" s="87"/>
    </row>
    <row r="165">
      <c r="F165" s="87"/>
    </row>
    <row r="166">
      <c r="F166" s="87"/>
    </row>
    <row r="167">
      <c r="F167" s="87"/>
    </row>
    <row r="168">
      <c r="F168" s="87"/>
    </row>
    <row r="169">
      <c r="F169" s="87"/>
    </row>
    <row r="170">
      <c r="F170" s="87"/>
    </row>
    <row r="171">
      <c r="F171" s="87"/>
    </row>
    <row r="172">
      <c r="F172" s="87"/>
    </row>
    <row r="173">
      <c r="F173" s="87"/>
    </row>
    <row r="174">
      <c r="F174" s="87"/>
    </row>
    <row r="175">
      <c r="F175" s="87"/>
    </row>
    <row r="176">
      <c r="F176" s="87"/>
    </row>
    <row r="177">
      <c r="F177" s="87"/>
    </row>
    <row r="178">
      <c r="F178" s="87"/>
    </row>
    <row r="179">
      <c r="F179" s="87"/>
    </row>
    <row r="180">
      <c r="F180" s="87"/>
    </row>
    <row r="181">
      <c r="F181" s="87"/>
    </row>
    <row r="182">
      <c r="F182" s="87"/>
    </row>
    <row r="183">
      <c r="F183" s="87"/>
    </row>
    <row r="184">
      <c r="F184" s="87"/>
    </row>
    <row r="185">
      <c r="F185" s="87"/>
    </row>
    <row r="186">
      <c r="F186" s="87"/>
    </row>
    <row r="187">
      <c r="F187" s="87"/>
    </row>
    <row r="188">
      <c r="F188" s="87"/>
    </row>
    <row r="189">
      <c r="F189" s="87"/>
    </row>
    <row r="190">
      <c r="F190" s="87"/>
    </row>
    <row r="191">
      <c r="F191" s="87"/>
    </row>
    <row r="192">
      <c r="F192" s="87"/>
    </row>
    <row r="193">
      <c r="F193" s="87"/>
    </row>
    <row r="194">
      <c r="F194" s="87"/>
    </row>
    <row r="195">
      <c r="F195" s="87"/>
    </row>
    <row r="196">
      <c r="F196" s="87"/>
    </row>
    <row r="197">
      <c r="F197" s="87"/>
    </row>
    <row r="198">
      <c r="F198" s="87"/>
    </row>
    <row r="199">
      <c r="F199" s="87"/>
    </row>
    <row r="200">
      <c r="F200" s="87"/>
    </row>
    <row r="201">
      <c r="F201" s="87"/>
    </row>
    <row r="202">
      <c r="F202" s="87"/>
    </row>
    <row r="203">
      <c r="F203" s="87"/>
    </row>
    <row r="204">
      <c r="F204" s="87"/>
    </row>
    <row r="205">
      <c r="F205" s="87"/>
    </row>
    <row r="206">
      <c r="F206" s="87"/>
    </row>
    <row r="207">
      <c r="F207" s="87"/>
    </row>
    <row r="208">
      <c r="F208" s="87"/>
    </row>
    <row r="209">
      <c r="F209" s="87"/>
    </row>
    <row r="210">
      <c r="F210" s="87"/>
    </row>
    <row r="211">
      <c r="F211" s="87"/>
    </row>
    <row r="212">
      <c r="F212" s="87"/>
    </row>
    <row r="213">
      <c r="F213" s="87"/>
    </row>
    <row r="214">
      <c r="F214" s="87"/>
    </row>
    <row r="215">
      <c r="F215" s="87"/>
    </row>
    <row r="216">
      <c r="F216" s="87"/>
    </row>
    <row r="217">
      <c r="F217" s="87"/>
    </row>
    <row r="218">
      <c r="F218" s="87"/>
    </row>
    <row r="219">
      <c r="F219" s="87"/>
    </row>
    <row r="220">
      <c r="F220" s="87"/>
    </row>
    <row r="221">
      <c r="F221" s="87"/>
    </row>
    <row r="222">
      <c r="F222" s="87"/>
    </row>
    <row r="223">
      <c r="F223" s="87"/>
    </row>
    <row r="224">
      <c r="F224" s="87"/>
    </row>
    <row r="225">
      <c r="F225" s="87"/>
    </row>
    <row r="226">
      <c r="F226" s="87"/>
    </row>
    <row r="227">
      <c r="F227" s="87"/>
    </row>
    <row r="228">
      <c r="F228" s="87"/>
    </row>
    <row r="229">
      <c r="F229" s="87"/>
    </row>
    <row r="230">
      <c r="F230" s="87"/>
    </row>
    <row r="231">
      <c r="F231" s="87"/>
    </row>
    <row r="232">
      <c r="F232" s="87"/>
    </row>
    <row r="233">
      <c r="F233" s="87"/>
    </row>
    <row r="234">
      <c r="F234" s="87"/>
    </row>
    <row r="235">
      <c r="F235" s="87"/>
    </row>
    <row r="236">
      <c r="F236" s="87"/>
    </row>
    <row r="237">
      <c r="F237" s="87"/>
    </row>
    <row r="238">
      <c r="F238" s="87"/>
    </row>
    <row r="239">
      <c r="F239" s="87"/>
    </row>
    <row r="240">
      <c r="F240" s="87"/>
    </row>
    <row r="241">
      <c r="F241" s="87"/>
    </row>
    <row r="242">
      <c r="F242" s="87"/>
    </row>
    <row r="243">
      <c r="F243" s="87"/>
    </row>
    <row r="244">
      <c r="F244" s="87"/>
    </row>
    <row r="245">
      <c r="F245" s="87"/>
    </row>
    <row r="246">
      <c r="F246" s="87"/>
    </row>
    <row r="247">
      <c r="F247" s="87"/>
    </row>
    <row r="248">
      <c r="F248" s="87"/>
    </row>
    <row r="249">
      <c r="F249" s="87"/>
    </row>
    <row r="250">
      <c r="F250" s="87"/>
    </row>
    <row r="251">
      <c r="F251" s="87"/>
    </row>
    <row r="252">
      <c r="F252" s="87"/>
    </row>
    <row r="253">
      <c r="F253" s="87"/>
    </row>
    <row r="254">
      <c r="F254" s="87"/>
    </row>
    <row r="255">
      <c r="F255" s="87"/>
    </row>
    <row r="256">
      <c r="F256" s="87"/>
    </row>
    <row r="257">
      <c r="F257" s="87"/>
    </row>
    <row r="258">
      <c r="F258" s="87"/>
    </row>
    <row r="259">
      <c r="F259" s="87"/>
    </row>
    <row r="260">
      <c r="F260" s="87"/>
    </row>
    <row r="261">
      <c r="F261" s="87"/>
    </row>
    <row r="262">
      <c r="F262" s="87"/>
    </row>
    <row r="263">
      <c r="F263" s="87"/>
    </row>
    <row r="264">
      <c r="F264" s="87"/>
    </row>
    <row r="265">
      <c r="F265" s="87"/>
    </row>
    <row r="266">
      <c r="F266" s="87"/>
    </row>
    <row r="267">
      <c r="F267" s="87"/>
    </row>
    <row r="268">
      <c r="F268" s="87"/>
    </row>
    <row r="269">
      <c r="F269" s="87"/>
    </row>
    <row r="270">
      <c r="F270" s="87"/>
    </row>
    <row r="271">
      <c r="F271" s="87"/>
    </row>
    <row r="272">
      <c r="F272" s="87"/>
    </row>
    <row r="273">
      <c r="F273" s="87"/>
    </row>
    <row r="274">
      <c r="F274" s="87"/>
    </row>
    <row r="275">
      <c r="F275" s="87"/>
    </row>
    <row r="276">
      <c r="F276" s="87"/>
    </row>
    <row r="277">
      <c r="F277" s="87"/>
    </row>
    <row r="278">
      <c r="F278" s="87"/>
    </row>
    <row r="279">
      <c r="F279" s="87"/>
    </row>
    <row r="280">
      <c r="F280" s="87"/>
    </row>
    <row r="281">
      <c r="F281" s="87"/>
    </row>
    <row r="282">
      <c r="F282" s="87"/>
    </row>
    <row r="283">
      <c r="F283" s="87"/>
    </row>
    <row r="284">
      <c r="F284" s="87"/>
    </row>
    <row r="285">
      <c r="F285" s="87"/>
    </row>
    <row r="286">
      <c r="F286" s="87"/>
    </row>
    <row r="287">
      <c r="F287" s="87"/>
    </row>
    <row r="288">
      <c r="F288" s="87"/>
    </row>
    <row r="289">
      <c r="F289" s="87"/>
    </row>
    <row r="290">
      <c r="F290" s="87"/>
    </row>
    <row r="291">
      <c r="F291" s="87"/>
    </row>
    <row r="292">
      <c r="F292" s="87"/>
    </row>
    <row r="293">
      <c r="F293" s="87"/>
    </row>
    <row r="294">
      <c r="F294" s="87"/>
    </row>
    <row r="295">
      <c r="F295" s="87"/>
    </row>
    <row r="296">
      <c r="F296" s="87"/>
    </row>
    <row r="297">
      <c r="F297" s="87"/>
    </row>
    <row r="298">
      <c r="F298" s="87"/>
    </row>
    <row r="299">
      <c r="F299" s="87"/>
    </row>
    <row r="300">
      <c r="F300" s="87"/>
    </row>
    <row r="301">
      <c r="F301" s="87"/>
    </row>
    <row r="302">
      <c r="F302" s="87"/>
    </row>
    <row r="303">
      <c r="F303" s="87"/>
    </row>
    <row r="304">
      <c r="F304" s="87"/>
    </row>
    <row r="305">
      <c r="F305" s="87"/>
    </row>
    <row r="306">
      <c r="F306" s="87"/>
    </row>
    <row r="307">
      <c r="F307" s="87"/>
    </row>
    <row r="308">
      <c r="F308" s="87"/>
    </row>
    <row r="309">
      <c r="F309" s="87"/>
    </row>
    <row r="310">
      <c r="F310" s="87"/>
    </row>
    <row r="311">
      <c r="F311" s="87"/>
    </row>
    <row r="312">
      <c r="F312" s="87"/>
    </row>
    <row r="313">
      <c r="F313" s="87"/>
    </row>
    <row r="314">
      <c r="F314" s="87"/>
    </row>
    <row r="315">
      <c r="F315" s="87"/>
    </row>
    <row r="316">
      <c r="F316" s="87"/>
    </row>
    <row r="317">
      <c r="F317" s="87"/>
    </row>
    <row r="318">
      <c r="F318" s="87"/>
    </row>
    <row r="319">
      <c r="F319" s="87"/>
    </row>
    <row r="320">
      <c r="F320" s="87"/>
    </row>
    <row r="321">
      <c r="F321" s="87"/>
    </row>
    <row r="322">
      <c r="F322" s="87"/>
    </row>
    <row r="323">
      <c r="F323" s="87"/>
    </row>
    <row r="324">
      <c r="F324" s="87"/>
    </row>
    <row r="325">
      <c r="F325" s="87"/>
    </row>
    <row r="326">
      <c r="F326" s="87"/>
    </row>
    <row r="327">
      <c r="F327" s="87"/>
    </row>
    <row r="328">
      <c r="F328" s="87"/>
    </row>
    <row r="329">
      <c r="F329" s="87"/>
    </row>
    <row r="330">
      <c r="F330" s="87"/>
    </row>
    <row r="331">
      <c r="F331" s="87"/>
    </row>
    <row r="332">
      <c r="F332" s="87"/>
    </row>
    <row r="333">
      <c r="F333" s="87"/>
    </row>
    <row r="334">
      <c r="F334" s="87"/>
    </row>
    <row r="335">
      <c r="F335" s="87"/>
    </row>
    <row r="336">
      <c r="F336" s="87"/>
    </row>
    <row r="337">
      <c r="F337" s="87"/>
    </row>
    <row r="338">
      <c r="F338" s="87"/>
    </row>
    <row r="339">
      <c r="F339" s="87"/>
    </row>
    <row r="340">
      <c r="F340" s="87"/>
    </row>
    <row r="341">
      <c r="F341" s="87"/>
    </row>
    <row r="342">
      <c r="F342" s="87"/>
    </row>
    <row r="343">
      <c r="F343" s="87"/>
    </row>
    <row r="344">
      <c r="F344" s="87"/>
    </row>
    <row r="345">
      <c r="F345" s="87"/>
    </row>
    <row r="346">
      <c r="F346" s="87"/>
    </row>
    <row r="347">
      <c r="F347" s="87"/>
    </row>
    <row r="348">
      <c r="F348" s="87"/>
    </row>
    <row r="349">
      <c r="F349" s="87"/>
    </row>
    <row r="350">
      <c r="F350" s="87"/>
    </row>
    <row r="351">
      <c r="F351" s="87"/>
    </row>
    <row r="352">
      <c r="F352" s="87"/>
    </row>
    <row r="353">
      <c r="F353" s="87"/>
    </row>
    <row r="354">
      <c r="F354" s="87"/>
    </row>
    <row r="355">
      <c r="F355" s="87"/>
    </row>
    <row r="356">
      <c r="F356" s="87"/>
    </row>
    <row r="357">
      <c r="F357" s="87"/>
    </row>
    <row r="358">
      <c r="F358" s="87"/>
    </row>
    <row r="359">
      <c r="F359" s="87"/>
    </row>
    <row r="360">
      <c r="F360" s="87"/>
    </row>
    <row r="361">
      <c r="F361" s="87"/>
    </row>
    <row r="362">
      <c r="F362" s="87"/>
    </row>
    <row r="363">
      <c r="F363" s="87"/>
    </row>
    <row r="364">
      <c r="F364" s="87"/>
    </row>
    <row r="365">
      <c r="F365" s="87"/>
    </row>
    <row r="366">
      <c r="F366" s="87"/>
    </row>
    <row r="367">
      <c r="F367" s="87"/>
    </row>
    <row r="368">
      <c r="F368" s="87"/>
    </row>
    <row r="369">
      <c r="F369" s="87"/>
    </row>
    <row r="370">
      <c r="F370" s="87"/>
    </row>
    <row r="371">
      <c r="F371" s="87"/>
    </row>
    <row r="372">
      <c r="F372" s="87"/>
    </row>
    <row r="373">
      <c r="F373" s="87"/>
    </row>
    <row r="374">
      <c r="F374" s="87"/>
    </row>
    <row r="375">
      <c r="F375" s="87"/>
    </row>
    <row r="376">
      <c r="F376" s="87"/>
    </row>
    <row r="377">
      <c r="F377" s="87"/>
    </row>
    <row r="378">
      <c r="F378" s="87"/>
    </row>
    <row r="379">
      <c r="F379" s="87"/>
    </row>
    <row r="380">
      <c r="F380" s="87"/>
    </row>
    <row r="381">
      <c r="F381" s="87"/>
    </row>
    <row r="382">
      <c r="F382" s="87"/>
    </row>
    <row r="383">
      <c r="F383" s="87"/>
    </row>
    <row r="384">
      <c r="F384" s="87"/>
    </row>
    <row r="385">
      <c r="F385" s="87"/>
    </row>
    <row r="386">
      <c r="F386" s="87"/>
    </row>
    <row r="387">
      <c r="F387" s="87"/>
    </row>
    <row r="388">
      <c r="F388" s="87"/>
    </row>
    <row r="389">
      <c r="F389" s="87"/>
    </row>
    <row r="390">
      <c r="F390" s="87"/>
    </row>
    <row r="391">
      <c r="F391" s="87"/>
    </row>
    <row r="392">
      <c r="F392" s="87"/>
    </row>
    <row r="393">
      <c r="F393" s="87"/>
    </row>
    <row r="394">
      <c r="F394" s="87"/>
    </row>
    <row r="395">
      <c r="F395" s="87"/>
    </row>
    <row r="396">
      <c r="F396" s="87"/>
    </row>
    <row r="397">
      <c r="F397" s="87"/>
    </row>
    <row r="398">
      <c r="F398" s="87"/>
    </row>
    <row r="399">
      <c r="F399" s="87"/>
    </row>
    <row r="400">
      <c r="F400" s="87"/>
    </row>
    <row r="401">
      <c r="F401" s="87"/>
    </row>
    <row r="402">
      <c r="F402" s="87"/>
    </row>
    <row r="403">
      <c r="F403" s="87"/>
    </row>
    <row r="404">
      <c r="F404" s="87"/>
    </row>
    <row r="405">
      <c r="F405" s="87"/>
    </row>
    <row r="406">
      <c r="F406" s="87"/>
    </row>
    <row r="407">
      <c r="F407" s="87"/>
    </row>
    <row r="408">
      <c r="F408" s="87"/>
    </row>
    <row r="409">
      <c r="F409" s="87"/>
    </row>
    <row r="410">
      <c r="F410" s="87"/>
    </row>
    <row r="411">
      <c r="F411" s="87"/>
    </row>
    <row r="412">
      <c r="F412" s="87"/>
    </row>
    <row r="413">
      <c r="F413" s="87"/>
    </row>
    <row r="414">
      <c r="F414" s="87"/>
    </row>
    <row r="415">
      <c r="F415" s="87"/>
    </row>
    <row r="416">
      <c r="F416" s="87"/>
    </row>
    <row r="417">
      <c r="F417" s="87"/>
    </row>
    <row r="418">
      <c r="F418" s="87"/>
    </row>
    <row r="419">
      <c r="F419" s="87"/>
    </row>
    <row r="420">
      <c r="F420" s="87"/>
    </row>
    <row r="421">
      <c r="F421" s="87"/>
    </row>
    <row r="422">
      <c r="F422" s="87"/>
    </row>
    <row r="423">
      <c r="F423" s="87"/>
    </row>
    <row r="424">
      <c r="F424" s="87"/>
    </row>
    <row r="425">
      <c r="F425" s="87"/>
    </row>
    <row r="426">
      <c r="F426" s="87"/>
    </row>
    <row r="427">
      <c r="F427" s="87"/>
    </row>
    <row r="428">
      <c r="F428" s="87"/>
    </row>
    <row r="429">
      <c r="F429" s="87"/>
    </row>
    <row r="430">
      <c r="F430" s="87"/>
    </row>
    <row r="431">
      <c r="F431" s="87"/>
    </row>
    <row r="432">
      <c r="F432" s="87"/>
    </row>
    <row r="433">
      <c r="F433" s="87"/>
    </row>
    <row r="434">
      <c r="F434" s="87"/>
    </row>
    <row r="435">
      <c r="F435" s="87"/>
    </row>
    <row r="436">
      <c r="F436" s="87"/>
    </row>
    <row r="437">
      <c r="F437" s="87"/>
    </row>
    <row r="438">
      <c r="F438" s="87"/>
    </row>
    <row r="439">
      <c r="F439" s="87"/>
    </row>
    <row r="440">
      <c r="F440" s="87"/>
    </row>
    <row r="441">
      <c r="F441" s="87"/>
    </row>
    <row r="442">
      <c r="F442" s="87"/>
    </row>
    <row r="443">
      <c r="F443" s="87"/>
    </row>
    <row r="444">
      <c r="F444" s="87"/>
    </row>
    <row r="445">
      <c r="F445" s="87"/>
    </row>
    <row r="446">
      <c r="F446" s="87"/>
    </row>
    <row r="447">
      <c r="F447" s="87"/>
    </row>
    <row r="448">
      <c r="F448" s="87"/>
    </row>
    <row r="449">
      <c r="F449" s="87"/>
    </row>
    <row r="450">
      <c r="F450" s="87"/>
    </row>
    <row r="451">
      <c r="F451" s="87"/>
    </row>
    <row r="452">
      <c r="F452" s="87"/>
    </row>
    <row r="453">
      <c r="F453" s="87"/>
    </row>
    <row r="454">
      <c r="F454" s="87"/>
    </row>
    <row r="455">
      <c r="F455" s="87"/>
    </row>
    <row r="456">
      <c r="F456" s="87"/>
    </row>
    <row r="457">
      <c r="F457" s="87"/>
    </row>
    <row r="458">
      <c r="F458" s="87"/>
    </row>
    <row r="459">
      <c r="F459" s="87"/>
    </row>
    <row r="460">
      <c r="F460" s="87"/>
    </row>
    <row r="461">
      <c r="F461" s="87"/>
    </row>
    <row r="462">
      <c r="F462" s="87"/>
    </row>
    <row r="463">
      <c r="F463" s="87"/>
    </row>
    <row r="464">
      <c r="F464" s="87"/>
    </row>
    <row r="465">
      <c r="F465" s="87"/>
    </row>
    <row r="466">
      <c r="F466" s="87"/>
    </row>
    <row r="467">
      <c r="F467" s="87"/>
    </row>
    <row r="468">
      <c r="F468" s="87"/>
    </row>
    <row r="469">
      <c r="F469" s="87"/>
    </row>
    <row r="470">
      <c r="F470" s="87"/>
    </row>
    <row r="471">
      <c r="F471" s="87"/>
    </row>
    <row r="472">
      <c r="F472" s="87"/>
    </row>
    <row r="473">
      <c r="F473" s="87"/>
    </row>
    <row r="474">
      <c r="F474" s="87"/>
    </row>
    <row r="475">
      <c r="F475" s="87"/>
    </row>
    <row r="476">
      <c r="F476" s="87"/>
    </row>
    <row r="477">
      <c r="F477" s="87"/>
    </row>
    <row r="478">
      <c r="F478" s="87"/>
    </row>
    <row r="479">
      <c r="F479" s="87"/>
    </row>
    <row r="480">
      <c r="F480" s="87"/>
    </row>
    <row r="481">
      <c r="F481" s="87"/>
    </row>
    <row r="482">
      <c r="F482" s="87"/>
    </row>
    <row r="483">
      <c r="F483" s="87"/>
    </row>
    <row r="484">
      <c r="F484" s="87"/>
    </row>
    <row r="485">
      <c r="F485" s="87"/>
    </row>
    <row r="486">
      <c r="F486" s="87"/>
    </row>
    <row r="487">
      <c r="F487" s="87"/>
    </row>
    <row r="488">
      <c r="F488" s="87"/>
    </row>
    <row r="489">
      <c r="F489" s="87"/>
    </row>
    <row r="490">
      <c r="F490" s="87"/>
    </row>
    <row r="491">
      <c r="F491" s="87"/>
    </row>
    <row r="492">
      <c r="F492" s="87"/>
    </row>
    <row r="493">
      <c r="F493" s="87"/>
    </row>
    <row r="494">
      <c r="F494" s="87"/>
    </row>
    <row r="495">
      <c r="F495" s="87"/>
    </row>
    <row r="496">
      <c r="F496" s="87"/>
    </row>
    <row r="497">
      <c r="F497" s="87"/>
    </row>
    <row r="498">
      <c r="F498" s="87"/>
    </row>
    <row r="499">
      <c r="F499" s="87"/>
    </row>
    <row r="500">
      <c r="F500" s="87"/>
    </row>
    <row r="501">
      <c r="F501" s="87"/>
    </row>
    <row r="502">
      <c r="F502" s="87"/>
    </row>
    <row r="503">
      <c r="F503" s="87"/>
    </row>
    <row r="504">
      <c r="F504" s="87"/>
    </row>
    <row r="505">
      <c r="F505" s="87"/>
    </row>
    <row r="506">
      <c r="F506" s="87"/>
    </row>
    <row r="507">
      <c r="F507" s="87"/>
    </row>
    <row r="508">
      <c r="F508" s="87"/>
    </row>
    <row r="509">
      <c r="F509" s="87"/>
    </row>
    <row r="510">
      <c r="F510" s="87"/>
    </row>
    <row r="511">
      <c r="F511" s="87"/>
    </row>
    <row r="512">
      <c r="F512" s="87"/>
    </row>
    <row r="513">
      <c r="F513" s="87"/>
    </row>
    <row r="514">
      <c r="F514" s="87"/>
    </row>
    <row r="515">
      <c r="F515" s="87"/>
    </row>
    <row r="516">
      <c r="F516" s="87"/>
    </row>
    <row r="517">
      <c r="F517" s="87"/>
    </row>
    <row r="518">
      <c r="F518" s="87"/>
    </row>
    <row r="519">
      <c r="F519" s="87"/>
    </row>
    <row r="520">
      <c r="F520" s="87"/>
    </row>
    <row r="521">
      <c r="F521" s="87"/>
    </row>
    <row r="522">
      <c r="F522" s="87"/>
    </row>
    <row r="523">
      <c r="F523" s="87"/>
    </row>
    <row r="524">
      <c r="F524" s="87"/>
    </row>
    <row r="525">
      <c r="F525" s="87"/>
    </row>
    <row r="526">
      <c r="F526" s="87"/>
    </row>
    <row r="527">
      <c r="F527" s="87"/>
    </row>
    <row r="528">
      <c r="F528" s="87"/>
    </row>
    <row r="529">
      <c r="F529" s="87"/>
    </row>
    <row r="530">
      <c r="F530" s="87"/>
    </row>
    <row r="531">
      <c r="F531" s="87"/>
    </row>
    <row r="532">
      <c r="F532" s="87"/>
    </row>
    <row r="533">
      <c r="F533" s="87"/>
    </row>
    <row r="534">
      <c r="F534" s="87"/>
    </row>
    <row r="535">
      <c r="F535" s="87"/>
    </row>
    <row r="536">
      <c r="F536" s="87"/>
    </row>
    <row r="537">
      <c r="F537" s="87"/>
    </row>
    <row r="538">
      <c r="F538" s="87"/>
    </row>
    <row r="539">
      <c r="F539" s="87"/>
    </row>
    <row r="540">
      <c r="F540" s="87"/>
    </row>
    <row r="541">
      <c r="F541" s="87"/>
    </row>
    <row r="542">
      <c r="F542" s="87"/>
    </row>
    <row r="543">
      <c r="F543" s="87"/>
    </row>
    <row r="544">
      <c r="F544" s="87"/>
    </row>
    <row r="545">
      <c r="F545" s="87"/>
    </row>
    <row r="546">
      <c r="F546" s="87"/>
    </row>
    <row r="547">
      <c r="F547" s="87"/>
    </row>
    <row r="548">
      <c r="F548" s="87"/>
    </row>
    <row r="549">
      <c r="F549" s="87"/>
    </row>
    <row r="550">
      <c r="F550" s="87"/>
    </row>
    <row r="551">
      <c r="F551" s="87"/>
    </row>
    <row r="552">
      <c r="F552" s="87"/>
    </row>
    <row r="553">
      <c r="F553" s="87"/>
    </row>
    <row r="554">
      <c r="F554" s="87"/>
    </row>
    <row r="555">
      <c r="F555" s="87"/>
    </row>
    <row r="556">
      <c r="F556" s="87"/>
    </row>
    <row r="557">
      <c r="F557" s="87"/>
    </row>
    <row r="558">
      <c r="F558" s="87"/>
    </row>
    <row r="559">
      <c r="F559" s="87"/>
    </row>
    <row r="560">
      <c r="F560" s="87"/>
    </row>
    <row r="561">
      <c r="F561" s="87"/>
    </row>
    <row r="562">
      <c r="F562" s="87"/>
    </row>
    <row r="563">
      <c r="F563" s="87"/>
    </row>
    <row r="564">
      <c r="F564" s="87"/>
    </row>
    <row r="565">
      <c r="F565" s="87"/>
    </row>
    <row r="566">
      <c r="F566" s="87"/>
    </row>
    <row r="567">
      <c r="F567" s="87"/>
    </row>
    <row r="568">
      <c r="F568" s="87"/>
    </row>
    <row r="569">
      <c r="F569" s="87"/>
    </row>
    <row r="570">
      <c r="F570" s="87"/>
    </row>
    <row r="571">
      <c r="F571" s="87"/>
    </row>
    <row r="572">
      <c r="F572" s="87"/>
    </row>
    <row r="573">
      <c r="F573" s="87"/>
    </row>
    <row r="574">
      <c r="F574" s="87"/>
    </row>
    <row r="575">
      <c r="F575" s="87"/>
    </row>
    <row r="576">
      <c r="F576" s="87"/>
    </row>
    <row r="577">
      <c r="F577" s="87"/>
    </row>
    <row r="578">
      <c r="F578" s="87"/>
    </row>
    <row r="579">
      <c r="F579" s="87"/>
    </row>
    <row r="580">
      <c r="F580" s="87"/>
    </row>
    <row r="581">
      <c r="F581" s="87"/>
    </row>
    <row r="582">
      <c r="F582" s="87"/>
    </row>
    <row r="583">
      <c r="F583" s="87"/>
    </row>
    <row r="584">
      <c r="F584" s="87"/>
    </row>
    <row r="585">
      <c r="F585" s="87"/>
    </row>
    <row r="586">
      <c r="F586" s="87"/>
    </row>
    <row r="587">
      <c r="F587" s="87"/>
    </row>
    <row r="588">
      <c r="F588" s="87"/>
    </row>
    <row r="589">
      <c r="F589" s="87"/>
    </row>
    <row r="590">
      <c r="F590" s="87"/>
    </row>
    <row r="591">
      <c r="F591" s="87"/>
    </row>
    <row r="592">
      <c r="F592" s="87"/>
    </row>
    <row r="593">
      <c r="F593" s="87"/>
    </row>
    <row r="594">
      <c r="F594" s="87"/>
    </row>
    <row r="595">
      <c r="F595" s="87"/>
    </row>
    <row r="596">
      <c r="F596" s="87"/>
    </row>
    <row r="597">
      <c r="F597" s="87"/>
    </row>
    <row r="598">
      <c r="F598" s="87"/>
    </row>
    <row r="599">
      <c r="F599" s="87"/>
    </row>
    <row r="600">
      <c r="F600" s="87"/>
    </row>
    <row r="601">
      <c r="F601" s="87"/>
    </row>
    <row r="602">
      <c r="F602" s="87"/>
    </row>
    <row r="603">
      <c r="F603" s="87"/>
    </row>
    <row r="604">
      <c r="F604" s="87"/>
    </row>
    <row r="605">
      <c r="F605" s="87"/>
    </row>
    <row r="606">
      <c r="F606" s="87"/>
    </row>
    <row r="607">
      <c r="F607" s="87"/>
    </row>
    <row r="608">
      <c r="F608" s="87"/>
    </row>
    <row r="609">
      <c r="F609" s="87"/>
    </row>
    <row r="610">
      <c r="F610" s="87"/>
    </row>
    <row r="611">
      <c r="F611" s="87"/>
    </row>
    <row r="612">
      <c r="F612" s="87"/>
    </row>
    <row r="613">
      <c r="F613" s="87"/>
    </row>
    <row r="614">
      <c r="F614" s="87"/>
    </row>
    <row r="615">
      <c r="F615" s="87"/>
    </row>
    <row r="616">
      <c r="F616" s="87"/>
    </row>
    <row r="617">
      <c r="F617" s="87"/>
    </row>
    <row r="618">
      <c r="F618" s="87"/>
    </row>
    <row r="619">
      <c r="F619" s="87"/>
    </row>
    <row r="620">
      <c r="F620" s="87"/>
    </row>
    <row r="621">
      <c r="F621" s="87"/>
    </row>
    <row r="622">
      <c r="F622" s="87"/>
    </row>
    <row r="623">
      <c r="F623" s="87"/>
    </row>
    <row r="624">
      <c r="F624" s="87"/>
    </row>
    <row r="625">
      <c r="F625" s="87"/>
    </row>
    <row r="626">
      <c r="F626" s="87"/>
    </row>
    <row r="627">
      <c r="F627" s="87"/>
    </row>
    <row r="628">
      <c r="F628" s="87"/>
    </row>
    <row r="629">
      <c r="F629" s="87"/>
    </row>
    <row r="630">
      <c r="F630" s="87"/>
    </row>
    <row r="631">
      <c r="F631" s="87"/>
    </row>
    <row r="632">
      <c r="F632" s="87"/>
    </row>
    <row r="633">
      <c r="F633" s="87"/>
    </row>
    <row r="634">
      <c r="F634" s="87"/>
    </row>
    <row r="635">
      <c r="F635" s="87"/>
    </row>
    <row r="636">
      <c r="F636" s="87"/>
    </row>
    <row r="637">
      <c r="F637" s="87"/>
    </row>
    <row r="638">
      <c r="F638" s="87"/>
    </row>
    <row r="639">
      <c r="F639" s="87"/>
    </row>
    <row r="640">
      <c r="F640" s="87"/>
    </row>
    <row r="641">
      <c r="F641" s="87"/>
    </row>
    <row r="642">
      <c r="F642" s="87"/>
    </row>
    <row r="643">
      <c r="F643" s="87"/>
    </row>
    <row r="644">
      <c r="F644" s="87"/>
    </row>
    <row r="645">
      <c r="F645" s="87"/>
    </row>
    <row r="646">
      <c r="F646" s="87"/>
    </row>
    <row r="647">
      <c r="F647" s="87"/>
    </row>
    <row r="648">
      <c r="F648" s="87"/>
    </row>
    <row r="649">
      <c r="F649" s="87"/>
    </row>
    <row r="650">
      <c r="F650" s="87"/>
    </row>
    <row r="651">
      <c r="F651" s="87"/>
    </row>
    <row r="652">
      <c r="F652" s="87"/>
    </row>
    <row r="653">
      <c r="F653" s="87"/>
    </row>
    <row r="654">
      <c r="F654" s="87"/>
    </row>
    <row r="655">
      <c r="F655" s="87"/>
    </row>
    <row r="656">
      <c r="F656" s="87"/>
    </row>
    <row r="657">
      <c r="F657" s="87"/>
    </row>
    <row r="658">
      <c r="F658" s="87"/>
    </row>
    <row r="659">
      <c r="F659" s="87"/>
    </row>
    <row r="660">
      <c r="F660" s="87"/>
    </row>
    <row r="661">
      <c r="F661" s="87"/>
    </row>
    <row r="662">
      <c r="F662" s="87"/>
    </row>
    <row r="663">
      <c r="F663" s="87"/>
    </row>
    <row r="664">
      <c r="F664" s="87"/>
    </row>
    <row r="665">
      <c r="F665" s="87"/>
    </row>
    <row r="666">
      <c r="F666" s="87"/>
    </row>
    <row r="667">
      <c r="F667" s="87"/>
    </row>
    <row r="668">
      <c r="F668" s="87"/>
    </row>
    <row r="669">
      <c r="F669" s="87"/>
    </row>
    <row r="670">
      <c r="F670" s="87"/>
    </row>
    <row r="671">
      <c r="F671" s="87"/>
    </row>
    <row r="672">
      <c r="F672" s="87"/>
    </row>
    <row r="673">
      <c r="F673" s="87"/>
    </row>
    <row r="674">
      <c r="F674" s="87"/>
    </row>
    <row r="675">
      <c r="F675" s="87"/>
    </row>
    <row r="676">
      <c r="F676" s="87"/>
    </row>
    <row r="677">
      <c r="F677" s="87"/>
    </row>
    <row r="678">
      <c r="F678" s="87"/>
    </row>
    <row r="679">
      <c r="F679" s="87"/>
    </row>
    <row r="680">
      <c r="F680" s="87"/>
    </row>
    <row r="681">
      <c r="F681" s="87"/>
    </row>
    <row r="682">
      <c r="F682" s="87"/>
    </row>
    <row r="683">
      <c r="F683" s="87"/>
    </row>
    <row r="684">
      <c r="F684" s="87"/>
    </row>
    <row r="685">
      <c r="F685" s="87"/>
    </row>
    <row r="686">
      <c r="F686" s="87"/>
    </row>
    <row r="687">
      <c r="F687" s="87"/>
    </row>
    <row r="688">
      <c r="F688" s="87"/>
    </row>
    <row r="689">
      <c r="F689" s="87"/>
    </row>
    <row r="690">
      <c r="F690" s="87"/>
    </row>
    <row r="691">
      <c r="F691" s="87"/>
    </row>
    <row r="692">
      <c r="F692" s="87"/>
    </row>
    <row r="693">
      <c r="F693" s="87"/>
    </row>
    <row r="694">
      <c r="F694" s="87"/>
    </row>
    <row r="695">
      <c r="F695" s="87"/>
    </row>
    <row r="696">
      <c r="F696" s="87"/>
    </row>
    <row r="697">
      <c r="F697" s="87"/>
    </row>
    <row r="698">
      <c r="F698" s="87"/>
    </row>
    <row r="699">
      <c r="F699" s="87"/>
    </row>
    <row r="700">
      <c r="F700" s="87"/>
    </row>
    <row r="701">
      <c r="F701" s="87"/>
    </row>
    <row r="702">
      <c r="F702" s="87"/>
    </row>
    <row r="703">
      <c r="F703" s="87"/>
    </row>
    <row r="704">
      <c r="F704" s="87"/>
    </row>
    <row r="705">
      <c r="F705" s="87"/>
    </row>
    <row r="706">
      <c r="F706" s="87"/>
    </row>
    <row r="707">
      <c r="F707" s="87"/>
    </row>
    <row r="708">
      <c r="F708" s="87"/>
    </row>
    <row r="709">
      <c r="F709" s="87"/>
    </row>
    <row r="710">
      <c r="F710" s="87"/>
    </row>
    <row r="711">
      <c r="F711" s="87"/>
    </row>
    <row r="712">
      <c r="F712" s="87"/>
    </row>
    <row r="713">
      <c r="F713" s="87"/>
    </row>
    <row r="714">
      <c r="F714" s="87"/>
    </row>
    <row r="715">
      <c r="F715" s="87"/>
    </row>
    <row r="716">
      <c r="F716" s="87"/>
    </row>
    <row r="717">
      <c r="F717" s="87"/>
    </row>
    <row r="718">
      <c r="F718" s="87"/>
    </row>
    <row r="719">
      <c r="F719" s="87"/>
    </row>
    <row r="720">
      <c r="F720" s="87"/>
    </row>
    <row r="721">
      <c r="F721" s="87"/>
    </row>
    <row r="722">
      <c r="F722" s="87"/>
    </row>
    <row r="723">
      <c r="F723" s="87"/>
    </row>
    <row r="724">
      <c r="F724" s="87"/>
    </row>
    <row r="725">
      <c r="F725" s="87"/>
    </row>
    <row r="726">
      <c r="F726" s="87"/>
    </row>
    <row r="727">
      <c r="F727" s="87"/>
    </row>
    <row r="728">
      <c r="F728" s="87"/>
    </row>
    <row r="729">
      <c r="F729" s="87"/>
    </row>
    <row r="730">
      <c r="F730" s="87"/>
    </row>
    <row r="731">
      <c r="F731" s="87"/>
    </row>
    <row r="732">
      <c r="F732" s="87"/>
    </row>
    <row r="733">
      <c r="F733" s="87"/>
    </row>
    <row r="734">
      <c r="F734" s="87"/>
    </row>
    <row r="735">
      <c r="F735" s="87"/>
    </row>
    <row r="736">
      <c r="F736" s="87"/>
    </row>
    <row r="737">
      <c r="F737" s="87"/>
    </row>
    <row r="738">
      <c r="F738" s="87"/>
    </row>
    <row r="739">
      <c r="F739" s="87"/>
    </row>
    <row r="740">
      <c r="F740" s="87"/>
    </row>
    <row r="741">
      <c r="F741" s="87"/>
    </row>
    <row r="742">
      <c r="F742" s="87"/>
    </row>
    <row r="743">
      <c r="F743" s="87"/>
    </row>
    <row r="744">
      <c r="F744" s="87"/>
    </row>
    <row r="745">
      <c r="F745" s="87"/>
    </row>
    <row r="746">
      <c r="F746" s="87"/>
    </row>
    <row r="747">
      <c r="F747" s="87"/>
    </row>
    <row r="748">
      <c r="F748" s="87"/>
    </row>
    <row r="749">
      <c r="F749" s="87"/>
    </row>
    <row r="750">
      <c r="F750" s="87"/>
    </row>
    <row r="751">
      <c r="F751" s="87"/>
    </row>
    <row r="752">
      <c r="F752" s="87"/>
    </row>
    <row r="753">
      <c r="F753" s="87"/>
    </row>
    <row r="754">
      <c r="F754" s="87"/>
    </row>
    <row r="755">
      <c r="F755" s="87"/>
    </row>
    <row r="756">
      <c r="F756" s="87"/>
    </row>
    <row r="757">
      <c r="F757" s="87"/>
    </row>
    <row r="758">
      <c r="F758" s="87"/>
    </row>
    <row r="759">
      <c r="F759" s="87"/>
    </row>
    <row r="760">
      <c r="F760" s="87"/>
    </row>
    <row r="761">
      <c r="F761" s="87"/>
    </row>
    <row r="762">
      <c r="F762" s="87"/>
    </row>
    <row r="763">
      <c r="F763" s="87"/>
    </row>
    <row r="764">
      <c r="F764" s="87"/>
    </row>
    <row r="765">
      <c r="F765" s="87"/>
    </row>
    <row r="766">
      <c r="F766" s="87"/>
    </row>
    <row r="767">
      <c r="F767" s="87"/>
    </row>
    <row r="768">
      <c r="F768" s="87"/>
    </row>
    <row r="769">
      <c r="F769" s="87"/>
    </row>
    <row r="770">
      <c r="F770" s="87"/>
    </row>
    <row r="771">
      <c r="F771" s="87"/>
    </row>
    <row r="772">
      <c r="F772" s="87"/>
    </row>
    <row r="773">
      <c r="F773" s="87"/>
    </row>
    <row r="774">
      <c r="F774" s="87"/>
    </row>
    <row r="775">
      <c r="F775" s="87"/>
    </row>
    <row r="776">
      <c r="F776" s="87"/>
    </row>
    <row r="777">
      <c r="F777" s="87"/>
    </row>
    <row r="778">
      <c r="F778" s="87"/>
    </row>
    <row r="779">
      <c r="F779" s="87"/>
    </row>
    <row r="780">
      <c r="F780" s="87"/>
    </row>
    <row r="781">
      <c r="F781" s="87"/>
    </row>
    <row r="782">
      <c r="F782" s="87"/>
    </row>
    <row r="783">
      <c r="F783" s="87"/>
    </row>
    <row r="784">
      <c r="F784" s="87"/>
    </row>
    <row r="785">
      <c r="F785" s="87"/>
    </row>
    <row r="786">
      <c r="F786" s="87"/>
    </row>
    <row r="787">
      <c r="F787" s="87"/>
    </row>
    <row r="788">
      <c r="F788" s="87"/>
    </row>
    <row r="789">
      <c r="F789" s="87"/>
    </row>
    <row r="790">
      <c r="F790" s="87"/>
    </row>
    <row r="791">
      <c r="F791" s="87"/>
    </row>
    <row r="792">
      <c r="F792" s="87"/>
    </row>
    <row r="793">
      <c r="F793" s="87"/>
    </row>
    <row r="794">
      <c r="F794" s="87"/>
    </row>
    <row r="795">
      <c r="F795" s="87"/>
    </row>
    <row r="796">
      <c r="F796" s="87"/>
    </row>
    <row r="797">
      <c r="F797" s="87"/>
    </row>
    <row r="798">
      <c r="F798" s="87"/>
    </row>
    <row r="799">
      <c r="F799" s="87"/>
    </row>
    <row r="800">
      <c r="F800" s="87"/>
    </row>
    <row r="801">
      <c r="F801" s="87"/>
    </row>
    <row r="802">
      <c r="F802" s="87"/>
    </row>
    <row r="803">
      <c r="F803" s="87"/>
    </row>
    <row r="804">
      <c r="F804" s="87"/>
    </row>
    <row r="805">
      <c r="F805" s="87"/>
    </row>
    <row r="806">
      <c r="F806" s="87"/>
    </row>
    <row r="807">
      <c r="F807" s="87"/>
    </row>
    <row r="808">
      <c r="F808" s="87"/>
    </row>
    <row r="809">
      <c r="F809" s="87"/>
    </row>
    <row r="810">
      <c r="F810" s="87"/>
    </row>
    <row r="811">
      <c r="F811" s="87"/>
    </row>
    <row r="812">
      <c r="F812" s="87"/>
    </row>
    <row r="813">
      <c r="F813" s="87"/>
    </row>
    <row r="814">
      <c r="F814" s="87"/>
    </row>
    <row r="815">
      <c r="F815" s="87"/>
    </row>
    <row r="816">
      <c r="F816" s="87"/>
    </row>
    <row r="817">
      <c r="F817" s="87"/>
    </row>
    <row r="818">
      <c r="F818" s="87"/>
    </row>
    <row r="819">
      <c r="F819" s="87"/>
    </row>
    <row r="820">
      <c r="F820" s="87"/>
    </row>
    <row r="821">
      <c r="F821" s="87"/>
    </row>
    <row r="822">
      <c r="F822" s="87"/>
    </row>
    <row r="823">
      <c r="F823" s="87"/>
    </row>
    <row r="824">
      <c r="F824" s="87"/>
    </row>
    <row r="825">
      <c r="F825" s="87"/>
    </row>
    <row r="826">
      <c r="F826" s="87"/>
    </row>
    <row r="827">
      <c r="F827" s="87"/>
    </row>
    <row r="828">
      <c r="F828" s="87"/>
    </row>
    <row r="829">
      <c r="F829" s="87"/>
    </row>
    <row r="830">
      <c r="F830" s="87"/>
    </row>
    <row r="831">
      <c r="F831" s="87"/>
    </row>
    <row r="832">
      <c r="F832" s="87"/>
    </row>
    <row r="833">
      <c r="F833" s="87"/>
    </row>
    <row r="834">
      <c r="F834" s="87"/>
    </row>
    <row r="835">
      <c r="F835" s="87"/>
    </row>
    <row r="836">
      <c r="F836" s="87"/>
    </row>
    <row r="837">
      <c r="F837" s="87"/>
    </row>
    <row r="838">
      <c r="F838" s="87"/>
    </row>
    <row r="839">
      <c r="F839" s="87"/>
    </row>
    <row r="840">
      <c r="F840" s="87"/>
    </row>
    <row r="841">
      <c r="F841" s="87"/>
    </row>
    <row r="842">
      <c r="F842" s="87"/>
    </row>
    <row r="843">
      <c r="F843" s="87"/>
    </row>
    <row r="844">
      <c r="F844" s="87"/>
    </row>
    <row r="845">
      <c r="F845" s="87"/>
    </row>
    <row r="846">
      <c r="F846" s="87"/>
    </row>
    <row r="847">
      <c r="F847" s="87"/>
    </row>
    <row r="848">
      <c r="F848" s="87"/>
    </row>
    <row r="849">
      <c r="F849" s="87"/>
    </row>
    <row r="850">
      <c r="F850" s="87"/>
    </row>
    <row r="851">
      <c r="F851" s="87"/>
    </row>
    <row r="852">
      <c r="F852" s="87"/>
    </row>
    <row r="853">
      <c r="F853" s="87"/>
    </row>
    <row r="854">
      <c r="F854" s="87"/>
    </row>
    <row r="855">
      <c r="F855" s="87"/>
    </row>
    <row r="856">
      <c r="F856" s="87"/>
    </row>
    <row r="857">
      <c r="F857" s="87"/>
    </row>
    <row r="858">
      <c r="F858" s="87"/>
    </row>
    <row r="859">
      <c r="F859" s="87"/>
    </row>
    <row r="860">
      <c r="F860" s="87"/>
    </row>
    <row r="861">
      <c r="F861" s="87"/>
    </row>
    <row r="862">
      <c r="F862" s="87"/>
    </row>
    <row r="863">
      <c r="F863" s="87"/>
    </row>
    <row r="864">
      <c r="F864" s="87"/>
    </row>
    <row r="865">
      <c r="F865" s="87"/>
    </row>
    <row r="866">
      <c r="F866" s="87"/>
    </row>
    <row r="867">
      <c r="F867" s="87"/>
    </row>
    <row r="868">
      <c r="F868" s="87"/>
    </row>
    <row r="869">
      <c r="F869" s="87"/>
    </row>
    <row r="870">
      <c r="F870" s="87"/>
    </row>
    <row r="871">
      <c r="F871" s="87"/>
    </row>
    <row r="872">
      <c r="F872" s="87"/>
    </row>
    <row r="873">
      <c r="F873" s="87"/>
    </row>
    <row r="874">
      <c r="F874" s="87"/>
    </row>
    <row r="875">
      <c r="F875" s="87"/>
    </row>
    <row r="876">
      <c r="F876" s="87"/>
    </row>
    <row r="877">
      <c r="F877" s="87"/>
    </row>
    <row r="878">
      <c r="F878" s="87"/>
    </row>
    <row r="879">
      <c r="F879" s="87"/>
    </row>
    <row r="880">
      <c r="F880" s="87"/>
    </row>
    <row r="881">
      <c r="F881" s="87"/>
    </row>
    <row r="882">
      <c r="F882" s="87"/>
    </row>
    <row r="883">
      <c r="F883" s="87"/>
    </row>
    <row r="884">
      <c r="F884" s="87"/>
    </row>
    <row r="885">
      <c r="F885" s="87"/>
    </row>
    <row r="886">
      <c r="F886" s="87"/>
    </row>
    <row r="887">
      <c r="F887" s="87"/>
    </row>
    <row r="888">
      <c r="F888" s="87"/>
    </row>
    <row r="889">
      <c r="F889" s="87"/>
    </row>
    <row r="890">
      <c r="F890" s="87"/>
    </row>
    <row r="891">
      <c r="F891" s="87"/>
    </row>
    <row r="892">
      <c r="F892" s="87"/>
    </row>
    <row r="893">
      <c r="F893" s="87"/>
    </row>
    <row r="894">
      <c r="F894" s="87"/>
    </row>
    <row r="895">
      <c r="F895" s="87"/>
    </row>
    <row r="896">
      <c r="F896" s="87"/>
    </row>
    <row r="897">
      <c r="F897" s="87"/>
    </row>
    <row r="898">
      <c r="F898" s="87"/>
    </row>
    <row r="899">
      <c r="F899" s="87"/>
    </row>
    <row r="900">
      <c r="F900" s="87"/>
    </row>
    <row r="901">
      <c r="F901" s="87"/>
    </row>
    <row r="902">
      <c r="F902" s="87"/>
    </row>
    <row r="903">
      <c r="F903" s="87"/>
    </row>
    <row r="904">
      <c r="F904" s="87"/>
    </row>
    <row r="905">
      <c r="F905" s="87"/>
    </row>
    <row r="906">
      <c r="F906" s="87"/>
    </row>
    <row r="907">
      <c r="F907" s="87"/>
    </row>
    <row r="908">
      <c r="F908" s="87"/>
    </row>
    <row r="909">
      <c r="F909" s="87"/>
    </row>
    <row r="910">
      <c r="F910" s="87"/>
    </row>
    <row r="911">
      <c r="F911" s="87"/>
    </row>
    <row r="912">
      <c r="F912" s="87"/>
    </row>
    <row r="913">
      <c r="F913" s="87"/>
    </row>
    <row r="914">
      <c r="F914" s="87"/>
    </row>
    <row r="915">
      <c r="F915" s="87"/>
    </row>
    <row r="916">
      <c r="F916" s="87"/>
    </row>
    <row r="917">
      <c r="F917" s="87"/>
    </row>
    <row r="918">
      <c r="F918" s="87"/>
    </row>
    <row r="919">
      <c r="F919" s="87"/>
    </row>
    <row r="920">
      <c r="F920" s="87"/>
    </row>
    <row r="921">
      <c r="F921" s="87"/>
    </row>
    <row r="922">
      <c r="F922" s="87"/>
    </row>
    <row r="923">
      <c r="F923" s="87"/>
    </row>
    <row r="924">
      <c r="F924" s="87"/>
    </row>
    <row r="925">
      <c r="F925" s="87"/>
    </row>
    <row r="926">
      <c r="F926" s="87"/>
    </row>
    <row r="927">
      <c r="F927" s="87"/>
    </row>
    <row r="928">
      <c r="F928" s="87"/>
    </row>
    <row r="929">
      <c r="F929" s="87"/>
    </row>
    <row r="930">
      <c r="F930" s="87"/>
    </row>
    <row r="931">
      <c r="F931" s="87"/>
    </row>
    <row r="932">
      <c r="F932" s="87"/>
    </row>
    <row r="933">
      <c r="F933" s="87"/>
    </row>
    <row r="934">
      <c r="F934" s="87"/>
    </row>
    <row r="935">
      <c r="F935" s="87"/>
    </row>
    <row r="936">
      <c r="F936" s="87"/>
    </row>
    <row r="937">
      <c r="F937" s="87"/>
    </row>
    <row r="938">
      <c r="F938" s="87"/>
    </row>
    <row r="939">
      <c r="F939" s="87"/>
    </row>
    <row r="940">
      <c r="F940" s="87"/>
    </row>
    <row r="941">
      <c r="F941" s="87"/>
    </row>
    <row r="942">
      <c r="F942" s="87"/>
    </row>
    <row r="943">
      <c r="F943" s="87"/>
    </row>
    <row r="944">
      <c r="F944" s="87"/>
    </row>
    <row r="945">
      <c r="F945" s="87"/>
    </row>
    <row r="946">
      <c r="F946" s="87"/>
    </row>
    <row r="947">
      <c r="F947" s="87"/>
    </row>
    <row r="948">
      <c r="F948" s="87"/>
    </row>
    <row r="949">
      <c r="F949" s="87"/>
    </row>
    <row r="950">
      <c r="F950" s="87"/>
    </row>
    <row r="951">
      <c r="F951" s="87"/>
    </row>
    <row r="952">
      <c r="F952" s="87"/>
    </row>
    <row r="953">
      <c r="F953" s="87"/>
    </row>
    <row r="954">
      <c r="F954" s="87"/>
    </row>
    <row r="955">
      <c r="F955" s="87"/>
    </row>
    <row r="956">
      <c r="F956" s="87"/>
    </row>
    <row r="957">
      <c r="F957" s="87"/>
    </row>
    <row r="958">
      <c r="F958" s="87"/>
    </row>
    <row r="959">
      <c r="F959" s="87"/>
    </row>
    <row r="960">
      <c r="F960" s="87"/>
    </row>
    <row r="961">
      <c r="F961" s="87"/>
    </row>
    <row r="962">
      <c r="F962" s="87"/>
    </row>
    <row r="963">
      <c r="F963" s="87"/>
    </row>
  </sheetData>
  <mergeCells count="2">
    <mergeCell ref="A1:C5"/>
    <mergeCell ref="A32:A53"/>
  </mergeCells>
  <dataValidations>
    <dataValidation type="list" allowBlank="1" showErrorMessage="1" sqref="O32:P53 S32:S53 U32:U53 X32:Z53">
      <formula1>"Yes,NO"</formula1>
    </dataValidation>
    <dataValidation type="list" allowBlank="1" showErrorMessage="1" sqref="E32:E53">
      <formula1>"Male,Female"</formula1>
    </dataValidation>
    <dataValidation type="list" allowBlank="1" showErrorMessage="1" sqref="D7:D28 G7:G28 N32:N53">
      <formula1>"Connected,Call Back Later,Busy,Switch off,Not Received,Wrong No."</formula1>
    </dataValidation>
    <dataValidation type="list" allowBlank="1" showErrorMessage="1" sqref="E7:E28 H7:H28">
      <formula1>"CONFIRMED,NOT CONFIRMED"</formula1>
    </dataValidation>
    <dataValidation type="list" allowBlank="1" showErrorMessage="1" sqref="AA32:AA53">
      <formula1>"Verified,Not Verified"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 t="s">
        <v>1866</v>
      </c>
      <c r="D1" s="3"/>
      <c r="E1" s="3"/>
      <c r="F1" s="3"/>
    </row>
    <row r="2">
      <c r="D2" s="3"/>
      <c r="E2" s="3"/>
      <c r="F2" s="3"/>
    </row>
    <row r="3">
      <c r="D3" s="3"/>
      <c r="E3" s="3"/>
      <c r="F3" s="3"/>
    </row>
    <row r="4">
      <c r="D4" s="3"/>
      <c r="E4" s="3"/>
      <c r="F4" s="3"/>
    </row>
    <row r="5" ht="57.0" customHeight="1">
      <c r="D5" s="3"/>
      <c r="E5" s="3"/>
      <c r="F5" s="3"/>
    </row>
    <row r="6">
      <c r="A6" s="72" t="s">
        <v>5</v>
      </c>
      <c r="B6" s="72" t="s">
        <v>6</v>
      </c>
      <c r="C6" s="72" t="s">
        <v>7</v>
      </c>
      <c r="D6" s="73" t="s">
        <v>1867</v>
      </c>
      <c r="E6" s="74" t="s">
        <v>2</v>
      </c>
      <c r="F6" s="74" t="s">
        <v>3</v>
      </c>
      <c r="G6" s="140" t="s">
        <v>1868</v>
      </c>
      <c r="H6" s="141"/>
    </row>
    <row r="7">
      <c r="A7" s="53">
        <v>1.0</v>
      </c>
      <c r="B7" s="17" t="s">
        <v>749</v>
      </c>
      <c r="C7" s="18">
        <v>9.934570894E9</v>
      </c>
      <c r="D7" s="79" t="s">
        <v>9</v>
      </c>
      <c r="E7" s="80" t="s">
        <v>1623</v>
      </c>
      <c r="F7" s="19"/>
      <c r="G7" s="80" t="s">
        <v>1623</v>
      </c>
      <c r="H7" s="74" t="s">
        <v>3</v>
      </c>
    </row>
    <row r="8">
      <c r="A8" s="53">
        <v>2.0</v>
      </c>
      <c r="B8" s="17" t="s">
        <v>758</v>
      </c>
      <c r="C8" s="18">
        <v>9.973612451E9</v>
      </c>
      <c r="D8" s="79" t="s">
        <v>9</v>
      </c>
      <c r="E8" s="80" t="s">
        <v>1623</v>
      </c>
      <c r="F8" s="19"/>
      <c r="G8" s="80"/>
      <c r="H8" s="26" t="s">
        <v>1869</v>
      </c>
    </row>
    <row r="9">
      <c r="A9" s="53">
        <v>3.0</v>
      </c>
      <c r="B9" s="17" t="s">
        <v>763</v>
      </c>
      <c r="C9" s="18">
        <v>9.135179842E9</v>
      </c>
      <c r="D9" s="79" t="s">
        <v>9</v>
      </c>
      <c r="E9" s="80" t="s">
        <v>1623</v>
      </c>
      <c r="F9" s="19"/>
      <c r="G9" s="80" t="s">
        <v>1623</v>
      </c>
      <c r="H9" s="19"/>
    </row>
    <row r="10">
      <c r="A10" s="53">
        <v>4.0</v>
      </c>
      <c r="B10" s="17" t="s">
        <v>767</v>
      </c>
      <c r="C10" s="18">
        <v>9.525434364E9</v>
      </c>
      <c r="D10" s="79" t="s">
        <v>9</v>
      </c>
      <c r="E10" s="80" t="s">
        <v>1623</v>
      </c>
      <c r="F10" s="19"/>
      <c r="G10" s="80" t="s">
        <v>1624</v>
      </c>
      <c r="H10" s="19"/>
    </row>
    <row r="11">
      <c r="A11" s="53">
        <v>5.0</v>
      </c>
      <c r="B11" s="17" t="s">
        <v>772</v>
      </c>
      <c r="C11" s="18">
        <v>8.961723315E9</v>
      </c>
      <c r="D11" s="79" t="s">
        <v>9</v>
      </c>
      <c r="E11" s="80" t="s">
        <v>1624</v>
      </c>
      <c r="F11" s="26" t="s">
        <v>1626</v>
      </c>
      <c r="G11" s="80" t="s">
        <v>1624</v>
      </c>
      <c r="H11" s="19"/>
    </row>
    <row r="12">
      <c r="A12" s="53">
        <v>6.0</v>
      </c>
      <c r="B12" s="17" t="s">
        <v>774</v>
      </c>
      <c r="C12" s="18">
        <v>9.661908833E9</v>
      </c>
      <c r="D12" s="79" t="s">
        <v>23</v>
      </c>
      <c r="E12" s="86"/>
      <c r="F12" s="19"/>
      <c r="G12" s="80" t="s">
        <v>1624</v>
      </c>
      <c r="H12" s="19"/>
    </row>
    <row r="13">
      <c r="A13" s="53">
        <v>7.0</v>
      </c>
      <c r="B13" s="17" t="s">
        <v>778</v>
      </c>
      <c r="C13" s="18">
        <v>8.969921695E9</v>
      </c>
      <c r="D13" s="79" t="s">
        <v>9</v>
      </c>
      <c r="E13" s="80" t="s">
        <v>1623</v>
      </c>
      <c r="F13" s="19"/>
      <c r="G13" s="80" t="s">
        <v>1624</v>
      </c>
      <c r="H13" s="19"/>
    </row>
    <row r="14">
      <c r="A14" s="53">
        <v>8.0</v>
      </c>
      <c r="B14" s="17" t="s">
        <v>781</v>
      </c>
      <c r="C14" s="18">
        <v>9.110968636E9</v>
      </c>
      <c r="D14" s="79" t="s">
        <v>9</v>
      </c>
      <c r="E14" s="80" t="s">
        <v>1624</v>
      </c>
      <c r="F14" s="19"/>
      <c r="G14" s="80" t="s">
        <v>1623</v>
      </c>
      <c r="H14" s="19"/>
    </row>
    <row r="15">
      <c r="A15" s="53">
        <v>9.0</v>
      </c>
      <c r="B15" s="17" t="s">
        <v>784</v>
      </c>
      <c r="C15" s="18">
        <v>9.52567141E9</v>
      </c>
      <c r="D15" s="79" t="s">
        <v>9</v>
      </c>
      <c r="E15" s="80" t="s">
        <v>1623</v>
      </c>
      <c r="F15" s="19"/>
      <c r="G15" s="80" t="s">
        <v>1624</v>
      </c>
      <c r="H15" s="19"/>
    </row>
    <row r="16">
      <c r="A16" s="53">
        <v>10.0</v>
      </c>
      <c r="B16" s="17" t="s">
        <v>786</v>
      </c>
      <c r="C16" s="18">
        <v>9.77138481E9</v>
      </c>
      <c r="D16" s="79" t="s">
        <v>9</v>
      </c>
      <c r="E16" s="80" t="s">
        <v>1623</v>
      </c>
      <c r="F16" s="26"/>
      <c r="G16" s="80"/>
      <c r="H16" s="26" t="s">
        <v>467</v>
      </c>
    </row>
    <row r="17">
      <c r="A17" s="53">
        <v>11.0</v>
      </c>
      <c r="B17" s="17" t="s">
        <v>788</v>
      </c>
      <c r="C17" s="18">
        <v>8.21091012E9</v>
      </c>
      <c r="D17" s="79" t="s">
        <v>23</v>
      </c>
      <c r="E17" s="86"/>
      <c r="F17" s="19"/>
      <c r="G17" s="80" t="s">
        <v>1623</v>
      </c>
      <c r="H17" s="19"/>
    </row>
    <row r="18">
      <c r="A18" s="53">
        <v>12.0</v>
      </c>
      <c r="B18" s="17" t="s">
        <v>789</v>
      </c>
      <c r="C18" s="18">
        <v>9.868590868E9</v>
      </c>
      <c r="D18" s="79" t="s">
        <v>9</v>
      </c>
      <c r="E18" s="80" t="s">
        <v>1623</v>
      </c>
      <c r="F18" s="26"/>
      <c r="G18" s="80" t="s">
        <v>1623</v>
      </c>
      <c r="H18" s="26"/>
    </row>
    <row r="19">
      <c r="A19" s="53">
        <v>13.0</v>
      </c>
      <c r="B19" s="17" t="s">
        <v>793</v>
      </c>
      <c r="C19" s="18">
        <v>6.204024242E9</v>
      </c>
      <c r="D19" s="79" t="s">
        <v>23</v>
      </c>
      <c r="E19" s="86"/>
      <c r="F19" s="26" t="s">
        <v>1870</v>
      </c>
      <c r="G19" s="80"/>
      <c r="H19" s="26" t="s">
        <v>467</v>
      </c>
    </row>
    <row r="20">
      <c r="A20" s="53">
        <v>14.0</v>
      </c>
      <c r="B20" s="17" t="s">
        <v>796</v>
      </c>
      <c r="C20" s="18">
        <v>6.2034948E9</v>
      </c>
      <c r="D20" s="79" t="s">
        <v>9</v>
      </c>
      <c r="E20" s="80" t="s">
        <v>1623</v>
      </c>
      <c r="F20" s="19"/>
      <c r="G20" s="80"/>
      <c r="H20" s="26" t="s">
        <v>1869</v>
      </c>
    </row>
    <row r="21">
      <c r="A21" s="53">
        <v>15.0</v>
      </c>
      <c r="B21" s="17" t="s">
        <v>799</v>
      </c>
      <c r="C21" s="18">
        <v>9.470437262E9</v>
      </c>
      <c r="D21" s="79" t="s">
        <v>9</v>
      </c>
      <c r="E21" s="80" t="s">
        <v>1623</v>
      </c>
      <c r="F21" s="19"/>
      <c r="G21" s="80"/>
      <c r="H21" s="19"/>
    </row>
    <row r="22">
      <c r="A22" s="53">
        <v>16.0</v>
      </c>
      <c r="B22" s="17" t="s">
        <v>803</v>
      </c>
      <c r="C22" s="18">
        <v>8.540907003E9</v>
      </c>
      <c r="D22" s="79" t="s">
        <v>9</v>
      </c>
      <c r="E22" s="80" t="s">
        <v>1623</v>
      </c>
      <c r="F22" s="19"/>
      <c r="G22" s="80"/>
      <c r="H22" s="26" t="s">
        <v>467</v>
      </c>
    </row>
    <row r="23">
      <c r="A23" s="53">
        <v>17.0</v>
      </c>
      <c r="B23" s="17" t="s">
        <v>808</v>
      </c>
      <c r="C23" s="18">
        <v>7.764892986E9</v>
      </c>
      <c r="D23" s="79" t="s">
        <v>23</v>
      </c>
      <c r="E23" s="86"/>
      <c r="F23" s="19"/>
      <c r="G23" s="80"/>
      <c r="H23" s="26" t="s">
        <v>1871</v>
      </c>
    </row>
    <row r="24">
      <c r="A24" s="53">
        <v>18.0</v>
      </c>
      <c r="B24" s="17" t="s">
        <v>811</v>
      </c>
      <c r="C24" s="18">
        <v>8.298707748E9</v>
      </c>
      <c r="D24" s="79" t="s">
        <v>23</v>
      </c>
      <c r="E24" s="86"/>
      <c r="F24" s="19"/>
      <c r="G24" s="80"/>
      <c r="H24" s="26" t="s">
        <v>467</v>
      </c>
    </row>
    <row r="25">
      <c r="A25" s="53">
        <v>19.0</v>
      </c>
      <c r="B25" s="17" t="s">
        <v>812</v>
      </c>
      <c r="C25" s="18">
        <v>8.651610545E9</v>
      </c>
      <c r="D25" s="79" t="s">
        <v>23</v>
      </c>
      <c r="E25" s="86"/>
      <c r="F25" s="19"/>
      <c r="G25" s="80"/>
      <c r="H25" s="26" t="s">
        <v>467</v>
      </c>
    </row>
    <row r="26">
      <c r="A26" s="53">
        <v>20.0</v>
      </c>
      <c r="B26" s="17" t="s">
        <v>815</v>
      </c>
      <c r="C26" s="18">
        <v>7.764876875E9</v>
      </c>
      <c r="D26" s="79" t="s">
        <v>9</v>
      </c>
      <c r="E26" s="80" t="s">
        <v>1623</v>
      </c>
      <c r="F26" s="19"/>
      <c r="G26" s="80" t="s">
        <v>1623</v>
      </c>
      <c r="H26" s="19"/>
    </row>
    <row r="27">
      <c r="A27" s="53">
        <v>21.0</v>
      </c>
      <c r="B27" s="17" t="s">
        <v>818</v>
      </c>
      <c r="C27" s="18">
        <v>7.050395922E9</v>
      </c>
      <c r="D27" s="79" t="s">
        <v>9</v>
      </c>
      <c r="E27" s="80" t="s">
        <v>1623</v>
      </c>
      <c r="F27" s="19"/>
      <c r="G27" s="80" t="s">
        <v>1624</v>
      </c>
      <c r="H27" s="19"/>
    </row>
    <row r="28">
      <c r="A28" s="53">
        <v>22.0</v>
      </c>
      <c r="B28" s="17" t="s">
        <v>819</v>
      </c>
      <c r="C28" s="18">
        <v>8.863065154E9</v>
      </c>
      <c r="D28" s="79" t="s">
        <v>9</v>
      </c>
      <c r="E28" s="80" t="s">
        <v>1623</v>
      </c>
      <c r="F28" s="19"/>
      <c r="G28" s="80" t="s">
        <v>1623</v>
      </c>
      <c r="H28" s="19"/>
    </row>
    <row r="29">
      <c r="A29" s="53">
        <v>23.0</v>
      </c>
      <c r="B29" s="17" t="s">
        <v>824</v>
      </c>
      <c r="C29" s="18">
        <v>9.330539914E9</v>
      </c>
      <c r="D29" s="79" t="s">
        <v>9</v>
      </c>
      <c r="E29" s="80" t="s">
        <v>1623</v>
      </c>
      <c r="F29" s="19"/>
      <c r="G29" s="80" t="s">
        <v>1623</v>
      </c>
      <c r="H29" s="19"/>
    </row>
    <row r="30">
      <c r="A30" s="53">
        <v>24.0</v>
      </c>
      <c r="B30" s="17" t="s">
        <v>831</v>
      </c>
      <c r="C30" s="18">
        <v>8.825396071E9</v>
      </c>
      <c r="D30" s="79" t="s">
        <v>9</v>
      </c>
      <c r="E30" s="80" t="s">
        <v>1623</v>
      </c>
      <c r="F30" s="19"/>
      <c r="G30" s="80" t="s">
        <v>1623</v>
      </c>
      <c r="H30" s="19"/>
    </row>
    <row r="31">
      <c r="A31" s="53">
        <v>25.0</v>
      </c>
      <c r="B31" s="17" t="s">
        <v>833</v>
      </c>
      <c r="C31" s="18">
        <v>6.205955063E9</v>
      </c>
      <c r="D31" s="79" t="s">
        <v>23</v>
      </c>
      <c r="E31" s="86"/>
      <c r="F31" s="19"/>
      <c r="G31" s="80"/>
      <c r="H31" s="26" t="s">
        <v>467</v>
      </c>
    </row>
    <row r="32">
      <c r="A32" s="53">
        <v>26.0</v>
      </c>
      <c r="B32" s="17" t="s">
        <v>836</v>
      </c>
      <c r="C32" s="18">
        <v>8.797454005E9</v>
      </c>
      <c r="D32" s="79" t="s">
        <v>54</v>
      </c>
      <c r="E32" s="86"/>
      <c r="F32" s="19"/>
      <c r="G32" s="80"/>
      <c r="H32" s="26" t="s">
        <v>1626</v>
      </c>
    </row>
    <row r="33">
      <c r="A33" s="53">
        <v>27.0</v>
      </c>
      <c r="B33" s="17" t="s">
        <v>799</v>
      </c>
      <c r="C33" s="18">
        <v>9.334395087E9</v>
      </c>
      <c r="D33" s="79" t="s">
        <v>9</v>
      </c>
      <c r="E33" s="80" t="s">
        <v>1623</v>
      </c>
      <c r="F33" s="19"/>
      <c r="G33" s="80" t="s">
        <v>1624</v>
      </c>
      <c r="H33" s="19"/>
    </row>
    <row r="34">
      <c r="A34" s="53">
        <v>28.0</v>
      </c>
      <c r="B34" s="17" t="s">
        <v>839</v>
      </c>
      <c r="C34" s="18">
        <v>9.650598661E9</v>
      </c>
      <c r="D34" s="79" t="s">
        <v>9</v>
      </c>
      <c r="E34" s="80" t="s">
        <v>1623</v>
      </c>
      <c r="F34" s="19"/>
      <c r="G34" s="80" t="s">
        <v>1623</v>
      </c>
      <c r="H34" s="19"/>
    </row>
    <row r="35">
      <c r="A35" s="53">
        <v>29.0</v>
      </c>
      <c r="B35" s="17" t="s">
        <v>846</v>
      </c>
      <c r="C35" s="18">
        <v>8.521802196E9</v>
      </c>
      <c r="D35" s="79" t="s">
        <v>9</v>
      </c>
      <c r="E35" s="80" t="s">
        <v>1623</v>
      </c>
      <c r="F35" s="19"/>
      <c r="G35" s="80" t="s">
        <v>1623</v>
      </c>
      <c r="H35" s="26"/>
    </row>
    <row r="36">
      <c r="A36" s="53">
        <v>30.0</v>
      </c>
      <c r="B36" s="17" t="s">
        <v>854</v>
      </c>
      <c r="C36" s="18">
        <v>9.905689456E9</v>
      </c>
      <c r="D36" s="79" t="s">
        <v>27</v>
      </c>
      <c r="E36" s="86"/>
      <c r="F36" s="26" t="s">
        <v>777</v>
      </c>
      <c r="G36" s="80"/>
      <c r="H36" s="26" t="s">
        <v>777</v>
      </c>
    </row>
    <row r="37">
      <c r="A37" s="53">
        <v>31.0</v>
      </c>
      <c r="B37" s="142" t="s">
        <v>744</v>
      </c>
      <c r="C37" s="143">
        <v>9.934915901E9</v>
      </c>
      <c r="D37" s="79" t="s">
        <v>9</v>
      </c>
      <c r="E37" s="80" t="s">
        <v>1623</v>
      </c>
      <c r="F37" s="19"/>
      <c r="G37" s="80"/>
      <c r="H37" s="26" t="s">
        <v>1872</v>
      </c>
    </row>
    <row r="38">
      <c r="A38" s="53">
        <v>32.0</v>
      </c>
      <c r="B38" s="142" t="s">
        <v>748</v>
      </c>
      <c r="C38" s="143">
        <v>9.341414434E9</v>
      </c>
      <c r="D38" s="79" t="s">
        <v>23</v>
      </c>
      <c r="E38" s="86"/>
      <c r="F38" s="19"/>
      <c r="G38" s="80"/>
      <c r="H38" s="26" t="s">
        <v>467</v>
      </c>
    </row>
    <row r="39">
      <c r="A39" s="53">
        <v>33.0</v>
      </c>
      <c r="B39" s="142" t="s">
        <v>776</v>
      </c>
      <c r="C39" s="143">
        <v>9.155673614E9</v>
      </c>
      <c r="D39" s="79" t="s">
        <v>27</v>
      </c>
      <c r="E39" s="86"/>
      <c r="F39" s="26"/>
      <c r="G39" s="80"/>
      <c r="H39" s="26" t="s">
        <v>777</v>
      </c>
    </row>
    <row r="40">
      <c r="A40" s="53">
        <v>34.0</v>
      </c>
      <c r="B40" s="142" t="s">
        <v>795</v>
      </c>
      <c r="C40" s="143">
        <v>9.015477132E9</v>
      </c>
      <c r="D40" s="79" t="s">
        <v>9</v>
      </c>
      <c r="E40" s="80" t="s">
        <v>1623</v>
      </c>
      <c r="F40" s="19"/>
      <c r="G40" s="80"/>
      <c r="H40" s="26" t="s">
        <v>467</v>
      </c>
    </row>
    <row r="41">
      <c r="A41" s="53">
        <v>35.0</v>
      </c>
      <c r="B41" s="142" t="s">
        <v>823</v>
      </c>
      <c r="C41" s="143">
        <v>9.264409831E9</v>
      </c>
      <c r="D41" s="79" t="s">
        <v>9</v>
      </c>
      <c r="E41" s="80" t="s">
        <v>1623</v>
      </c>
      <c r="F41" s="26" t="s">
        <v>1855</v>
      </c>
      <c r="G41" s="80" t="s">
        <v>1624</v>
      </c>
      <c r="H41" s="19"/>
    </row>
    <row r="42">
      <c r="A42" s="53">
        <v>36.0</v>
      </c>
      <c r="B42" s="142" t="s">
        <v>828</v>
      </c>
      <c r="C42" s="143">
        <v>6.201433369E9</v>
      </c>
      <c r="D42" s="79" t="s">
        <v>9</v>
      </c>
      <c r="E42" s="80" t="s">
        <v>1623</v>
      </c>
      <c r="F42" s="19"/>
      <c r="G42" s="80"/>
      <c r="H42" s="26" t="s">
        <v>467</v>
      </c>
    </row>
    <row r="43">
      <c r="A43" s="53">
        <v>37.0</v>
      </c>
      <c r="B43" s="142" t="s">
        <v>838</v>
      </c>
      <c r="C43" s="143">
        <v>8.383866929E9</v>
      </c>
      <c r="D43" s="79" t="s">
        <v>23</v>
      </c>
      <c r="E43" s="86"/>
      <c r="F43" s="19"/>
      <c r="G43" s="80" t="s">
        <v>1623</v>
      </c>
      <c r="H43" s="19"/>
    </row>
    <row r="44">
      <c r="A44" s="53">
        <v>39.0</v>
      </c>
      <c r="B44" s="142" t="s">
        <v>842</v>
      </c>
      <c r="C44" s="143">
        <v>9.576711207E9</v>
      </c>
      <c r="D44" s="79" t="s">
        <v>23</v>
      </c>
      <c r="E44" s="86"/>
      <c r="F44" s="19"/>
      <c r="G44" s="80" t="s">
        <v>1623</v>
      </c>
      <c r="H44" s="19"/>
    </row>
    <row r="45">
      <c r="A45" s="53">
        <v>40.0</v>
      </c>
      <c r="B45" s="142" t="s">
        <v>843</v>
      </c>
      <c r="C45" s="143">
        <v>9.122028683E9</v>
      </c>
      <c r="D45" s="79" t="s">
        <v>9</v>
      </c>
      <c r="E45" s="80" t="s">
        <v>1623</v>
      </c>
      <c r="F45" s="19"/>
      <c r="G45" s="80" t="s">
        <v>1623</v>
      </c>
      <c r="H45" s="26"/>
    </row>
    <row r="46">
      <c r="A46" s="53">
        <v>41.0</v>
      </c>
      <c r="B46" s="142" t="s">
        <v>850</v>
      </c>
      <c r="C46" s="143">
        <v>9.931249517E9</v>
      </c>
      <c r="D46" s="79" t="s">
        <v>9</v>
      </c>
      <c r="E46" s="80" t="s">
        <v>1623</v>
      </c>
      <c r="F46" s="19"/>
      <c r="G46" s="80" t="s">
        <v>1624</v>
      </c>
      <c r="H46" s="19"/>
    </row>
    <row r="47">
      <c r="A47" s="53">
        <v>42.0</v>
      </c>
      <c r="B47" s="142" t="s">
        <v>851</v>
      </c>
      <c r="C47" s="143">
        <v>7.654419406E9</v>
      </c>
      <c r="D47" s="79" t="s">
        <v>9</v>
      </c>
      <c r="E47" s="80" t="s">
        <v>1623</v>
      </c>
      <c r="F47" s="19"/>
      <c r="G47" s="80"/>
      <c r="H47" s="26" t="s">
        <v>467</v>
      </c>
    </row>
    <row r="48">
      <c r="A48" s="53">
        <v>43.0</v>
      </c>
      <c r="B48" s="142" t="s">
        <v>853</v>
      </c>
      <c r="C48" s="143">
        <v>9.661952426E9</v>
      </c>
      <c r="D48" s="79" t="s">
        <v>23</v>
      </c>
      <c r="E48" s="86"/>
      <c r="F48" s="19"/>
      <c r="G48" s="80" t="s">
        <v>1624</v>
      </c>
      <c r="H48" s="19"/>
    </row>
    <row r="49">
      <c r="A49" s="53">
        <v>44.0</v>
      </c>
      <c r="B49" s="142" t="s">
        <v>856</v>
      </c>
      <c r="C49" s="143">
        <v>6.207654476E9</v>
      </c>
      <c r="D49" s="79" t="s">
        <v>9</v>
      </c>
      <c r="E49" s="80" t="s">
        <v>1623</v>
      </c>
      <c r="F49" s="19"/>
      <c r="G49" s="80" t="s">
        <v>1624</v>
      </c>
      <c r="H49" s="19"/>
    </row>
    <row r="50">
      <c r="A50" s="53">
        <v>45.0</v>
      </c>
      <c r="B50" s="142" t="s">
        <v>857</v>
      </c>
      <c r="C50" s="143">
        <v>8.102088233E9</v>
      </c>
      <c r="D50" s="79" t="s">
        <v>9</v>
      </c>
      <c r="E50" s="80" t="s">
        <v>1623</v>
      </c>
      <c r="F50" s="19"/>
      <c r="G50" s="80" t="s">
        <v>1624</v>
      </c>
      <c r="H50" s="19"/>
    </row>
    <row r="54">
      <c r="A54" s="144" t="s">
        <v>339</v>
      </c>
      <c r="B54" s="11" t="s">
        <v>340</v>
      </c>
      <c r="C54" s="12" t="s">
        <v>341</v>
      </c>
      <c r="D54" s="11" t="s">
        <v>342</v>
      </c>
      <c r="E54" s="11" t="s">
        <v>343</v>
      </c>
      <c r="F54" s="11" t="s">
        <v>344</v>
      </c>
      <c r="G54" s="11" t="s">
        <v>345</v>
      </c>
      <c r="H54" s="11" t="s">
        <v>346</v>
      </c>
      <c r="I54" s="11" t="s">
        <v>347</v>
      </c>
      <c r="J54" s="12" t="s">
        <v>348</v>
      </c>
      <c r="K54" s="12" t="s">
        <v>349</v>
      </c>
      <c r="L54" s="11" t="s">
        <v>350</v>
      </c>
      <c r="M54" s="11" t="s">
        <v>351</v>
      </c>
      <c r="N54" s="11" t="s">
        <v>1</v>
      </c>
      <c r="O54" s="11" t="s">
        <v>352</v>
      </c>
      <c r="P54" s="11" t="s">
        <v>353</v>
      </c>
      <c r="Q54" s="11" t="s">
        <v>354</v>
      </c>
      <c r="R54" s="11" t="s">
        <v>355</v>
      </c>
      <c r="S54" s="11" t="s">
        <v>356</v>
      </c>
      <c r="T54" s="11" t="s">
        <v>357</v>
      </c>
      <c r="U54" s="11" t="s">
        <v>358</v>
      </c>
      <c r="V54" s="11" t="s">
        <v>359</v>
      </c>
      <c r="W54" s="11" t="s">
        <v>360</v>
      </c>
      <c r="X54" s="11" t="s">
        <v>361</v>
      </c>
      <c r="Y54" s="11" t="s">
        <v>362</v>
      </c>
      <c r="Z54" s="11" t="s">
        <v>363</v>
      </c>
      <c r="AA54" s="13" t="s">
        <v>364</v>
      </c>
      <c r="AB54" s="14" t="s">
        <v>3</v>
      </c>
      <c r="AC54" s="15"/>
      <c r="AD54" s="15"/>
    </row>
    <row r="55">
      <c r="A55" s="145" t="s">
        <v>743</v>
      </c>
      <c r="B55" s="17" t="s">
        <v>744</v>
      </c>
      <c r="C55" s="18">
        <v>9.934915901E9</v>
      </c>
      <c r="D55" s="19"/>
      <c r="E55" s="20"/>
      <c r="F55" s="19"/>
      <c r="G55" s="19"/>
      <c r="H55" s="19"/>
      <c r="I55" s="19"/>
      <c r="J55" s="26" t="s">
        <v>745</v>
      </c>
      <c r="K55" s="18" t="s">
        <v>746</v>
      </c>
      <c r="L55" s="19"/>
      <c r="M55" s="19"/>
      <c r="N55" s="21" t="s">
        <v>54</v>
      </c>
      <c r="O55" s="20"/>
      <c r="P55" s="20"/>
      <c r="Q55" s="19"/>
      <c r="R55" s="19"/>
      <c r="S55" s="20"/>
      <c r="T55" s="19"/>
      <c r="U55" s="20"/>
      <c r="V55" s="19"/>
      <c r="W55" s="26"/>
      <c r="X55" s="20"/>
      <c r="Y55" s="20"/>
      <c r="Z55" s="20"/>
      <c r="AA55" s="26"/>
      <c r="AB55" s="28"/>
      <c r="AC55" s="52"/>
      <c r="AD55" s="52"/>
    </row>
    <row r="56">
      <c r="A56" s="25"/>
      <c r="B56" s="17" t="s">
        <v>748</v>
      </c>
      <c r="C56" s="18">
        <v>9.341414434E9</v>
      </c>
      <c r="D56" s="19"/>
      <c r="E56" s="20"/>
      <c r="F56" s="19"/>
      <c r="G56" s="19"/>
      <c r="H56" s="19"/>
      <c r="I56" s="19"/>
      <c r="J56" s="26" t="s">
        <v>745</v>
      </c>
      <c r="K56" s="18" t="s">
        <v>746</v>
      </c>
      <c r="L56" s="19"/>
      <c r="M56" s="19"/>
      <c r="N56" s="21" t="s">
        <v>23</v>
      </c>
      <c r="O56" s="20"/>
      <c r="P56" s="20"/>
      <c r="Q56" s="19"/>
      <c r="R56" s="19"/>
      <c r="S56" s="20"/>
      <c r="T56" s="19"/>
      <c r="U56" s="20"/>
      <c r="V56" s="19"/>
      <c r="W56" s="26"/>
      <c r="X56" s="20"/>
      <c r="Y56" s="20"/>
      <c r="Z56" s="20"/>
      <c r="AA56" s="26"/>
      <c r="AB56" s="28"/>
      <c r="AC56" s="52"/>
      <c r="AD56" s="52"/>
    </row>
    <row r="57">
      <c r="A57" s="25"/>
      <c r="B57" s="17" t="s">
        <v>749</v>
      </c>
      <c r="C57" s="18">
        <v>9.934570894E9</v>
      </c>
      <c r="D57" s="26">
        <v>43.0</v>
      </c>
      <c r="E57" s="20" t="s">
        <v>367</v>
      </c>
      <c r="F57" s="26" t="s">
        <v>750</v>
      </c>
      <c r="G57" s="26" t="s">
        <v>375</v>
      </c>
      <c r="H57" s="26" t="s">
        <v>418</v>
      </c>
      <c r="I57" s="26" t="s">
        <v>751</v>
      </c>
      <c r="J57" s="26" t="s">
        <v>745</v>
      </c>
      <c r="K57" s="18" t="s">
        <v>746</v>
      </c>
      <c r="L57" s="26" t="s">
        <v>752</v>
      </c>
      <c r="M57" s="26" t="s">
        <v>753</v>
      </c>
      <c r="N57" s="21" t="s">
        <v>9</v>
      </c>
      <c r="O57" s="20" t="s">
        <v>4</v>
      </c>
      <c r="P57" s="20" t="s">
        <v>4</v>
      </c>
      <c r="Q57" s="26" t="s">
        <v>754</v>
      </c>
      <c r="R57" s="26" t="s">
        <v>755</v>
      </c>
      <c r="S57" s="20" t="s">
        <v>4</v>
      </c>
      <c r="T57" s="26" t="s">
        <v>756</v>
      </c>
      <c r="U57" s="20" t="s">
        <v>4</v>
      </c>
      <c r="V57" s="26" t="s">
        <v>757</v>
      </c>
      <c r="W57" s="26" t="s">
        <v>616</v>
      </c>
      <c r="X57" s="20" t="s">
        <v>4</v>
      </c>
      <c r="Y57" s="20" t="s">
        <v>380</v>
      </c>
      <c r="Z57" s="20" t="s">
        <v>4</v>
      </c>
      <c r="AA57" s="26" t="s">
        <v>391</v>
      </c>
      <c r="AB57" s="28"/>
      <c r="AC57" s="52"/>
      <c r="AD57" s="52"/>
    </row>
    <row r="58">
      <c r="A58" s="25"/>
      <c r="B58" s="17" t="s">
        <v>758</v>
      </c>
      <c r="C58" s="18">
        <v>9.973612451E9</v>
      </c>
      <c r="D58" s="26">
        <v>39.0</v>
      </c>
      <c r="E58" s="20" t="s">
        <v>367</v>
      </c>
      <c r="F58" s="26" t="s">
        <v>585</v>
      </c>
      <c r="G58" s="26" t="s">
        <v>375</v>
      </c>
      <c r="H58" s="26" t="s">
        <v>507</v>
      </c>
      <c r="I58" s="26" t="s">
        <v>759</v>
      </c>
      <c r="J58" s="26" t="s">
        <v>745</v>
      </c>
      <c r="K58" s="18" t="s">
        <v>746</v>
      </c>
      <c r="L58" s="26" t="s">
        <v>760</v>
      </c>
      <c r="M58" s="26" t="s">
        <v>761</v>
      </c>
      <c r="N58" s="21" t="s">
        <v>9</v>
      </c>
      <c r="O58" s="20" t="s">
        <v>4</v>
      </c>
      <c r="P58" s="20" t="s">
        <v>4</v>
      </c>
      <c r="Q58" s="26" t="s">
        <v>444</v>
      </c>
      <c r="R58" s="19"/>
      <c r="S58" s="20" t="s">
        <v>4</v>
      </c>
      <c r="T58" s="26" t="s">
        <v>762</v>
      </c>
      <c r="U58" s="20" t="s">
        <v>4</v>
      </c>
      <c r="V58" s="26" t="s">
        <v>642</v>
      </c>
      <c r="W58" s="26" t="s">
        <v>616</v>
      </c>
      <c r="X58" s="20" t="s">
        <v>4</v>
      </c>
      <c r="Y58" s="20" t="s">
        <v>4</v>
      </c>
      <c r="Z58" s="20" t="s">
        <v>4</v>
      </c>
      <c r="AA58" s="26" t="s">
        <v>391</v>
      </c>
      <c r="AB58" s="28"/>
      <c r="AC58" s="52"/>
      <c r="AD58" s="52"/>
    </row>
    <row r="59">
      <c r="A59" s="25"/>
      <c r="B59" s="17" t="s">
        <v>763</v>
      </c>
      <c r="C59" s="18">
        <v>9.135179842E9</v>
      </c>
      <c r="D59" s="26">
        <v>62.0</v>
      </c>
      <c r="E59" s="20" t="s">
        <v>367</v>
      </c>
      <c r="F59" s="26" t="s">
        <v>764</v>
      </c>
      <c r="G59" s="26" t="s">
        <v>375</v>
      </c>
      <c r="H59" s="26" t="s">
        <v>407</v>
      </c>
      <c r="I59" s="26" t="s">
        <v>765</v>
      </c>
      <c r="J59" s="26" t="s">
        <v>745</v>
      </c>
      <c r="K59" s="18" t="s">
        <v>746</v>
      </c>
      <c r="L59" s="26" t="s">
        <v>760</v>
      </c>
      <c r="M59" s="26" t="s">
        <v>766</v>
      </c>
      <c r="N59" s="21" t="s">
        <v>9</v>
      </c>
      <c r="O59" s="20" t="s">
        <v>4</v>
      </c>
      <c r="P59" s="20" t="s">
        <v>380</v>
      </c>
      <c r="Q59" s="19"/>
      <c r="R59" s="19"/>
      <c r="S59" s="20" t="s">
        <v>4</v>
      </c>
      <c r="T59" s="26" t="s">
        <v>756</v>
      </c>
      <c r="U59" s="20" t="s">
        <v>380</v>
      </c>
      <c r="V59" s="19"/>
      <c r="W59" s="26" t="s">
        <v>616</v>
      </c>
      <c r="X59" s="20" t="s">
        <v>4</v>
      </c>
      <c r="Y59" s="20" t="s">
        <v>4</v>
      </c>
      <c r="Z59" s="20" t="s">
        <v>4</v>
      </c>
      <c r="AA59" s="26" t="s">
        <v>391</v>
      </c>
      <c r="AB59" s="28"/>
      <c r="AC59" s="52"/>
      <c r="AD59" s="52"/>
    </row>
    <row r="60">
      <c r="A60" s="25"/>
      <c r="B60" s="17" t="s">
        <v>767</v>
      </c>
      <c r="C60" s="18">
        <v>9.525434364E9</v>
      </c>
      <c r="D60" s="26">
        <v>48.0</v>
      </c>
      <c r="E60" s="20" t="s">
        <v>367</v>
      </c>
      <c r="F60" s="26" t="s">
        <v>768</v>
      </c>
      <c r="G60" s="26" t="s">
        <v>518</v>
      </c>
      <c r="H60" s="26" t="s">
        <v>507</v>
      </c>
      <c r="I60" s="26" t="s">
        <v>769</v>
      </c>
      <c r="J60" s="26" t="s">
        <v>745</v>
      </c>
      <c r="K60" s="18" t="s">
        <v>746</v>
      </c>
      <c r="L60" s="26" t="s">
        <v>760</v>
      </c>
      <c r="M60" s="26" t="s">
        <v>766</v>
      </c>
      <c r="N60" s="21" t="s">
        <v>9</v>
      </c>
      <c r="O60" s="20" t="s">
        <v>4</v>
      </c>
      <c r="P60" s="20"/>
      <c r="Q60" s="26" t="s">
        <v>444</v>
      </c>
      <c r="R60" s="26" t="s">
        <v>770</v>
      </c>
      <c r="S60" s="20" t="s">
        <v>4</v>
      </c>
      <c r="T60" s="26" t="s">
        <v>771</v>
      </c>
      <c r="U60" s="20" t="s">
        <v>380</v>
      </c>
      <c r="V60" s="19"/>
      <c r="W60" s="26" t="s">
        <v>616</v>
      </c>
      <c r="X60" s="20" t="s">
        <v>4</v>
      </c>
      <c r="Y60" s="20" t="s">
        <v>380</v>
      </c>
      <c r="Z60" s="20" t="s">
        <v>4</v>
      </c>
      <c r="AA60" s="26" t="s">
        <v>391</v>
      </c>
      <c r="AB60" s="28"/>
      <c r="AC60" s="52"/>
      <c r="AD60" s="52"/>
    </row>
    <row r="61">
      <c r="A61" s="25"/>
      <c r="B61" s="17" t="s">
        <v>772</v>
      </c>
      <c r="C61" s="18">
        <v>8.961723315E9</v>
      </c>
      <c r="D61" s="26">
        <v>42.0</v>
      </c>
      <c r="E61" s="20" t="s">
        <v>367</v>
      </c>
      <c r="F61" s="26" t="s">
        <v>441</v>
      </c>
      <c r="G61" s="26" t="s">
        <v>518</v>
      </c>
      <c r="H61" s="26" t="s">
        <v>507</v>
      </c>
      <c r="I61" s="26" t="s">
        <v>769</v>
      </c>
      <c r="J61" s="26" t="s">
        <v>745</v>
      </c>
      <c r="K61" s="18" t="s">
        <v>746</v>
      </c>
      <c r="L61" s="26" t="s">
        <v>752</v>
      </c>
      <c r="M61" s="26" t="s">
        <v>773</v>
      </c>
      <c r="N61" s="21" t="s">
        <v>9</v>
      </c>
      <c r="O61" s="20" t="s">
        <v>4</v>
      </c>
      <c r="P61" s="20" t="s">
        <v>380</v>
      </c>
      <c r="Q61" s="19"/>
      <c r="R61" s="19"/>
      <c r="S61" s="20" t="s">
        <v>4</v>
      </c>
      <c r="T61" s="26" t="s">
        <v>756</v>
      </c>
      <c r="U61" s="20" t="s">
        <v>4</v>
      </c>
      <c r="V61" s="26" t="s">
        <v>757</v>
      </c>
      <c r="W61" s="26" t="s">
        <v>616</v>
      </c>
      <c r="X61" s="20" t="s">
        <v>4</v>
      </c>
      <c r="Y61" s="20" t="s">
        <v>4</v>
      </c>
      <c r="Z61" s="20" t="s">
        <v>4</v>
      </c>
      <c r="AA61" s="26" t="s">
        <v>391</v>
      </c>
      <c r="AB61" s="28"/>
      <c r="AC61" s="52"/>
      <c r="AD61" s="52"/>
    </row>
    <row r="62">
      <c r="A62" s="25"/>
      <c r="B62" s="17" t="s">
        <v>774</v>
      </c>
      <c r="C62" s="18">
        <v>9.661908833E9</v>
      </c>
      <c r="D62" s="26">
        <v>50.0</v>
      </c>
      <c r="E62" s="20" t="s">
        <v>367</v>
      </c>
      <c r="F62" s="26" t="s">
        <v>441</v>
      </c>
      <c r="G62" s="26" t="s">
        <v>375</v>
      </c>
      <c r="H62" s="26" t="s">
        <v>376</v>
      </c>
      <c r="I62" s="26" t="s">
        <v>377</v>
      </c>
      <c r="J62" s="26" t="s">
        <v>745</v>
      </c>
      <c r="K62" s="18" t="s">
        <v>746</v>
      </c>
      <c r="L62" s="26" t="s">
        <v>752</v>
      </c>
      <c r="M62" s="26" t="s">
        <v>775</v>
      </c>
      <c r="N62" s="21" t="s">
        <v>9</v>
      </c>
      <c r="O62" s="20" t="s">
        <v>4</v>
      </c>
      <c r="P62" s="20" t="s">
        <v>380</v>
      </c>
      <c r="Q62" s="19"/>
      <c r="R62" s="19"/>
      <c r="S62" s="20" t="s">
        <v>380</v>
      </c>
      <c r="T62" s="19"/>
      <c r="U62" s="20" t="s">
        <v>4</v>
      </c>
      <c r="V62" s="26" t="s">
        <v>757</v>
      </c>
      <c r="W62" s="26" t="s">
        <v>612</v>
      </c>
      <c r="X62" s="20" t="s">
        <v>4</v>
      </c>
      <c r="Y62" s="20" t="s">
        <v>380</v>
      </c>
      <c r="Z62" s="20" t="s">
        <v>4</v>
      </c>
      <c r="AA62" s="26" t="s">
        <v>391</v>
      </c>
      <c r="AB62" s="28"/>
      <c r="AC62" s="52"/>
      <c r="AD62" s="52"/>
    </row>
    <row r="63">
      <c r="A63" s="25"/>
      <c r="B63" s="17" t="s">
        <v>776</v>
      </c>
      <c r="C63" s="18">
        <v>9.155673614E9</v>
      </c>
      <c r="D63" s="19"/>
      <c r="E63" s="20"/>
      <c r="F63" s="19"/>
      <c r="G63" s="19"/>
      <c r="H63" s="19"/>
      <c r="I63" s="19"/>
      <c r="J63" s="26" t="s">
        <v>745</v>
      </c>
      <c r="K63" s="18" t="s">
        <v>746</v>
      </c>
      <c r="L63" s="19"/>
      <c r="M63" s="19"/>
      <c r="N63" s="21" t="s">
        <v>27</v>
      </c>
      <c r="O63" s="20"/>
      <c r="P63" s="20"/>
      <c r="Q63" s="19"/>
      <c r="R63" s="19"/>
      <c r="S63" s="20"/>
      <c r="T63" s="19"/>
      <c r="U63" s="20"/>
      <c r="V63" s="19"/>
      <c r="W63" s="26"/>
      <c r="X63" s="20"/>
      <c r="Y63" s="20"/>
      <c r="Z63" s="20"/>
      <c r="AA63" s="26"/>
      <c r="AB63" s="17" t="s">
        <v>777</v>
      </c>
      <c r="AC63" s="52"/>
      <c r="AD63" s="52"/>
    </row>
    <row r="64">
      <c r="A64" s="25"/>
      <c r="B64" s="17" t="s">
        <v>778</v>
      </c>
      <c r="C64" s="18">
        <v>8.969921695E9</v>
      </c>
      <c r="D64" s="26">
        <v>70.0</v>
      </c>
      <c r="E64" s="20" t="s">
        <v>367</v>
      </c>
      <c r="F64" s="26" t="s">
        <v>374</v>
      </c>
      <c r="G64" s="26" t="s">
        <v>518</v>
      </c>
      <c r="H64" s="26" t="s">
        <v>507</v>
      </c>
      <c r="I64" s="26" t="s">
        <v>779</v>
      </c>
      <c r="J64" s="26" t="s">
        <v>745</v>
      </c>
      <c r="K64" s="18" t="s">
        <v>746</v>
      </c>
      <c r="L64" s="26" t="s">
        <v>752</v>
      </c>
      <c r="M64" s="26" t="s">
        <v>775</v>
      </c>
      <c r="N64" s="21" t="s">
        <v>9</v>
      </c>
      <c r="O64" s="20" t="s">
        <v>380</v>
      </c>
      <c r="P64" s="20"/>
      <c r="Q64" s="19"/>
      <c r="R64" s="19"/>
      <c r="S64" s="20" t="s">
        <v>4</v>
      </c>
      <c r="T64" s="19"/>
      <c r="U64" s="20" t="s">
        <v>4</v>
      </c>
      <c r="V64" s="26" t="s">
        <v>780</v>
      </c>
      <c r="W64" s="26" t="s">
        <v>616</v>
      </c>
      <c r="X64" s="20" t="s">
        <v>4</v>
      </c>
      <c r="Y64" s="20" t="s">
        <v>4</v>
      </c>
      <c r="Z64" s="20" t="s">
        <v>4</v>
      </c>
      <c r="AA64" s="26" t="s">
        <v>391</v>
      </c>
      <c r="AB64" s="28"/>
      <c r="AC64" s="52"/>
      <c r="AD64" s="52"/>
    </row>
    <row r="65">
      <c r="A65" s="25"/>
      <c r="B65" s="17" t="s">
        <v>781</v>
      </c>
      <c r="C65" s="18">
        <v>9.110968636E9</v>
      </c>
      <c r="D65" s="26">
        <v>37.0</v>
      </c>
      <c r="E65" s="20" t="s">
        <v>367</v>
      </c>
      <c r="F65" s="26" t="s">
        <v>585</v>
      </c>
      <c r="G65" s="26" t="s">
        <v>375</v>
      </c>
      <c r="H65" s="26" t="s">
        <v>507</v>
      </c>
      <c r="I65" s="26" t="s">
        <v>782</v>
      </c>
      <c r="J65" s="26" t="s">
        <v>745</v>
      </c>
      <c r="K65" s="18" t="s">
        <v>746</v>
      </c>
      <c r="L65" s="26" t="s">
        <v>752</v>
      </c>
      <c r="M65" s="26" t="s">
        <v>783</v>
      </c>
      <c r="N65" s="21" t="s">
        <v>9</v>
      </c>
      <c r="O65" s="20" t="s">
        <v>4</v>
      </c>
      <c r="P65" s="20" t="s">
        <v>380</v>
      </c>
      <c r="Q65" s="26" t="s">
        <v>444</v>
      </c>
      <c r="R65" s="19"/>
      <c r="S65" s="20" t="s">
        <v>4</v>
      </c>
      <c r="T65" s="26" t="s">
        <v>768</v>
      </c>
      <c r="U65" s="20" t="s">
        <v>4</v>
      </c>
      <c r="V65" s="26" t="s">
        <v>757</v>
      </c>
      <c r="W65" s="26" t="s">
        <v>616</v>
      </c>
      <c r="X65" s="20" t="s">
        <v>4</v>
      </c>
      <c r="Y65" s="20" t="s">
        <v>380</v>
      </c>
      <c r="Z65" s="20" t="s">
        <v>4</v>
      </c>
      <c r="AA65" s="26" t="s">
        <v>391</v>
      </c>
      <c r="AB65" s="28"/>
      <c r="AC65" s="52"/>
      <c r="AD65" s="52"/>
    </row>
    <row r="66">
      <c r="A66" s="25"/>
      <c r="B66" s="17" t="s">
        <v>784</v>
      </c>
      <c r="C66" s="18">
        <v>9.52567141E9</v>
      </c>
      <c r="D66" s="26">
        <v>58.0</v>
      </c>
      <c r="E66" s="20" t="s">
        <v>367</v>
      </c>
      <c r="F66" s="26" t="s">
        <v>585</v>
      </c>
      <c r="G66" s="26" t="s">
        <v>375</v>
      </c>
      <c r="H66" s="26" t="s">
        <v>507</v>
      </c>
      <c r="I66" s="26" t="s">
        <v>759</v>
      </c>
      <c r="J66" s="26" t="s">
        <v>745</v>
      </c>
      <c r="K66" s="18" t="s">
        <v>746</v>
      </c>
      <c r="L66" s="26" t="s">
        <v>752</v>
      </c>
      <c r="M66" s="26" t="s">
        <v>752</v>
      </c>
      <c r="N66" s="21" t="s">
        <v>9</v>
      </c>
      <c r="O66" s="20" t="s">
        <v>4</v>
      </c>
      <c r="P66" s="20" t="s">
        <v>4</v>
      </c>
      <c r="Q66" s="26" t="s">
        <v>444</v>
      </c>
      <c r="R66" s="26" t="s">
        <v>785</v>
      </c>
      <c r="S66" s="20" t="s">
        <v>4</v>
      </c>
      <c r="T66" s="26" t="s">
        <v>768</v>
      </c>
      <c r="U66" s="20" t="s">
        <v>4</v>
      </c>
      <c r="V66" s="26" t="s">
        <v>757</v>
      </c>
      <c r="W66" s="26" t="s">
        <v>616</v>
      </c>
      <c r="X66" s="20" t="s">
        <v>4</v>
      </c>
      <c r="Y66" s="20" t="s">
        <v>4</v>
      </c>
      <c r="Z66" s="20" t="s">
        <v>4</v>
      </c>
      <c r="AA66" s="26" t="s">
        <v>391</v>
      </c>
      <c r="AB66" s="28"/>
      <c r="AC66" s="52"/>
      <c r="AD66" s="52"/>
    </row>
    <row r="67">
      <c r="A67" s="25"/>
      <c r="B67" s="17" t="s">
        <v>786</v>
      </c>
      <c r="C67" s="18">
        <v>9.77138481E9</v>
      </c>
      <c r="D67" s="26">
        <v>62.0</v>
      </c>
      <c r="E67" s="20" t="s">
        <v>367</v>
      </c>
      <c r="F67" s="26" t="s">
        <v>787</v>
      </c>
      <c r="G67" s="26" t="s">
        <v>375</v>
      </c>
      <c r="H67" s="26" t="s">
        <v>507</v>
      </c>
      <c r="I67" s="26" t="s">
        <v>759</v>
      </c>
      <c r="J67" s="26" t="s">
        <v>745</v>
      </c>
      <c r="K67" s="18" t="s">
        <v>746</v>
      </c>
      <c r="L67" s="26" t="s">
        <v>752</v>
      </c>
      <c r="M67" s="26" t="s">
        <v>783</v>
      </c>
      <c r="N67" s="21" t="s">
        <v>9</v>
      </c>
      <c r="O67" s="20" t="s">
        <v>4</v>
      </c>
      <c r="P67" s="20" t="s">
        <v>380</v>
      </c>
      <c r="Q67" s="19"/>
      <c r="R67" s="19"/>
      <c r="S67" s="20" t="s">
        <v>380</v>
      </c>
      <c r="T67" s="19"/>
      <c r="U67" s="20" t="s">
        <v>4</v>
      </c>
      <c r="V67" s="19"/>
      <c r="W67" s="26" t="s">
        <v>612</v>
      </c>
      <c r="X67" s="20" t="s">
        <v>4</v>
      </c>
      <c r="Y67" s="20" t="s">
        <v>380</v>
      </c>
      <c r="Z67" s="20" t="s">
        <v>4</v>
      </c>
      <c r="AA67" s="26" t="s">
        <v>391</v>
      </c>
      <c r="AB67" s="28"/>
      <c r="AC67" s="52"/>
      <c r="AD67" s="52"/>
    </row>
    <row r="68">
      <c r="A68" s="25"/>
      <c r="B68" s="17" t="s">
        <v>788</v>
      </c>
      <c r="C68" s="18">
        <v>8.21091012E9</v>
      </c>
      <c r="D68" s="26">
        <v>28.0</v>
      </c>
      <c r="E68" s="20" t="s">
        <v>367</v>
      </c>
      <c r="F68" s="26" t="s">
        <v>441</v>
      </c>
      <c r="G68" s="26" t="s">
        <v>375</v>
      </c>
      <c r="H68" s="26" t="s">
        <v>507</v>
      </c>
      <c r="I68" s="26" t="s">
        <v>759</v>
      </c>
      <c r="J68" s="26" t="s">
        <v>745</v>
      </c>
      <c r="K68" s="18" t="s">
        <v>746</v>
      </c>
      <c r="L68" s="26" t="s">
        <v>752</v>
      </c>
      <c r="M68" s="26" t="s">
        <v>752</v>
      </c>
      <c r="N68" s="21" t="s">
        <v>9</v>
      </c>
      <c r="O68" s="20" t="s">
        <v>4</v>
      </c>
      <c r="P68" s="20" t="s">
        <v>380</v>
      </c>
      <c r="Q68" s="19"/>
      <c r="R68" s="19"/>
      <c r="S68" s="20" t="s">
        <v>380</v>
      </c>
      <c r="T68" s="19"/>
      <c r="U68" s="20" t="s">
        <v>380</v>
      </c>
      <c r="V68" s="19"/>
      <c r="W68" s="26" t="s">
        <v>612</v>
      </c>
      <c r="X68" s="20" t="s">
        <v>4</v>
      </c>
      <c r="Y68" s="20" t="s">
        <v>380</v>
      </c>
      <c r="Z68" s="20" t="s">
        <v>380</v>
      </c>
      <c r="AA68" s="26" t="s">
        <v>391</v>
      </c>
      <c r="AB68" s="28"/>
      <c r="AC68" s="52"/>
      <c r="AD68" s="52"/>
    </row>
    <row r="69">
      <c r="A69" s="25"/>
      <c r="B69" s="17" t="s">
        <v>789</v>
      </c>
      <c r="C69" s="18">
        <v>9.868590868E9</v>
      </c>
      <c r="D69" s="26">
        <v>55.0</v>
      </c>
      <c r="E69" s="20" t="s">
        <v>367</v>
      </c>
      <c r="F69" s="26" t="s">
        <v>374</v>
      </c>
      <c r="G69" s="26" t="s">
        <v>375</v>
      </c>
      <c r="H69" s="26" t="s">
        <v>376</v>
      </c>
      <c r="I69" s="26" t="s">
        <v>377</v>
      </c>
      <c r="J69" s="26" t="s">
        <v>745</v>
      </c>
      <c r="K69" s="18" t="s">
        <v>746</v>
      </c>
      <c r="L69" s="26" t="s">
        <v>790</v>
      </c>
      <c r="M69" s="26" t="s">
        <v>791</v>
      </c>
      <c r="N69" s="21" t="s">
        <v>9</v>
      </c>
      <c r="O69" s="20" t="s">
        <v>4</v>
      </c>
      <c r="P69" s="20" t="s">
        <v>4</v>
      </c>
      <c r="Q69" s="26" t="s">
        <v>792</v>
      </c>
      <c r="R69" s="26" t="s">
        <v>506</v>
      </c>
      <c r="S69" s="20" t="s">
        <v>4</v>
      </c>
      <c r="T69" s="26" t="s">
        <v>756</v>
      </c>
      <c r="U69" s="20" t="s">
        <v>4</v>
      </c>
      <c r="V69" s="26" t="s">
        <v>462</v>
      </c>
      <c r="W69" s="26" t="s">
        <v>616</v>
      </c>
      <c r="X69" s="20" t="s">
        <v>4</v>
      </c>
      <c r="Y69" s="20" t="s">
        <v>4</v>
      </c>
      <c r="Z69" s="20" t="s">
        <v>4</v>
      </c>
      <c r="AA69" s="26" t="s">
        <v>391</v>
      </c>
      <c r="AB69" s="28"/>
      <c r="AC69" s="52"/>
      <c r="AD69" s="52"/>
    </row>
    <row r="70">
      <c r="A70" s="25"/>
      <c r="B70" s="17" t="s">
        <v>793</v>
      </c>
      <c r="C70" s="18">
        <v>6.204024242E9</v>
      </c>
      <c r="D70" s="26">
        <v>54.0</v>
      </c>
      <c r="E70" s="20" t="s">
        <v>367</v>
      </c>
      <c r="F70" s="26" t="s">
        <v>374</v>
      </c>
      <c r="G70" s="26" t="s">
        <v>518</v>
      </c>
      <c r="H70" s="26"/>
      <c r="I70" s="26" t="s">
        <v>769</v>
      </c>
      <c r="J70" s="26" t="s">
        <v>745</v>
      </c>
      <c r="K70" s="18" t="s">
        <v>746</v>
      </c>
      <c r="L70" s="26" t="s">
        <v>790</v>
      </c>
      <c r="M70" s="26" t="s">
        <v>794</v>
      </c>
      <c r="N70" s="21" t="s">
        <v>9</v>
      </c>
      <c r="O70" s="20" t="s">
        <v>4</v>
      </c>
      <c r="P70" s="20" t="s">
        <v>380</v>
      </c>
      <c r="Q70" s="19"/>
      <c r="R70" s="19"/>
      <c r="S70" s="20" t="s">
        <v>380</v>
      </c>
      <c r="T70" s="19"/>
      <c r="U70" s="20" t="s">
        <v>380</v>
      </c>
      <c r="V70" s="19"/>
      <c r="W70" s="26" t="s">
        <v>616</v>
      </c>
      <c r="X70" s="20" t="s">
        <v>4</v>
      </c>
      <c r="Y70" s="20" t="s">
        <v>380</v>
      </c>
      <c r="Z70" s="20" t="s">
        <v>4</v>
      </c>
      <c r="AA70" s="26" t="s">
        <v>391</v>
      </c>
      <c r="AB70" s="28"/>
      <c r="AC70" s="52"/>
      <c r="AD70" s="52"/>
    </row>
    <row r="71">
      <c r="A71" s="25"/>
      <c r="B71" s="17" t="s">
        <v>795</v>
      </c>
      <c r="C71" s="18">
        <v>9.015477132E9</v>
      </c>
      <c r="D71" s="19"/>
      <c r="E71" s="20"/>
      <c r="F71" s="19"/>
      <c r="G71" s="19"/>
      <c r="H71" s="19"/>
      <c r="I71" s="19"/>
      <c r="J71" s="26" t="s">
        <v>745</v>
      </c>
      <c r="K71" s="18" t="s">
        <v>746</v>
      </c>
      <c r="L71" s="19"/>
      <c r="M71" s="19"/>
      <c r="N71" s="21" t="s">
        <v>54</v>
      </c>
      <c r="O71" s="20"/>
      <c r="P71" s="20"/>
      <c r="Q71" s="19"/>
      <c r="R71" s="19"/>
      <c r="S71" s="20"/>
      <c r="T71" s="19"/>
      <c r="U71" s="20"/>
      <c r="V71" s="19"/>
      <c r="W71" s="26"/>
      <c r="X71" s="20"/>
      <c r="Y71" s="20"/>
      <c r="Z71" s="20"/>
      <c r="AA71" s="26"/>
      <c r="AB71" s="28"/>
      <c r="AC71" s="52"/>
      <c r="AD71" s="52"/>
    </row>
    <row r="72">
      <c r="A72" s="25"/>
      <c r="B72" s="17" t="s">
        <v>796</v>
      </c>
      <c r="C72" s="18">
        <v>6.2034948E9</v>
      </c>
      <c r="D72" s="26">
        <v>80.0</v>
      </c>
      <c r="E72" s="20" t="s">
        <v>367</v>
      </c>
      <c r="F72" s="19"/>
      <c r="G72" s="26" t="s">
        <v>375</v>
      </c>
      <c r="H72" s="26" t="s">
        <v>407</v>
      </c>
      <c r="I72" s="26" t="s">
        <v>797</v>
      </c>
      <c r="J72" s="26" t="s">
        <v>745</v>
      </c>
      <c r="K72" s="18" t="s">
        <v>746</v>
      </c>
      <c r="L72" s="26" t="s">
        <v>790</v>
      </c>
      <c r="M72" s="26" t="s">
        <v>798</v>
      </c>
      <c r="N72" s="21" t="s">
        <v>9</v>
      </c>
      <c r="O72" s="20" t="s">
        <v>4</v>
      </c>
      <c r="P72" s="20" t="s">
        <v>380</v>
      </c>
      <c r="Q72" s="19"/>
      <c r="R72" s="19"/>
      <c r="S72" s="20" t="s">
        <v>4</v>
      </c>
      <c r="T72" s="26" t="s">
        <v>756</v>
      </c>
      <c r="U72" s="20" t="s">
        <v>4</v>
      </c>
      <c r="V72" s="26" t="s">
        <v>757</v>
      </c>
      <c r="W72" s="26" t="s">
        <v>616</v>
      </c>
      <c r="X72" s="20" t="s">
        <v>4</v>
      </c>
      <c r="Y72" s="20" t="s">
        <v>4</v>
      </c>
      <c r="Z72" s="20" t="s">
        <v>4</v>
      </c>
      <c r="AA72" s="26" t="s">
        <v>391</v>
      </c>
      <c r="AB72" s="28"/>
      <c r="AC72" s="52"/>
      <c r="AD72" s="52"/>
    </row>
    <row r="73">
      <c r="A73" s="25"/>
      <c r="B73" s="17" t="s">
        <v>799</v>
      </c>
      <c r="C73" s="18">
        <v>9.470437262E9</v>
      </c>
      <c r="D73" s="26">
        <v>65.0</v>
      </c>
      <c r="E73" s="20" t="s">
        <v>405</v>
      </c>
      <c r="F73" s="26" t="s">
        <v>374</v>
      </c>
      <c r="G73" s="26" t="s">
        <v>375</v>
      </c>
      <c r="H73" s="26" t="s">
        <v>407</v>
      </c>
      <c r="I73" s="26" t="s">
        <v>800</v>
      </c>
      <c r="J73" s="26" t="s">
        <v>745</v>
      </c>
      <c r="K73" s="18" t="s">
        <v>746</v>
      </c>
      <c r="L73" s="26" t="s">
        <v>790</v>
      </c>
      <c r="M73" s="26" t="s">
        <v>801</v>
      </c>
      <c r="N73" s="21" t="s">
        <v>9</v>
      </c>
      <c r="O73" s="20" t="s">
        <v>4</v>
      </c>
      <c r="P73" s="20" t="s">
        <v>4</v>
      </c>
      <c r="Q73" s="26" t="s">
        <v>444</v>
      </c>
      <c r="R73" s="26" t="s">
        <v>802</v>
      </c>
      <c r="S73" s="20" t="s">
        <v>380</v>
      </c>
      <c r="T73" s="19"/>
      <c r="U73" s="20" t="s">
        <v>4</v>
      </c>
      <c r="V73" s="26" t="s">
        <v>462</v>
      </c>
      <c r="W73" s="26" t="s">
        <v>616</v>
      </c>
      <c r="X73" s="20" t="s">
        <v>4</v>
      </c>
      <c r="Y73" s="20" t="s">
        <v>4</v>
      </c>
      <c r="Z73" s="20" t="s">
        <v>4</v>
      </c>
      <c r="AA73" s="26" t="s">
        <v>391</v>
      </c>
      <c r="AB73" s="28"/>
      <c r="AC73" s="52"/>
      <c r="AD73" s="52"/>
    </row>
    <row r="74">
      <c r="A74" s="25"/>
      <c r="B74" s="17" t="s">
        <v>803</v>
      </c>
      <c r="C74" s="18">
        <v>8.540907003E9</v>
      </c>
      <c r="D74" s="26">
        <v>43.0</v>
      </c>
      <c r="E74" s="20" t="s">
        <v>367</v>
      </c>
      <c r="F74" s="26" t="s">
        <v>374</v>
      </c>
      <c r="G74" s="26" t="s">
        <v>518</v>
      </c>
      <c r="H74" s="26" t="s">
        <v>804</v>
      </c>
      <c r="I74" s="26" t="s">
        <v>805</v>
      </c>
      <c r="J74" s="26" t="s">
        <v>745</v>
      </c>
      <c r="K74" s="18" t="s">
        <v>746</v>
      </c>
      <c r="L74" s="26" t="s">
        <v>760</v>
      </c>
      <c r="M74" s="26" t="s">
        <v>806</v>
      </c>
      <c r="N74" s="21" t="s">
        <v>9</v>
      </c>
      <c r="O74" s="20" t="s">
        <v>4</v>
      </c>
      <c r="P74" s="20" t="s">
        <v>380</v>
      </c>
      <c r="Q74" s="19"/>
      <c r="R74" s="19"/>
      <c r="S74" s="20" t="s">
        <v>4</v>
      </c>
      <c r="T74" s="26" t="s">
        <v>756</v>
      </c>
      <c r="U74" s="20" t="s">
        <v>4</v>
      </c>
      <c r="V74" s="26" t="s">
        <v>807</v>
      </c>
      <c r="W74" s="26" t="s">
        <v>616</v>
      </c>
      <c r="X74" s="20" t="s">
        <v>4</v>
      </c>
      <c r="Y74" s="20" t="s">
        <v>4</v>
      </c>
      <c r="Z74" s="20" t="s">
        <v>4</v>
      </c>
      <c r="AA74" s="26" t="s">
        <v>391</v>
      </c>
      <c r="AB74" s="28"/>
      <c r="AC74" s="52"/>
      <c r="AD74" s="52"/>
    </row>
    <row r="75">
      <c r="A75" s="25"/>
      <c r="B75" s="17" t="s">
        <v>808</v>
      </c>
      <c r="C75" s="18">
        <v>7.764892986E9</v>
      </c>
      <c r="D75" s="26">
        <v>25.0</v>
      </c>
      <c r="E75" s="20" t="s">
        <v>367</v>
      </c>
      <c r="F75" s="26" t="s">
        <v>382</v>
      </c>
      <c r="G75" s="26" t="s">
        <v>518</v>
      </c>
      <c r="H75" s="26" t="s">
        <v>376</v>
      </c>
      <c r="I75" s="26" t="s">
        <v>809</v>
      </c>
      <c r="J75" s="26" t="s">
        <v>745</v>
      </c>
      <c r="K75" s="18" t="s">
        <v>746</v>
      </c>
      <c r="L75" s="26" t="s">
        <v>790</v>
      </c>
      <c r="M75" s="26" t="s">
        <v>806</v>
      </c>
      <c r="N75" s="21" t="s">
        <v>9</v>
      </c>
      <c r="O75" s="20" t="s">
        <v>4</v>
      </c>
      <c r="P75" s="20" t="s">
        <v>4</v>
      </c>
      <c r="Q75" s="26" t="s">
        <v>444</v>
      </c>
      <c r="R75" s="19"/>
      <c r="S75" s="20" t="s">
        <v>4</v>
      </c>
      <c r="T75" s="26" t="s">
        <v>756</v>
      </c>
      <c r="U75" s="20" t="s">
        <v>4</v>
      </c>
      <c r="V75" s="26" t="s">
        <v>810</v>
      </c>
      <c r="W75" s="26" t="s">
        <v>616</v>
      </c>
      <c r="X75" s="20" t="s">
        <v>4</v>
      </c>
      <c r="Y75" s="20" t="s">
        <v>4</v>
      </c>
      <c r="Z75" s="20" t="s">
        <v>4</v>
      </c>
      <c r="AA75" s="26" t="s">
        <v>391</v>
      </c>
      <c r="AB75" s="28"/>
      <c r="AC75" s="52"/>
      <c r="AD75" s="52"/>
    </row>
    <row r="76">
      <c r="A76" s="25"/>
      <c r="B76" s="17" t="s">
        <v>811</v>
      </c>
      <c r="C76" s="18">
        <v>8.298707748E9</v>
      </c>
      <c r="D76" s="26">
        <v>19.0</v>
      </c>
      <c r="E76" s="20" t="s">
        <v>367</v>
      </c>
      <c r="F76" s="26" t="s">
        <v>382</v>
      </c>
      <c r="G76" s="26" t="s">
        <v>375</v>
      </c>
      <c r="H76" s="26" t="s">
        <v>407</v>
      </c>
      <c r="I76" s="26" t="s">
        <v>797</v>
      </c>
      <c r="J76" s="26" t="s">
        <v>745</v>
      </c>
      <c r="K76" s="18" t="s">
        <v>746</v>
      </c>
      <c r="L76" s="26" t="s">
        <v>790</v>
      </c>
      <c r="M76" s="26" t="s">
        <v>806</v>
      </c>
      <c r="N76" s="21" t="s">
        <v>9</v>
      </c>
      <c r="O76" s="20" t="s">
        <v>380</v>
      </c>
      <c r="P76" s="20" t="s">
        <v>380</v>
      </c>
      <c r="Q76" s="19"/>
      <c r="R76" s="19"/>
      <c r="S76" s="20" t="s">
        <v>380</v>
      </c>
      <c r="T76" s="19"/>
      <c r="U76" s="20" t="s">
        <v>380</v>
      </c>
      <c r="V76" s="26"/>
      <c r="W76" s="26" t="s">
        <v>616</v>
      </c>
      <c r="X76" s="20" t="s">
        <v>4</v>
      </c>
      <c r="Y76" s="20" t="s">
        <v>4</v>
      </c>
      <c r="Z76" s="20" t="s">
        <v>4</v>
      </c>
      <c r="AA76" s="26" t="s">
        <v>391</v>
      </c>
      <c r="AB76" s="28"/>
      <c r="AC76" s="52"/>
      <c r="AD76" s="52"/>
    </row>
    <row r="77">
      <c r="A77" s="25"/>
      <c r="B77" s="17" t="s">
        <v>812</v>
      </c>
      <c r="C77" s="18">
        <v>8.651610545E9</v>
      </c>
      <c r="D77" s="26">
        <v>49.0</v>
      </c>
      <c r="E77" s="20" t="s">
        <v>367</v>
      </c>
      <c r="F77" s="26" t="s">
        <v>585</v>
      </c>
      <c r="G77" s="26" t="s">
        <v>375</v>
      </c>
      <c r="H77" s="26" t="s">
        <v>407</v>
      </c>
      <c r="I77" s="26" t="s">
        <v>813</v>
      </c>
      <c r="J77" s="26" t="s">
        <v>745</v>
      </c>
      <c r="K77" s="18" t="s">
        <v>746</v>
      </c>
      <c r="L77" s="26" t="s">
        <v>790</v>
      </c>
      <c r="M77" s="26" t="s">
        <v>806</v>
      </c>
      <c r="N77" s="21" t="s">
        <v>9</v>
      </c>
      <c r="O77" s="20" t="s">
        <v>4</v>
      </c>
      <c r="P77" s="20" t="s">
        <v>380</v>
      </c>
      <c r="Q77" s="19"/>
      <c r="R77" s="19"/>
      <c r="S77" s="20" t="s">
        <v>4</v>
      </c>
      <c r="T77" s="26" t="s">
        <v>814</v>
      </c>
      <c r="U77" s="20" t="s">
        <v>4</v>
      </c>
      <c r="V77" s="26" t="s">
        <v>757</v>
      </c>
      <c r="W77" s="26" t="s">
        <v>616</v>
      </c>
      <c r="X77" s="20" t="s">
        <v>4</v>
      </c>
      <c r="Y77" s="20" t="s">
        <v>4</v>
      </c>
      <c r="Z77" s="20" t="s">
        <v>4</v>
      </c>
      <c r="AA77" s="26" t="s">
        <v>391</v>
      </c>
      <c r="AB77" s="28"/>
      <c r="AC77" s="52"/>
      <c r="AD77" s="52"/>
    </row>
    <row r="78">
      <c r="A78" s="25"/>
      <c r="B78" s="17" t="s">
        <v>815</v>
      </c>
      <c r="C78" s="18">
        <v>7.764876875E9</v>
      </c>
      <c r="D78" s="26">
        <v>48.0</v>
      </c>
      <c r="E78" s="20" t="s">
        <v>367</v>
      </c>
      <c r="F78" s="19"/>
      <c r="G78" s="26" t="s">
        <v>375</v>
      </c>
      <c r="H78" s="26" t="s">
        <v>407</v>
      </c>
      <c r="I78" s="26" t="s">
        <v>816</v>
      </c>
      <c r="J78" s="26" t="s">
        <v>745</v>
      </c>
      <c r="K78" s="18" t="s">
        <v>746</v>
      </c>
      <c r="L78" s="26" t="s">
        <v>790</v>
      </c>
      <c r="M78" s="26" t="s">
        <v>806</v>
      </c>
      <c r="N78" s="21" t="s">
        <v>9</v>
      </c>
      <c r="O78" s="20" t="s">
        <v>4</v>
      </c>
      <c r="P78" s="20" t="s">
        <v>380</v>
      </c>
      <c r="Q78" s="19"/>
      <c r="R78" s="19"/>
      <c r="S78" s="20" t="s">
        <v>380</v>
      </c>
      <c r="T78" s="19"/>
      <c r="U78" s="20" t="s">
        <v>4</v>
      </c>
      <c r="V78" s="26" t="s">
        <v>817</v>
      </c>
      <c r="W78" s="26" t="s">
        <v>616</v>
      </c>
      <c r="X78" s="20" t="s">
        <v>4</v>
      </c>
      <c r="Y78" s="20" t="s">
        <v>380</v>
      </c>
      <c r="Z78" s="20"/>
      <c r="AA78" s="26" t="s">
        <v>391</v>
      </c>
      <c r="AB78" s="28"/>
      <c r="AC78" s="52"/>
      <c r="AD78" s="52"/>
    </row>
    <row r="79">
      <c r="A79" s="25"/>
      <c r="B79" s="17" t="s">
        <v>818</v>
      </c>
      <c r="C79" s="18">
        <v>7.050395922E9</v>
      </c>
      <c r="D79" s="26">
        <v>58.0</v>
      </c>
      <c r="E79" s="20" t="s">
        <v>367</v>
      </c>
      <c r="F79" s="26" t="s">
        <v>441</v>
      </c>
      <c r="G79" s="26" t="s">
        <v>375</v>
      </c>
      <c r="H79" s="26" t="s">
        <v>407</v>
      </c>
      <c r="I79" s="26" t="s">
        <v>813</v>
      </c>
      <c r="J79" s="26" t="s">
        <v>745</v>
      </c>
      <c r="K79" s="18" t="s">
        <v>746</v>
      </c>
      <c r="L79" s="26" t="s">
        <v>790</v>
      </c>
      <c r="M79" s="26" t="s">
        <v>806</v>
      </c>
      <c r="N79" s="21" t="s">
        <v>9</v>
      </c>
      <c r="O79" s="20" t="s">
        <v>380</v>
      </c>
      <c r="P79" s="20" t="s">
        <v>380</v>
      </c>
      <c r="Q79" s="19"/>
      <c r="R79" s="19"/>
      <c r="S79" s="20" t="s">
        <v>4</v>
      </c>
      <c r="T79" s="26" t="s">
        <v>756</v>
      </c>
      <c r="U79" s="20" t="s">
        <v>380</v>
      </c>
      <c r="V79" s="19"/>
      <c r="W79" s="26" t="s">
        <v>612</v>
      </c>
      <c r="X79" s="20" t="s">
        <v>4</v>
      </c>
      <c r="Y79" s="20" t="s">
        <v>4</v>
      </c>
      <c r="Z79" s="20" t="s">
        <v>4</v>
      </c>
      <c r="AA79" s="26" t="s">
        <v>391</v>
      </c>
      <c r="AB79" s="28"/>
      <c r="AC79" s="52"/>
      <c r="AD79" s="52"/>
    </row>
    <row r="80">
      <c r="A80" s="25"/>
      <c r="B80" s="17" t="s">
        <v>819</v>
      </c>
      <c r="C80" s="18">
        <v>8.863065154E9</v>
      </c>
      <c r="D80" s="26">
        <v>32.0</v>
      </c>
      <c r="E80" s="20" t="s">
        <v>367</v>
      </c>
      <c r="F80" s="26" t="s">
        <v>820</v>
      </c>
      <c r="G80" s="26" t="s">
        <v>375</v>
      </c>
      <c r="H80" s="26" t="s">
        <v>376</v>
      </c>
      <c r="I80" s="26" t="s">
        <v>377</v>
      </c>
      <c r="J80" s="26" t="s">
        <v>745</v>
      </c>
      <c r="K80" s="18" t="s">
        <v>746</v>
      </c>
      <c r="L80" s="26" t="s">
        <v>790</v>
      </c>
      <c r="M80" s="26" t="s">
        <v>821</v>
      </c>
      <c r="N80" s="21" t="s">
        <v>9</v>
      </c>
      <c r="O80" s="20" t="s">
        <v>4</v>
      </c>
      <c r="P80" s="20" t="s">
        <v>380</v>
      </c>
      <c r="Q80" s="19"/>
      <c r="R80" s="19"/>
      <c r="S80" s="20" t="s">
        <v>4</v>
      </c>
      <c r="T80" s="26" t="s">
        <v>756</v>
      </c>
      <c r="U80" s="20" t="s">
        <v>4</v>
      </c>
      <c r="V80" s="26" t="s">
        <v>822</v>
      </c>
      <c r="W80" s="26" t="s">
        <v>616</v>
      </c>
      <c r="X80" s="20" t="s">
        <v>4</v>
      </c>
      <c r="Y80" s="20" t="s">
        <v>4</v>
      </c>
      <c r="Z80" s="20" t="s">
        <v>4</v>
      </c>
      <c r="AA80" s="26" t="s">
        <v>391</v>
      </c>
      <c r="AB80" s="28"/>
      <c r="AC80" s="52"/>
      <c r="AD80" s="52"/>
    </row>
    <row r="81">
      <c r="A81" s="25"/>
      <c r="B81" s="17" t="s">
        <v>823</v>
      </c>
      <c r="C81" s="18">
        <v>9.264409831E9</v>
      </c>
      <c r="D81" s="19"/>
      <c r="E81" s="20"/>
      <c r="F81" s="19"/>
      <c r="G81" s="19"/>
      <c r="H81" s="19"/>
      <c r="I81" s="19"/>
      <c r="J81" s="26" t="s">
        <v>745</v>
      </c>
      <c r="K81" s="18" t="s">
        <v>746</v>
      </c>
      <c r="L81" s="19"/>
      <c r="M81" s="19"/>
      <c r="N81" s="21" t="s">
        <v>27</v>
      </c>
      <c r="O81" s="20"/>
      <c r="P81" s="20"/>
      <c r="Q81" s="19"/>
      <c r="R81" s="19"/>
      <c r="S81" s="20"/>
      <c r="T81" s="19"/>
      <c r="U81" s="20"/>
      <c r="V81" s="19"/>
      <c r="W81" s="26"/>
      <c r="X81" s="20"/>
      <c r="Y81" s="20"/>
      <c r="Z81" s="20"/>
      <c r="AA81" s="26"/>
      <c r="AB81" s="28"/>
      <c r="AC81" s="52"/>
      <c r="AD81" s="52"/>
    </row>
    <row r="82">
      <c r="A82" s="25"/>
      <c r="B82" s="17" t="s">
        <v>824</v>
      </c>
      <c r="C82" s="18">
        <v>9.330539914E9</v>
      </c>
      <c r="D82" s="26">
        <v>47.0</v>
      </c>
      <c r="E82" s="20" t="s">
        <v>367</v>
      </c>
      <c r="F82" s="26" t="s">
        <v>441</v>
      </c>
      <c r="G82" s="26" t="s">
        <v>375</v>
      </c>
      <c r="H82" s="26" t="s">
        <v>407</v>
      </c>
      <c r="I82" s="26" t="s">
        <v>825</v>
      </c>
      <c r="J82" s="26" t="s">
        <v>745</v>
      </c>
      <c r="K82" s="18" t="s">
        <v>746</v>
      </c>
      <c r="L82" s="26" t="s">
        <v>790</v>
      </c>
      <c r="M82" s="26" t="s">
        <v>826</v>
      </c>
      <c r="N82" s="21" t="s">
        <v>9</v>
      </c>
      <c r="O82" s="20" t="s">
        <v>4</v>
      </c>
      <c r="P82" s="20" t="s">
        <v>380</v>
      </c>
      <c r="Q82" s="19"/>
      <c r="R82" s="19"/>
      <c r="S82" s="20" t="s">
        <v>4</v>
      </c>
      <c r="T82" s="26" t="s">
        <v>756</v>
      </c>
      <c r="U82" s="20" t="s">
        <v>4</v>
      </c>
      <c r="V82" s="26" t="s">
        <v>827</v>
      </c>
      <c r="W82" s="26" t="s">
        <v>616</v>
      </c>
      <c r="X82" s="20" t="s">
        <v>4</v>
      </c>
      <c r="Y82" s="20" t="s">
        <v>4</v>
      </c>
      <c r="Z82" s="20" t="s">
        <v>4</v>
      </c>
      <c r="AA82" s="26" t="s">
        <v>391</v>
      </c>
      <c r="AB82" s="28"/>
      <c r="AC82" s="52"/>
      <c r="AD82" s="52"/>
    </row>
    <row r="83">
      <c r="A83" s="25"/>
      <c r="B83" s="17" t="s">
        <v>828</v>
      </c>
      <c r="C83" s="18">
        <v>6.201433369E9</v>
      </c>
      <c r="D83" s="26">
        <v>45.0</v>
      </c>
      <c r="E83" s="20" t="s">
        <v>367</v>
      </c>
      <c r="F83" s="26" t="s">
        <v>374</v>
      </c>
      <c r="G83" s="26" t="s">
        <v>375</v>
      </c>
      <c r="H83" s="26" t="s">
        <v>407</v>
      </c>
      <c r="I83" s="26" t="s">
        <v>829</v>
      </c>
      <c r="J83" s="26" t="s">
        <v>745</v>
      </c>
      <c r="K83" s="18" t="s">
        <v>746</v>
      </c>
      <c r="L83" s="19"/>
      <c r="M83" s="19"/>
      <c r="N83" s="21" t="s">
        <v>54</v>
      </c>
      <c r="O83" s="20"/>
      <c r="P83" s="20"/>
      <c r="Q83" s="19"/>
      <c r="R83" s="19"/>
      <c r="S83" s="20"/>
      <c r="T83" s="19"/>
      <c r="U83" s="20"/>
      <c r="V83" s="19"/>
      <c r="W83" s="26"/>
      <c r="X83" s="20"/>
      <c r="Y83" s="20"/>
      <c r="Z83" s="20"/>
      <c r="AA83" s="26"/>
      <c r="AB83" s="17" t="s">
        <v>830</v>
      </c>
      <c r="AC83" s="52"/>
      <c r="AD83" s="52"/>
    </row>
    <row r="84">
      <c r="A84" s="25"/>
      <c r="B84" s="17" t="s">
        <v>831</v>
      </c>
      <c r="C84" s="18">
        <v>8.825396071E9</v>
      </c>
      <c r="D84" s="26">
        <v>31.0</v>
      </c>
      <c r="E84" s="20" t="s">
        <v>367</v>
      </c>
      <c r="F84" s="26" t="s">
        <v>441</v>
      </c>
      <c r="G84" s="26" t="s">
        <v>375</v>
      </c>
      <c r="H84" s="26" t="s">
        <v>407</v>
      </c>
      <c r="I84" s="26" t="s">
        <v>829</v>
      </c>
      <c r="J84" s="26" t="s">
        <v>745</v>
      </c>
      <c r="K84" s="18" t="s">
        <v>746</v>
      </c>
      <c r="L84" s="26" t="s">
        <v>790</v>
      </c>
      <c r="M84" s="26" t="s">
        <v>832</v>
      </c>
      <c r="N84" s="21" t="s">
        <v>9</v>
      </c>
      <c r="O84" s="20" t="s">
        <v>380</v>
      </c>
      <c r="P84" s="20" t="s">
        <v>380</v>
      </c>
      <c r="Q84" s="19"/>
      <c r="R84" s="19"/>
      <c r="S84" s="20" t="s">
        <v>4</v>
      </c>
      <c r="T84" s="26" t="s">
        <v>756</v>
      </c>
      <c r="U84" s="20" t="s">
        <v>380</v>
      </c>
      <c r="V84" s="19"/>
      <c r="W84" s="26" t="s">
        <v>616</v>
      </c>
      <c r="X84" s="20" t="s">
        <v>4</v>
      </c>
      <c r="Y84" s="20" t="s">
        <v>380</v>
      </c>
      <c r="Z84" s="20" t="s">
        <v>4</v>
      </c>
      <c r="AA84" s="26" t="s">
        <v>391</v>
      </c>
      <c r="AB84" s="28"/>
      <c r="AC84" s="52"/>
      <c r="AD84" s="52"/>
    </row>
    <row r="85">
      <c r="A85" s="25"/>
      <c r="B85" s="17" t="s">
        <v>833</v>
      </c>
      <c r="C85" s="18">
        <v>6.205955063E9</v>
      </c>
      <c r="D85" s="26">
        <v>40.0</v>
      </c>
      <c r="E85" s="20" t="s">
        <v>367</v>
      </c>
      <c r="F85" s="26" t="s">
        <v>834</v>
      </c>
      <c r="G85" s="26" t="s">
        <v>375</v>
      </c>
      <c r="H85" s="26" t="s">
        <v>407</v>
      </c>
      <c r="I85" s="26" t="s">
        <v>797</v>
      </c>
      <c r="J85" s="26" t="s">
        <v>745</v>
      </c>
      <c r="K85" s="18" t="s">
        <v>746</v>
      </c>
      <c r="L85" s="26" t="s">
        <v>790</v>
      </c>
      <c r="M85" s="26">
        <v>7.0</v>
      </c>
      <c r="N85" s="21" t="s">
        <v>9</v>
      </c>
      <c r="O85" s="20" t="s">
        <v>4</v>
      </c>
      <c r="P85" s="20" t="s">
        <v>380</v>
      </c>
      <c r="Q85" s="19"/>
      <c r="R85" s="19"/>
      <c r="S85" s="20" t="s">
        <v>4</v>
      </c>
      <c r="T85" s="26" t="s">
        <v>835</v>
      </c>
      <c r="U85" s="20" t="s">
        <v>4</v>
      </c>
      <c r="V85" s="26" t="s">
        <v>757</v>
      </c>
      <c r="W85" s="26" t="s">
        <v>616</v>
      </c>
      <c r="X85" s="20" t="s">
        <v>4</v>
      </c>
      <c r="Y85" s="20" t="s">
        <v>380</v>
      </c>
      <c r="Z85" s="20" t="s">
        <v>380</v>
      </c>
      <c r="AA85" s="26" t="s">
        <v>391</v>
      </c>
      <c r="AB85" s="28"/>
    </row>
    <row r="86">
      <c r="A86" s="25"/>
      <c r="B86" s="17" t="s">
        <v>836</v>
      </c>
      <c r="C86" s="18">
        <v>8.797454005E9</v>
      </c>
      <c r="D86" s="26">
        <v>35.0</v>
      </c>
      <c r="E86" s="20" t="s">
        <v>367</v>
      </c>
      <c r="F86" s="26" t="s">
        <v>837</v>
      </c>
      <c r="G86" s="26" t="s">
        <v>518</v>
      </c>
      <c r="H86" s="26" t="s">
        <v>507</v>
      </c>
      <c r="I86" s="19"/>
      <c r="J86" s="26" t="s">
        <v>745</v>
      </c>
      <c r="K86" s="18" t="s">
        <v>746</v>
      </c>
      <c r="L86" s="26" t="s">
        <v>790</v>
      </c>
      <c r="M86" s="26" t="s">
        <v>790</v>
      </c>
      <c r="N86" s="21" t="s">
        <v>9</v>
      </c>
      <c r="O86" s="20" t="s">
        <v>380</v>
      </c>
      <c r="P86" s="20" t="s">
        <v>380</v>
      </c>
      <c r="Q86" s="19"/>
      <c r="R86" s="19"/>
      <c r="S86" s="20" t="s">
        <v>380</v>
      </c>
      <c r="T86" s="19"/>
      <c r="U86" s="20" t="s">
        <v>380</v>
      </c>
      <c r="V86" s="19"/>
      <c r="W86" s="26" t="s">
        <v>616</v>
      </c>
      <c r="X86" s="20" t="s">
        <v>4</v>
      </c>
      <c r="Y86" s="20" t="s">
        <v>4</v>
      </c>
      <c r="Z86" s="20" t="s">
        <v>4</v>
      </c>
      <c r="AA86" s="26" t="s">
        <v>391</v>
      </c>
      <c r="AB86" s="28"/>
    </row>
    <row r="87">
      <c r="A87" s="25"/>
      <c r="B87" s="17" t="s">
        <v>799</v>
      </c>
      <c r="C87" s="18">
        <v>9.334395087E9</v>
      </c>
      <c r="D87" s="26">
        <v>26.0</v>
      </c>
      <c r="E87" s="20" t="s">
        <v>367</v>
      </c>
      <c r="F87" s="26" t="s">
        <v>382</v>
      </c>
      <c r="G87" s="26" t="s">
        <v>375</v>
      </c>
      <c r="H87" s="26" t="s">
        <v>407</v>
      </c>
      <c r="I87" s="19"/>
      <c r="J87" s="26" t="s">
        <v>745</v>
      </c>
      <c r="K87" s="18" t="s">
        <v>746</v>
      </c>
      <c r="L87" s="26" t="s">
        <v>790</v>
      </c>
      <c r="M87" s="26" t="s">
        <v>760</v>
      </c>
      <c r="N87" s="21" t="s">
        <v>9</v>
      </c>
      <c r="O87" s="20" t="s">
        <v>380</v>
      </c>
      <c r="P87" s="20" t="s">
        <v>380</v>
      </c>
      <c r="Q87" s="19"/>
      <c r="R87" s="19"/>
      <c r="S87" s="20" t="s">
        <v>380</v>
      </c>
      <c r="T87" s="19"/>
      <c r="U87" s="20" t="s">
        <v>380</v>
      </c>
      <c r="V87" s="19"/>
      <c r="W87" s="26" t="s">
        <v>616</v>
      </c>
      <c r="X87" s="20" t="s">
        <v>4</v>
      </c>
      <c r="Y87" s="20" t="s">
        <v>4</v>
      </c>
      <c r="Z87" s="20" t="s">
        <v>4</v>
      </c>
      <c r="AA87" s="26" t="s">
        <v>391</v>
      </c>
      <c r="AB87" s="28"/>
    </row>
    <row r="88">
      <c r="A88" s="25"/>
      <c r="B88" s="17" t="s">
        <v>838</v>
      </c>
      <c r="C88" s="18">
        <v>8.383866929E9</v>
      </c>
      <c r="D88" s="19"/>
      <c r="E88" s="20"/>
      <c r="F88" s="19"/>
      <c r="G88" s="19"/>
      <c r="H88" s="19"/>
      <c r="I88" s="19"/>
      <c r="J88" s="26" t="s">
        <v>745</v>
      </c>
      <c r="K88" s="18" t="s">
        <v>746</v>
      </c>
      <c r="L88" s="19"/>
      <c r="M88" s="19"/>
      <c r="N88" s="21" t="s">
        <v>54</v>
      </c>
      <c r="O88" s="20"/>
      <c r="P88" s="20"/>
      <c r="Q88" s="19"/>
      <c r="R88" s="19"/>
      <c r="S88" s="20"/>
      <c r="T88" s="19"/>
      <c r="U88" s="20"/>
      <c r="V88" s="19"/>
      <c r="W88" s="26"/>
      <c r="X88" s="20"/>
      <c r="Y88" s="20"/>
      <c r="Z88" s="20"/>
      <c r="AA88" s="26"/>
      <c r="AB88" s="28"/>
    </row>
    <row r="89">
      <c r="A89" s="25"/>
      <c r="B89" s="17" t="s">
        <v>839</v>
      </c>
      <c r="C89" s="18">
        <v>9.650598661E9</v>
      </c>
      <c r="D89" s="26">
        <v>27.0</v>
      </c>
      <c r="E89" s="20" t="s">
        <v>367</v>
      </c>
      <c r="F89" s="19"/>
      <c r="G89" s="26" t="s">
        <v>375</v>
      </c>
      <c r="H89" s="26" t="s">
        <v>376</v>
      </c>
      <c r="I89" s="26" t="s">
        <v>840</v>
      </c>
      <c r="J89" s="26" t="s">
        <v>745</v>
      </c>
      <c r="K89" s="18" t="s">
        <v>746</v>
      </c>
      <c r="L89" s="26" t="s">
        <v>790</v>
      </c>
      <c r="M89" s="26">
        <v>1.0</v>
      </c>
      <c r="N89" s="21" t="s">
        <v>9</v>
      </c>
      <c r="O89" s="20" t="s">
        <v>4</v>
      </c>
      <c r="P89" s="20" t="s">
        <v>380</v>
      </c>
      <c r="Q89" s="19"/>
      <c r="R89" s="19"/>
      <c r="S89" s="20" t="s">
        <v>4</v>
      </c>
      <c r="T89" s="26" t="s">
        <v>756</v>
      </c>
      <c r="U89" s="20" t="s">
        <v>4</v>
      </c>
      <c r="V89" s="26" t="s">
        <v>841</v>
      </c>
      <c r="W89" s="26" t="s">
        <v>616</v>
      </c>
      <c r="X89" s="20" t="s">
        <v>4</v>
      </c>
      <c r="Y89" s="20" t="s">
        <v>4</v>
      </c>
      <c r="Z89" s="20" t="s">
        <v>380</v>
      </c>
      <c r="AA89" s="26" t="s">
        <v>391</v>
      </c>
      <c r="AB89" s="28"/>
    </row>
    <row r="90">
      <c r="A90" s="25"/>
      <c r="B90" s="17" t="s">
        <v>842</v>
      </c>
      <c r="C90" s="18">
        <v>9.576711207E9</v>
      </c>
      <c r="D90" s="19"/>
      <c r="E90" s="20"/>
      <c r="F90" s="19"/>
      <c r="G90" s="19"/>
      <c r="H90" s="19"/>
      <c r="I90" s="19"/>
      <c r="J90" s="26" t="s">
        <v>745</v>
      </c>
      <c r="K90" s="18" t="s">
        <v>746</v>
      </c>
      <c r="L90" s="19"/>
      <c r="M90" s="19"/>
      <c r="N90" s="21" t="s">
        <v>23</v>
      </c>
      <c r="O90" s="20"/>
      <c r="P90" s="20"/>
      <c r="Q90" s="19"/>
      <c r="R90" s="19"/>
      <c r="S90" s="20"/>
      <c r="T90" s="19"/>
      <c r="U90" s="20"/>
      <c r="V90" s="19"/>
      <c r="W90" s="26"/>
      <c r="X90" s="20"/>
      <c r="Y90" s="20"/>
      <c r="Z90" s="20"/>
      <c r="AA90" s="26"/>
      <c r="AB90" s="28"/>
    </row>
    <row r="91">
      <c r="A91" s="25"/>
      <c r="B91" s="17" t="s">
        <v>843</v>
      </c>
      <c r="C91" s="18">
        <v>9.122028683E9</v>
      </c>
      <c r="D91" s="19"/>
      <c r="E91" s="20"/>
      <c r="F91" s="19"/>
      <c r="G91" s="19"/>
      <c r="H91" s="19"/>
      <c r="I91" s="19"/>
      <c r="J91" s="26" t="s">
        <v>745</v>
      </c>
      <c r="K91" s="18" t="s">
        <v>746</v>
      </c>
      <c r="L91" s="19"/>
      <c r="M91" s="19"/>
      <c r="N91" s="21" t="s">
        <v>23</v>
      </c>
      <c r="O91" s="20"/>
      <c r="P91" s="20"/>
      <c r="Q91" s="19"/>
      <c r="R91" s="19"/>
      <c r="S91" s="20"/>
      <c r="T91" s="19"/>
      <c r="U91" s="20"/>
      <c r="V91" s="19"/>
      <c r="W91" s="26"/>
      <c r="X91" s="20"/>
      <c r="Y91" s="20"/>
      <c r="Z91" s="20"/>
      <c r="AA91" s="26"/>
      <c r="AB91" s="28"/>
    </row>
    <row r="92">
      <c r="A92" s="25"/>
      <c r="B92" s="17" t="s">
        <v>846</v>
      </c>
      <c r="C92" s="18">
        <v>8.521802196E9</v>
      </c>
      <c r="D92" s="26">
        <v>60.0</v>
      </c>
      <c r="E92" s="20" t="s">
        <v>367</v>
      </c>
      <c r="F92" s="26" t="s">
        <v>374</v>
      </c>
      <c r="G92" s="26" t="s">
        <v>375</v>
      </c>
      <c r="H92" s="26" t="s">
        <v>376</v>
      </c>
      <c r="I92" s="26" t="s">
        <v>377</v>
      </c>
      <c r="J92" s="26" t="s">
        <v>745</v>
      </c>
      <c r="K92" s="18" t="s">
        <v>746</v>
      </c>
      <c r="L92" s="26" t="s">
        <v>790</v>
      </c>
      <c r="M92" s="26" t="s">
        <v>847</v>
      </c>
      <c r="N92" s="21" t="s">
        <v>9</v>
      </c>
      <c r="O92" s="20" t="s">
        <v>4</v>
      </c>
      <c r="P92" s="20" t="s">
        <v>4</v>
      </c>
      <c r="Q92" s="26" t="s">
        <v>848</v>
      </c>
      <c r="R92" s="19"/>
      <c r="S92" s="20" t="s">
        <v>4</v>
      </c>
      <c r="T92" s="26" t="s">
        <v>756</v>
      </c>
      <c r="U92" s="20" t="s">
        <v>4</v>
      </c>
      <c r="V92" s="26" t="s">
        <v>849</v>
      </c>
      <c r="W92" s="26" t="s">
        <v>616</v>
      </c>
      <c r="X92" s="20" t="s">
        <v>4</v>
      </c>
      <c r="Y92" s="20" t="s">
        <v>4</v>
      </c>
      <c r="Z92" s="20" t="s">
        <v>4</v>
      </c>
      <c r="AA92" s="26" t="s">
        <v>391</v>
      </c>
      <c r="AB92" s="28"/>
    </row>
    <row r="93">
      <c r="A93" s="25"/>
      <c r="B93" s="17" t="s">
        <v>850</v>
      </c>
      <c r="C93" s="18">
        <v>9.931249517E9</v>
      </c>
      <c r="D93" s="19"/>
      <c r="E93" s="20"/>
      <c r="F93" s="19"/>
      <c r="G93" s="19"/>
      <c r="H93" s="19"/>
      <c r="I93" s="19"/>
      <c r="J93" s="26" t="s">
        <v>745</v>
      </c>
      <c r="K93" s="18" t="s">
        <v>746</v>
      </c>
      <c r="L93" s="19"/>
      <c r="M93" s="19"/>
      <c r="N93" s="21" t="s">
        <v>23</v>
      </c>
      <c r="O93" s="20"/>
      <c r="P93" s="20"/>
      <c r="Q93" s="19"/>
      <c r="R93" s="19"/>
      <c r="S93" s="20"/>
      <c r="T93" s="19"/>
      <c r="U93" s="20"/>
      <c r="V93" s="19"/>
      <c r="W93" s="26"/>
      <c r="X93" s="20"/>
      <c r="Y93" s="20"/>
      <c r="Z93" s="20"/>
      <c r="AA93" s="26"/>
      <c r="AB93" s="28"/>
    </row>
    <row r="94">
      <c r="A94" s="25"/>
      <c r="B94" s="17" t="s">
        <v>851</v>
      </c>
      <c r="C94" s="18">
        <v>7.654419406E9</v>
      </c>
      <c r="D94" s="19"/>
      <c r="E94" s="20"/>
      <c r="F94" s="19"/>
      <c r="G94" s="19"/>
      <c r="H94" s="19"/>
      <c r="I94" s="19"/>
      <c r="J94" s="26" t="s">
        <v>745</v>
      </c>
      <c r="K94" s="18" t="s">
        <v>746</v>
      </c>
      <c r="L94" s="19"/>
      <c r="M94" s="19"/>
      <c r="N94" s="21" t="s">
        <v>54</v>
      </c>
      <c r="O94" s="20"/>
      <c r="P94" s="20"/>
      <c r="Q94" s="19"/>
      <c r="R94" s="19"/>
      <c r="S94" s="20"/>
      <c r="T94" s="19"/>
      <c r="U94" s="20"/>
      <c r="V94" s="19"/>
      <c r="W94" s="26"/>
      <c r="X94" s="20"/>
      <c r="Y94" s="20"/>
      <c r="Z94" s="20"/>
      <c r="AA94" s="26"/>
      <c r="AB94" s="28"/>
    </row>
    <row r="95">
      <c r="A95" s="25"/>
      <c r="B95" s="17" t="s">
        <v>853</v>
      </c>
      <c r="C95" s="18">
        <v>9.661952426E9</v>
      </c>
      <c r="D95" s="19"/>
      <c r="E95" s="20"/>
      <c r="F95" s="19"/>
      <c r="G95" s="19"/>
      <c r="H95" s="19"/>
      <c r="I95" s="19"/>
      <c r="J95" s="26" t="s">
        <v>745</v>
      </c>
      <c r="K95" s="18" t="s">
        <v>746</v>
      </c>
      <c r="L95" s="19"/>
      <c r="M95" s="19"/>
      <c r="N95" s="21" t="s">
        <v>27</v>
      </c>
      <c r="O95" s="20"/>
      <c r="P95" s="20"/>
      <c r="Q95" s="19"/>
      <c r="R95" s="19"/>
      <c r="S95" s="20"/>
      <c r="T95" s="19"/>
      <c r="U95" s="20"/>
      <c r="V95" s="19"/>
      <c r="W95" s="26"/>
      <c r="X95" s="20"/>
      <c r="Y95" s="20"/>
      <c r="Z95" s="20"/>
      <c r="AA95" s="26"/>
      <c r="AB95" s="28"/>
    </row>
    <row r="96">
      <c r="A96" s="25"/>
      <c r="B96" s="17" t="s">
        <v>854</v>
      </c>
      <c r="C96" s="18">
        <v>9.905689456E9</v>
      </c>
      <c r="D96" s="26">
        <v>50.0</v>
      </c>
      <c r="E96" s="20" t="s">
        <v>367</v>
      </c>
      <c r="F96" s="26" t="s">
        <v>441</v>
      </c>
      <c r="G96" s="26" t="s">
        <v>518</v>
      </c>
      <c r="H96" s="26" t="s">
        <v>507</v>
      </c>
      <c r="I96" s="26" t="s">
        <v>769</v>
      </c>
      <c r="J96" s="26" t="s">
        <v>745</v>
      </c>
      <c r="K96" s="18" t="s">
        <v>746</v>
      </c>
      <c r="L96" s="26" t="s">
        <v>790</v>
      </c>
      <c r="M96" s="26" t="s">
        <v>855</v>
      </c>
      <c r="N96" s="21" t="s">
        <v>9</v>
      </c>
      <c r="O96" s="20" t="s">
        <v>4</v>
      </c>
      <c r="P96" s="20" t="s">
        <v>4</v>
      </c>
      <c r="Q96" s="26" t="s">
        <v>444</v>
      </c>
      <c r="R96" s="19"/>
      <c r="S96" s="20" t="s">
        <v>4</v>
      </c>
      <c r="T96" s="26" t="s">
        <v>756</v>
      </c>
      <c r="U96" s="20" t="s">
        <v>4</v>
      </c>
      <c r="V96" s="26" t="s">
        <v>841</v>
      </c>
      <c r="W96" s="26" t="s">
        <v>616</v>
      </c>
      <c r="X96" s="20" t="s">
        <v>4</v>
      </c>
      <c r="Y96" s="20" t="s">
        <v>380</v>
      </c>
      <c r="Z96" s="20" t="s">
        <v>4</v>
      </c>
      <c r="AA96" s="26" t="s">
        <v>391</v>
      </c>
      <c r="AB96" s="28"/>
    </row>
    <row r="97">
      <c r="A97" s="25"/>
      <c r="B97" s="17" t="s">
        <v>856</v>
      </c>
      <c r="C97" s="18">
        <v>6.207654476E9</v>
      </c>
      <c r="D97" s="19"/>
      <c r="E97" s="20"/>
      <c r="F97" s="19"/>
      <c r="G97" s="19"/>
      <c r="H97" s="19"/>
      <c r="I97" s="19"/>
      <c r="J97" s="26" t="s">
        <v>745</v>
      </c>
      <c r="K97" s="18" t="s">
        <v>746</v>
      </c>
      <c r="L97" s="19"/>
      <c r="M97" s="19"/>
      <c r="N97" s="21" t="s">
        <v>23</v>
      </c>
      <c r="O97" s="20"/>
      <c r="P97" s="20"/>
      <c r="Q97" s="19"/>
      <c r="R97" s="19"/>
      <c r="S97" s="20"/>
      <c r="T97" s="19"/>
      <c r="U97" s="20"/>
      <c r="V97" s="19"/>
      <c r="W97" s="26"/>
      <c r="X97" s="20"/>
      <c r="Y97" s="20"/>
      <c r="Z97" s="20"/>
      <c r="AA97" s="26"/>
      <c r="AB97" s="28"/>
    </row>
    <row r="98">
      <c r="A98" s="31"/>
      <c r="B98" s="17" t="s">
        <v>857</v>
      </c>
      <c r="C98" s="18">
        <v>8.102088233E9</v>
      </c>
      <c r="D98" s="19"/>
      <c r="E98" s="20"/>
      <c r="F98" s="19"/>
      <c r="G98" s="19"/>
      <c r="H98" s="19"/>
      <c r="I98" s="19"/>
      <c r="J98" s="26" t="s">
        <v>745</v>
      </c>
      <c r="K98" s="18" t="s">
        <v>746</v>
      </c>
      <c r="L98" s="19"/>
      <c r="M98" s="19"/>
      <c r="N98" s="21" t="s">
        <v>23</v>
      </c>
      <c r="O98" s="20"/>
      <c r="P98" s="20"/>
      <c r="Q98" s="19"/>
      <c r="R98" s="19"/>
      <c r="S98" s="20"/>
      <c r="T98" s="19"/>
      <c r="U98" s="20"/>
      <c r="V98" s="19"/>
      <c r="W98" s="26"/>
      <c r="X98" s="20"/>
      <c r="Y98" s="20"/>
      <c r="Z98" s="20"/>
      <c r="AA98" s="26"/>
      <c r="AB98" s="28"/>
    </row>
  </sheetData>
  <mergeCells count="3">
    <mergeCell ref="A1:C5"/>
    <mergeCell ref="G6:H6"/>
    <mergeCell ref="A55:A98"/>
  </mergeCells>
  <dataValidations>
    <dataValidation type="list" allowBlank="1" showErrorMessage="1" sqref="O55:P98 S55:S98 U55:U98 X55:Z98">
      <formula1>"Yes,NO"</formula1>
    </dataValidation>
    <dataValidation type="list" allowBlank="1" showErrorMessage="1" sqref="W55:W98">
      <formula1>"Bahut,Kuch Had Tak,Nahi"</formula1>
    </dataValidation>
    <dataValidation type="list" allowBlank="1" showErrorMessage="1" sqref="E55:E98">
      <formula1>"Male,Female"</formula1>
    </dataValidation>
    <dataValidation type="list" allowBlank="1" showErrorMessage="1" sqref="D7:D50 N55:N98">
      <formula1>"Connected,Call Back Later,Busy,Switch off,Not Received,Wrong No."</formula1>
    </dataValidation>
    <dataValidation type="list" allowBlank="1" showErrorMessage="1" sqref="E7:E50 G7:G50">
      <formula1>"CONFIRMED,NOT CONFIRMED"</formula1>
    </dataValidation>
    <dataValidation type="list" allowBlank="1" showErrorMessage="1" sqref="AA55:AA98">
      <formula1>"Verified,Not Verified"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8" t="s">
        <v>1873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28.5" customHeight="1">
      <c r="D4" s="3"/>
      <c r="E4" s="3"/>
      <c r="F4" s="3"/>
      <c r="G4" s="3"/>
      <c r="H4" s="3"/>
      <c r="I4" s="3"/>
      <c r="J4" s="3"/>
      <c r="K4" s="3"/>
      <c r="L4" s="3"/>
      <c r="M4" s="14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72" t="s">
        <v>5</v>
      </c>
      <c r="B7" s="72" t="s">
        <v>6</v>
      </c>
      <c r="C7" s="72" t="s">
        <v>7</v>
      </c>
      <c r="D7" s="73" t="s">
        <v>1874</v>
      </c>
      <c r="E7" s="74" t="s">
        <v>2</v>
      </c>
      <c r="F7" s="74" t="s">
        <v>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43">
        <v>1.0</v>
      </c>
      <c r="B8" s="17" t="s">
        <v>498</v>
      </c>
      <c r="C8" s="17">
        <v>7.070520956E9</v>
      </c>
      <c r="D8" s="85"/>
      <c r="E8" s="86"/>
      <c r="F8" s="2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47">
        <v>2.0</v>
      </c>
      <c r="B9" s="17" t="s">
        <v>505</v>
      </c>
      <c r="C9" s="17">
        <v>8.828075239E9</v>
      </c>
      <c r="D9" s="85"/>
      <c r="E9" s="86"/>
      <c r="F9" s="19"/>
    </row>
    <row r="10">
      <c r="A10" s="143">
        <v>3.0</v>
      </c>
      <c r="B10" s="17" t="s">
        <v>510</v>
      </c>
      <c r="C10" s="17">
        <v>7.970485898E9</v>
      </c>
      <c r="D10" s="85"/>
      <c r="E10" s="86"/>
      <c r="F10" s="19"/>
    </row>
    <row r="11">
      <c r="A11" s="147">
        <v>4.0</v>
      </c>
      <c r="B11" s="17" t="s">
        <v>517</v>
      </c>
      <c r="C11" s="17">
        <v>9.801298771E9</v>
      </c>
      <c r="D11" s="85"/>
      <c r="E11" s="86"/>
      <c r="F11" s="19"/>
    </row>
    <row r="12">
      <c r="A12" s="143">
        <v>5.0</v>
      </c>
      <c r="B12" s="17" t="s">
        <v>522</v>
      </c>
      <c r="C12" s="17">
        <v>6.201226233E9</v>
      </c>
      <c r="D12" s="85"/>
      <c r="E12" s="86"/>
      <c r="F12" s="19"/>
    </row>
    <row r="13">
      <c r="A13" s="147">
        <v>6.0</v>
      </c>
      <c r="B13" s="17" t="s">
        <v>526</v>
      </c>
      <c r="C13" s="17">
        <v>6.29942425E9</v>
      </c>
      <c r="D13" s="85"/>
      <c r="E13" s="86"/>
      <c r="F13" s="19"/>
    </row>
    <row r="14">
      <c r="A14" s="143">
        <v>7.0</v>
      </c>
      <c r="B14" s="17" t="s">
        <v>529</v>
      </c>
      <c r="C14" s="17">
        <v>7.004567973E9</v>
      </c>
      <c r="D14" s="85"/>
      <c r="E14" s="86"/>
      <c r="F14" s="19"/>
    </row>
    <row r="15">
      <c r="A15" s="147">
        <v>8.0</v>
      </c>
      <c r="B15" s="17" t="s">
        <v>530</v>
      </c>
      <c r="C15" s="17">
        <v>9.110185905E9</v>
      </c>
      <c r="D15" s="85"/>
      <c r="E15" s="86"/>
      <c r="F15" s="19"/>
    </row>
    <row r="16">
      <c r="A16" s="143">
        <v>9.0</v>
      </c>
      <c r="B16" s="17" t="s">
        <v>535</v>
      </c>
      <c r="C16" s="17">
        <v>9.955332296E9</v>
      </c>
      <c r="D16" s="85"/>
      <c r="E16" s="86"/>
      <c r="F16" s="19"/>
    </row>
    <row r="17">
      <c r="A17" s="147">
        <v>10.0</v>
      </c>
      <c r="B17" s="17" t="s">
        <v>547</v>
      </c>
      <c r="C17" s="17">
        <v>7.541864152E9</v>
      </c>
      <c r="D17" s="85"/>
      <c r="E17" s="86"/>
      <c r="F17" s="19"/>
    </row>
    <row r="18">
      <c r="A18" s="143">
        <v>11.0</v>
      </c>
      <c r="B18" s="17" t="s">
        <v>548</v>
      </c>
      <c r="C18" s="17">
        <v>7.25074877E9</v>
      </c>
      <c r="D18" s="85"/>
      <c r="E18" s="86"/>
      <c r="F18" s="19"/>
    </row>
    <row r="19">
      <c r="A19" s="147">
        <v>12.0</v>
      </c>
      <c r="B19" s="17" t="s">
        <v>553</v>
      </c>
      <c r="C19" s="17">
        <v>8.757904358E9</v>
      </c>
      <c r="D19" s="85"/>
      <c r="E19" s="86"/>
      <c r="F19" s="19"/>
    </row>
    <row r="20">
      <c r="A20" s="143">
        <v>13.0</v>
      </c>
      <c r="B20" s="17" t="s">
        <v>556</v>
      </c>
      <c r="C20" s="17">
        <v>9.128325958E9</v>
      </c>
      <c r="D20" s="85"/>
      <c r="E20" s="86"/>
      <c r="F20" s="19"/>
    </row>
    <row r="21">
      <c r="A21" s="147">
        <v>14.0</v>
      </c>
      <c r="B21" s="17" t="s">
        <v>559</v>
      </c>
      <c r="C21" s="17">
        <v>7.292840205E9</v>
      </c>
      <c r="D21" s="85"/>
      <c r="E21" s="86"/>
      <c r="F21" s="19"/>
    </row>
    <row r="22">
      <c r="A22" s="143">
        <v>15.0</v>
      </c>
      <c r="B22" s="17" t="s">
        <v>562</v>
      </c>
      <c r="C22" s="17">
        <v>7.781044868E9</v>
      </c>
      <c r="D22" s="85"/>
      <c r="E22" s="86"/>
      <c r="F22" s="19"/>
    </row>
    <row r="23">
      <c r="A23" s="147">
        <v>16.0</v>
      </c>
      <c r="B23" s="17" t="s">
        <v>571</v>
      </c>
      <c r="C23" s="17">
        <v>8.969253849E9</v>
      </c>
      <c r="D23" s="85"/>
      <c r="E23" s="86"/>
      <c r="F23" s="19"/>
    </row>
    <row r="24">
      <c r="A24" s="143">
        <v>17.0</v>
      </c>
      <c r="B24" s="37" t="s">
        <v>576</v>
      </c>
      <c r="C24" s="17">
        <v>9.103990159E9</v>
      </c>
      <c r="D24" s="85"/>
      <c r="E24" s="86"/>
      <c r="F24" s="19"/>
    </row>
    <row r="25">
      <c r="A25" s="147">
        <v>18.0</v>
      </c>
      <c r="B25" s="37" t="s">
        <v>584</v>
      </c>
      <c r="C25" s="17">
        <v>8.804210544E9</v>
      </c>
      <c r="D25" s="85"/>
      <c r="E25" s="86"/>
      <c r="F25" s="19"/>
    </row>
    <row r="26">
      <c r="A26" s="143">
        <v>19.0</v>
      </c>
      <c r="B26" s="37" t="s">
        <v>590</v>
      </c>
      <c r="C26" s="17">
        <v>9.9342563E9</v>
      </c>
      <c r="D26" s="85"/>
      <c r="E26" s="86"/>
      <c r="F26" s="19"/>
    </row>
    <row r="27">
      <c r="A27" s="147">
        <v>20.0</v>
      </c>
      <c r="B27" s="37" t="s">
        <v>593</v>
      </c>
      <c r="C27" s="17">
        <v>9.53469605E9</v>
      </c>
      <c r="D27" s="85"/>
      <c r="E27" s="86"/>
      <c r="F27" s="19"/>
    </row>
    <row r="28">
      <c r="A28" s="143">
        <v>21.0</v>
      </c>
      <c r="B28" s="37" t="s">
        <v>604</v>
      </c>
      <c r="C28" s="17">
        <v>9.792522955E9</v>
      </c>
      <c r="D28" s="85"/>
      <c r="E28" s="86"/>
      <c r="F28" s="19"/>
    </row>
    <row r="37">
      <c r="A37" s="144" t="s">
        <v>339</v>
      </c>
      <c r="B37" s="11" t="s">
        <v>340</v>
      </c>
      <c r="C37" s="12" t="s">
        <v>341</v>
      </c>
      <c r="D37" s="11" t="s">
        <v>342</v>
      </c>
      <c r="E37" s="11" t="s">
        <v>343</v>
      </c>
      <c r="F37" s="11" t="s">
        <v>344</v>
      </c>
      <c r="G37" s="11" t="s">
        <v>345</v>
      </c>
      <c r="H37" s="11" t="s">
        <v>346</v>
      </c>
      <c r="I37" s="11" t="s">
        <v>347</v>
      </c>
      <c r="J37" s="12" t="s">
        <v>348</v>
      </c>
      <c r="K37" s="12" t="s">
        <v>349</v>
      </c>
      <c r="L37" s="11" t="s">
        <v>350</v>
      </c>
      <c r="M37" s="11" t="s">
        <v>351</v>
      </c>
      <c r="N37" s="11" t="s">
        <v>1</v>
      </c>
      <c r="O37" s="11" t="s">
        <v>352</v>
      </c>
      <c r="P37" s="11" t="s">
        <v>353</v>
      </c>
      <c r="Q37" s="11" t="s">
        <v>354</v>
      </c>
      <c r="R37" s="11" t="s">
        <v>355</v>
      </c>
      <c r="S37" s="11" t="s">
        <v>356</v>
      </c>
      <c r="T37" s="11" t="s">
        <v>357</v>
      </c>
      <c r="U37" s="11" t="s">
        <v>358</v>
      </c>
      <c r="V37" s="11" t="s">
        <v>359</v>
      </c>
      <c r="W37" s="11" t="s">
        <v>360</v>
      </c>
      <c r="X37" s="11" t="s">
        <v>361</v>
      </c>
      <c r="Y37" s="11" t="s">
        <v>362</v>
      </c>
      <c r="Z37" s="11" t="s">
        <v>363</v>
      </c>
      <c r="AA37" s="13" t="s">
        <v>364</v>
      </c>
      <c r="AB37" s="14" t="s">
        <v>3</v>
      </c>
      <c r="AC37" s="15"/>
      <c r="AD37" s="15"/>
    </row>
    <row r="38">
      <c r="B38" s="17" t="s">
        <v>498</v>
      </c>
      <c r="C38" s="17">
        <v>7.070520956E9</v>
      </c>
      <c r="D38" s="26">
        <v>42.0</v>
      </c>
      <c r="E38" s="20" t="s">
        <v>367</v>
      </c>
      <c r="F38" s="26" t="s">
        <v>499</v>
      </c>
      <c r="G38" s="19"/>
      <c r="H38" s="26" t="s">
        <v>500</v>
      </c>
      <c r="I38" s="26" t="s">
        <v>501</v>
      </c>
      <c r="J38" s="26" t="s">
        <v>497</v>
      </c>
      <c r="K38" s="18" t="s">
        <v>497</v>
      </c>
      <c r="L38" s="26" t="s">
        <v>502</v>
      </c>
      <c r="M38" s="26" t="s">
        <v>503</v>
      </c>
      <c r="N38" s="21" t="s">
        <v>9</v>
      </c>
      <c r="O38" s="20" t="s">
        <v>4</v>
      </c>
      <c r="P38" s="20" t="s">
        <v>4</v>
      </c>
      <c r="Q38" s="19"/>
      <c r="R38" s="19"/>
      <c r="S38" s="20" t="s">
        <v>380</v>
      </c>
      <c r="T38" s="19"/>
      <c r="U38" s="20" t="s">
        <v>4</v>
      </c>
      <c r="V38" s="19"/>
      <c r="W38" s="20" t="s">
        <v>4</v>
      </c>
      <c r="X38" s="20" t="s">
        <v>4</v>
      </c>
      <c r="Y38" s="20" t="s">
        <v>4</v>
      </c>
      <c r="Z38" s="20" t="s">
        <v>4</v>
      </c>
      <c r="AA38" s="27" t="s">
        <v>391</v>
      </c>
      <c r="AB38" s="17" t="s">
        <v>504</v>
      </c>
      <c r="AC38" s="24"/>
      <c r="AD38" s="24"/>
    </row>
    <row r="39">
      <c r="B39" s="17" t="s">
        <v>505</v>
      </c>
      <c r="C39" s="17">
        <v>8.828075239E9</v>
      </c>
      <c r="D39" s="26">
        <v>42.0</v>
      </c>
      <c r="E39" s="20" t="s">
        <v>405</v>
      </c>
      <c r="F39" s="26" t="s">
        <v>506</v>
      </c>
      <c r="G39" s="26" t="s">
        <v>375</v>
      </c>
      <c r="H39" s="26" t="s">
        <v>507</v>
      </c>
      <c r="I39" s="19"/>
      <c r="J39" s="26" t="s">
        <v>508</v>
      </c>
      <c r="K39" s="18" t="s">
        <v>497</v>
      </c>
      <c r="L39" s="26" t="s">
        <v>508</v>
      </c>
      <c r="M39" s="26" t="s">
        <v>508</v>
      </c>
      <c r="N39" s="21" t="s">
        <v>9</v>
      </c>
      <c r="O39" s="20" t="s">
        <v>4</v>
      </c>
      <c r="P39" s="20" t="s">
        <v>4</v>
      </c>
      <c r="Q39" s="26" t="s">
        <v>444</v>
      </c>
      <c r="R39" s="19"/>
      <c r="S39" s="20" t="s">
        <v>4</v>
      </c>
      <c r="T39" s="19"/>
      <c r="U39" s="20" t="s">
        <v>4</v>
      </c>
      <c r="V39" s="19"/>
      <c r="W39" s="20" t="s">
        <v>4</v>
      </c>
      <c r="X39" s="20" t="s">
        <v>4</v>
      </c>
      <c r="Y39" s="20" t="s">
        <v>4</v>
      </c>
      <c r="Z39" s="20" t="s">
        <v>4</v>
      </c>
      <c r="AA39" s="27" t="s">
        <v>391</v>
      </c>
      <c r="AB39" s="17"/>
      <c r="AC39" s="17" t="s">
        <v>509</v>
      </c>
      <c r="AD39" s="24"/>
    </row>
    <row r="40">
      <c r="B40" s="17" t="s">
        <v>510</v>
      </c>
      <c r="C40" s="17">
        <v>7.970485898E9</v>
      </c>
      <c r="D40" s="26">
        <v>35.0</v>
      </c>
      <c r="E40" s="22"/>
      <c r="F40" s="26" t="s">
        <v>511</v>
      </c>
      <c r="G40" s="26" t="s">
        <v>371</v>
      </c>
      <c r="H40" s="26" t="s">
        <v>512</v>
      </c>
      <c r="I40" s="19"/>
      <c r="J40" s="26" t="s">
        <v>508</v>
      </c>
      <c r="K40" s="18" t="s">
        <v>497</v>
      </c>
      <c r="L40" s="26" t="s">
        <v>508</v>
      </c>
      <c r="M40" s="26" t="s">
        <v>508</v>
      </c>
      <c r="N40" s="21" t="s">
        <v>9</v>
      </c>
      <c r="O40" s="20" t="s">
        <v>4</v>
      </c>
      <c r="P40" s="20" t="s">
        <v>380</v>
      </c>
      <c r="Q40" s="19"/>
      <c r="R40" s="19"/>
      <c r="S40" s="20" t="s">
        <v>380</v>
      </c>
      <c r="T40" s="19"/>
      <c r="U40" s="20" t="s">
        <v>4</v>
      </c>
      <c r="V40" s="26" t="s">
        <v>513</v>
      </c>
      <c r="W40" s="20" t="s">
        <v>4</v>
      </c>
      <c r="X40" s="20" t="s">
        <v>4</v>
      </c>
      <c r="Y40" s="20" t="s">
        <v>380</v>
      </c>
      <c r="Z40" s="20" t="s">
        <v>4</v>
      </c>
      <c r="AA40" s="27" t="s">
        <v>391</v>
      </c>
      <c r="AB40" s="17" t="s">
        <v>514</v>
      </c>
      <c r="AC40" s="24"/>
      <c r="AD40" s="24"/>
    </row>
    <row r="41">
      <c r="B41" s="17" t="s">
        <v>517</v>
      </c>
      <c r="C41" s="17">
        <v>9.801298771E9</v>
      </c>
      <c r="D41" s="26">
        <v>52.0</v>
      </c>
      <c r="E41" s="20" t="s">
        <v>367</v>
      </c>
      <c r="F41" s="26" t="s">
        <v>441</v>
      </c>
      <c r="G41" s="26" t="s">
        <v>518</v>
      </c>
      <c r="H41" s="26" t="s">
        <v>407</v>
      </c>
      <c r="I41" s="19"/>
      <c r="J41" s="26" t="s">
        <v>508</v>
      </c>
      <c r="K41" s="18" t="s">
        <v>497</v>
      </c>
      <c r="L41" s="26" t="s">
        <v>508</v>
      </c>
      <c r="M41" s="26" t="s">
        <v>519</v>
      </c>
      <c r="N41" s="21" t="s">
        <v>9</v>
      </c>
      <c r="O41" s="20" t="s">
        <v>4</v>
      </c>
      <c r="P41" s="20" t="s">
        <v>4</v>
      </c>
      <c r="Q41" s="26" t="s">
        <v>520</v>
      </c>
      <c r="R41" s="19"/>
      <c r="S41" s="20" t="s">
        <v>4</v>
      </c>
      <c r="T41" s="19"/>
      <c r="U41" s="20" t="s">
        <v>4</v>
      </c>
      <c r="V41" s="19"/>
      <c r="W41" s="20" t="s">
        <v>4</v>
      </c>
      <c r="X41" s="20" t="s">
        <v>4</v>
      </c>
      <c r="Y41" s="20" t="s">
        <v>380</v>
      </c>
      <c r="Z41" s="20" t="s">
        <v>4</v>
      </c>
      <c r="AA41" s="27" t="s">
        <v>391</v>
      </c>
      <c r="AB41" s="17"/>
      <c r="AC41" s="17" t="s">
        <v>521</v>
      </c>
      <c r="AD41" s="24"/>
    </row>
    <row r="42">
      <c r="B42" s="17" t="s">
        <v>522</v>
      </c>
      <c r="C42" s="17">
        <v>6.201226233E9</v>
      </c>
      <c r="D42" s="26">
        <v>28.0</v>
      </c>
      <c r="E42" s="20" t="s">
        <v>367</v>
      </c>
      <c r="F42" s="26" t="s">
        <v>429</v>
      </c>
      <c r="G42" s="19"/>
      <c r="H42" s="19"/>
      <c r="I42" s="26" t="s">
        <v>523</v>
      </c>
      <c r="J42" s="19"/>
      <c r="K42" s="18" t="s">
        <v>497</v>
      </c>
      <c r="L42" s="26" t="s">
        <v>524</v>
      </c>
      <c r="M42" s="26" t="s">
        <v>525</v>
      </c>
      <c r="N42" s="21" t="s">
        <v>9</v>
      </c>
      <c r="O42" s="20" t="s">
        <v>4</v>
      </c>
      <c r="P42" s="20" t="s">
        <v>380</v>
      </c>
      <c r="Q42" s="19"/>
      <c r="R42" s="19"/>
      <c r="S42" s="20" t="s">
        <v>4</v>
      </c>
      <c r="T42" s="19"/>
      <c r="U42" s="20" t="s">
        <v>380</v>
      </c>
      <c r="V42" s="19"/>
      <c r="W42" s="20" t="s">
        <v>4</v>
      </c>
      <c r="X42" s="20" t="s">
        <v>4</v>
      </c>
      <c r="Y42" s="20" t="s">
        <v>4</v>
      </c>
      <c r="Z42" s="20" t="s">
        <v>4</v>
      </c>
      <c r="AA42" s="27" t="s">
        <v>391</v>
      </c>
      <c r="AB42" s="17" t="s">
        <v>504</v>
      </c>
      <c r="AC42" s="24"/>
      <c r="AD42" s="24"/>
    </row>
    <row r="43">
      <c r="B43" s="17" t="s">
        <v>526</v>
      </c>
      <c r="C43" s="17">
        <v>6.29942425E9</v>
      </c>
      <c r="D43" s="26">
        <v>18.0</v>
      </c>
      <c r="E43" s="20" t="s">
        <v>367</v>
      </c>
      <c r="F43" s="26" t="s">
        <v>382</v>
      </c>
      <c r="G43" s="26" t="s">
        <v>518</v>
      </c>
      <c r="H43" s="26" t="s">
        <v>376</v>
      </c>
      <c r="I43" s="26" t="s">
        <v>527</v>
      </c>
      <c r="J43" s="26" t="s">
        <v>508</v>
      </c>
      <c r="K43" s="18" t="s">
        <v>497</v>
      </c>
      <c r="L43" s="26" t="s">
        <v>508</v>
      </c>
      <c r="M43" s="26" t="s">
        <v>528</v>
      </c>
      <c r="N43" s="21" t="s">
        <v>9</v>
      </c>
      <c r="O43" s="20" t="s">
        <v>4</v>
      </c>
      <c r="P43" s="20" t="s">
        <v>380</v>
      </c>
      <c r="Q43" s="19"/>
      <c r="R43" s="19"/>
      <c r="S43" s="20" t="s">
        <v>4</v>
      </c>
      <c r="T43" s="19"/>
      <c r="U43" s="20" t="s">
        <v>380</v>
      </c>
      <c r="V43" s="19"/>
      <c r="W43" s="20" t="s">
        <v>4</v>
      </c>
      <c r="X43" s="20" t="s">
        <v>4</v>
      </c>
      <c r="Y43" s="20" t="s">
        <v>380</v>
      </c>
      <c r="Z43" s="20" t="s">
        <v>4</v>
      </c>
      <c r="AA43" s="27" t="s">
        <v>391</v>
      </c>
      <c r="AB43" s="17"/>
      <c r="AC43" s="17" t="s">
        <v>509</v>
      </c>
      <c r="AD43" s="24"/>
    </row>
    <row r="44">
      <c r="B44" s="17" t="s">
        <v>529</v>
      </c>
      <c r="C44" s="17">
        <v>7.004567973E9</v>
      </c>
      <c r="D44" s="26">
        <v>22.0</v>
      </c>
      <c r="E44" s="20" t="s">
        <v>367</v>
      </c>
      <c r="F44" s="26" t="s">
        <v>382</v>
      </c>
      <c r="G44" s="26" t="s">
        <v>375</v>
      </c>
      <c r="H44" s="26" t="s">
        <v>376</v>
      </c>
      <c r="I44" s="26" t="s">
        <v>384</v>
      </c>
      <c r="J44" s="26" t="s">
        <v>508</v>
      </c>
      <c r="K44" s="18" t="s">
        <v>497</v>
      </c>
      <c r="L44" s="26" t="s">
        <v>508</v>
      </c>
      <c r="M44" s="26" t="s">
        <v>508</v>
      </c>
      <c r="N44" s="21" t="s">
        <v>9</v>
      </c>
      <c r="O44" s="20" t="s">
        <v>4</v>
      </c>
      <c r="P44" s="20" t="s">
        <v>4</v>
      </c>
      <c r="Q44" s="26" t="s">
        <v>444</v>
      </c>
      <c r="R44" s="19"/>
      <c r="S44" s="20" t="s">
        <v>4</v>
      </c>
      <c r="T44" s="19"/>
      <c r="U44" s="20" t="s">
        <v>4</v>
      </c>
      <c r="V44" s="19"/>
      <c r="W44" s="20" t="s">
        <v>4</v>
      </c>
      <c r="X44" s="20" t="s">
        <v>4</v>
      </c>
      <c r="Y44" s="20" t="s">
        <v>4</v>
      </c>
      <c r="Z44" s="20" t="s">
        <v>4</v>
      </c>
      <c r="AA44" s="27" t="s">
        <v>391</v>
      </c>
      <c r="AB44" s="28"/>
      <c r="AC44" s="29" t="s">
        <v>509</v>
      </c>
      <c r="AD44" s="24"/>
    </row>
    <row r="45">
      <c r="B45" s="17" t="s">
        <v>530</v>
      </c>
      <c r="C45" s="17">
        <v>9.110185905E9</v>
      </c>
      <c r="D45" s="26">
        <v>27.0</v>
      </c>
      <c r="E45" s="20" t="s">
        <v>367</v>
      </c>
      <c r="F45" s="26" t="s">
        <v>382</v>
      </c>
      <c r="G45" s="26" t="s">
        <v>375</v>
      </c>
      <c r="H45" s="26" t="s">
        <v>407</v>
      </c>
      <c r="I45" s="19"/>
      <c r="J45" s="26" t="s">
        <v>508</v>
      </c>
      <c r="K45" s="18" t="s">
        <v>497</v>
      </c>
      <c r="L45" s="26" t="s">
        <v>531</v>
      </c>
      <c r="M45" s="26" t="s">
        <v>532</v>
      </c>
      <c r="N45" s="21" t="s">
        <v>9</v>
      </c>
      <c r="O45" s="20" t="s">
        <v>4</v>
      </c>
      <c r="P45" s="20" t="s">
        <v>380</v>
      </c>
      <c r="Q45" s="19"/>
      <c r="R45" s="19"/>
      <c r="S45" s="20" t="s">
        <v>4</v>
      </c>
      <c r="T45" s="19"/>
      <c r="U45" s="20" t="s">
        <v>4</v>
      </c>
      <c r="V45" s="19"/>
      <c r="W45" s="20" t="s">
        <v>4</v>
      </c>
      <c r="X45" s="20" t="s">
        <v>4</v>
      </c>
      <c r="Y45" s="20" t="s">
        <v>380</v>
      </c>
      <c r="Z45" s="22"/>
      <c r="AA45" s="27" t="s">
        <v>391</v>
      </c>
      <c r="AB45" s="28"/>
      <c r="AC45" s="29" t="s">
        <v>533</v>
      </c>
      <c r="AD45" s="24"/>
    </row>
    <row r="46">
      <c r="B46" s="17" t="s">
        <v>535</v>
      </c>
      <c r="C46" s="17">
        <v>9.955332296E9</v>
      </c>
      <c r="D46" s="26">
        <v>35.0</v>
      </c>
      <c r="E46" s="20" t="s">
        <v>367</v>
      </c>
      <c r="F46" s="26" t="s">
        <v>536</v>
      </c>
      <c r="G46" s="26" t="s">
        <v>371</v>
      </c>
      <c r="H46" s="26" t="s">
        <v>383</v>
      </c>
      <c r="I46" s="26" t="s">
        <v>523</v>
      </c>
      <c r="J46" s="26" t="s">
        <v>508</v>
      </c>
      <c r="K46" s="18" t="s">
        <v>497</v>
      </c>
      <c r="L46" s="26" t="s">
        <v>537</v>
      </c>
      <c r="M46" s="26" t="s">
        <v>538</v>
      </c>
      <c r="N46" s="21" t="s">
        <v>9</v>
      </c>
      <c r="O46" s="20" t="s">
        <v>4</v>
      </c>
      <c r="P46" s="20" t="s">
        <v>4</v>
      </c>
      <c r="Q46" s="26" t="s">
        <v>539</v>
      </c>
      <c r="R46" s="19"/>
      <c r="S46" s="20" t="s">
        <v>4</v>
      </c>
      <c r="T46" s="19"/>
      <c r="U46" s="20" t="s">
        <v>4</v>
      </c>
      <c r="V46" s="26" t="s">
        <v>540</v>
      </c>
      <c r="W46" s="20" t="s">
        <v>4</v>
      </c>
      <c r="X46" s="20" t="s">
        <v>4</v>
      </c>
      <c r="Y46" s="20" t="s">
        <v>4</v>
      </c>
      <c r="Z46" s="20" t="s">
        <v>4</v>
      </c>
      <c r="AA46" s="27" t="s">
        <v>391</v>
      </c>
      <c r="AB46" s="17" t="s">
        <v>514</v>
      </c>
      <c r="AC46" s="24"/>
      <c r="AD46" s="24"/>
    </row>
    <row r="47">
      <c r="B47" s="17" t="s">
        <v>547</v>
      </c>
      <c r="C47" s="17">
        <v>7.541864152E9</v>
      </c>
      <c r="D47" s="19"/>
      <c r="E47" s="22"/>
      <c r="F47" s="19"/>
      <c r="G47" s="19"/>
      <c r="H47" s="19"/>
      <c r="I47" s="19"/>
      <c r="J47" s="19"/>
      <c r="K47" s="18" t="s">
        <v>497</v>
      </c>
      <c r="L47" s="19"/>
      <c r="M47" s="19"/>
      <c r="N47" s="21" t="s">
        <v>23</v>
      </c>
      <c r="O47" s="22"/>
      <c r="P47" s="22"/>
      <c r="Q47" s="19"/>
      <c r="R47" s="19"/>
      <c r="S47" s="22"/>
      <c r="T47" s="19"/>
      <c r="U47" s="22"/>
      <c r="V47" s="19"/>
      <c r="W47" s="20" t="s">
        <v>4</v>
      </c>
      <c r="X47" s="20" t="s">
        <v>4</v>
      </c>
      <c r="Y47" s="20" t="s">
        <v>4</v>
      </c>
      <c r="Z47" s="20" t="s">
        <v>4</v>
      </c>
      <c r="AA47" s="27" t="s">
        <v>391</v>
      </c>
      <c r="AB47" s="17" t="s">
        <v>504</v>
      </c>
      <c r="AC47" s="24"/>
      <c r="AD47" s="24"/>
    </row>
    <row r="48">
      <c r="B48" s="17" t="s">
        <v>548</v>
      </c>
      <c r="C48" s="17">
        <v>7.25074877E9</v>
      </c>
      <c r="D48" s="26">
        <v>39.0</v>
      </c>
      <c r="E48" s="20" t="s">
        <v>367</v>
      </c>
      <c r="F48" s="26" t="s">
        <v>441</v>
      </c>
      <c r="G48" s="26" t="s">
        <v>549</v>
      </c>
      <c r="H48" s="26" t="s">
        <v>550</v>
      </c>
      <c r="I48" s="26" t="s">
        <v>551</v>
      </c>
      <c r="J48" s="26" t="s">
        <v>508</v>
      </c>
      <c r="K48" s="18" t="s">
        <v>497</v>
      </c>
      <c r="L48" s="26" t="s">
        <v>545</v>
      </c>
      <c r="M48" s="26" t="s">
        <v>552</v>
      </c>
      <c r="N48" s="21" t="s">
        <v>9</v>
      </c>
      <c r="O48" s="20" t="s">
        <v>4</v>
      </c>
      <c r="P48" s="20" t="s">
        <v>380</v>
      </c>
      <c r="Q48" s="19"/>
      <c r="R48" s="19"/>
      <c r="S48" s="20" t="s">
        <v>380</v>
      </c>
      <c r="T48" s="19"/>
      <c r="U48" s="20" t="s">
        <v>380</v>
      </c>
      <c r="V48" s="19"/>
      <c r="W48" s="20" t="s">
        <v>4</v>
      </c>
      <c r="X48" s="20" t="s">
        <v>4</v>
      </c>
      <c r="Y48" s="20" t="s">
        <v>4</v>
      </c>
      <c r="Z48" s="20" t="s">
        <v>4</v>
      </c>
      <c r="AA48" s="27" t="s">
        <v>391</v>
      </c>
      <c r="AB48" s="17" t="s">
        <v>514</v>
      </c>
      <c r="AC48" s="24"/>
      <c r="AD48" s="24"/>
    </row>
    <row r="49">
      <c r="B49" s="17" t="s">
        <v>553</v>
      </c>
      <c r="C49" s="17">
        <v>8.757904358E9</v>
      </c>
      <c r="D49" s="26">
        <v>30.0</v>
      </c>
      <c r="E49" s="20" t="s">
        <v>367</v>
      </c>
      <c r="F49" s="26" t="s">
        <v>554</v>
      </c>
      <c r="G49" s="19"/>
      <c r="H49" s="26" t="s">
        <v>407</v>
      </c>
      <c r="I49" s="26" t="s">
        <v>544</v>
      </c>
      <c r="J49" s="19"/>
      <c r="K49" s="18" t="s">
        <v>497</v>
      </c>
      <c r="L49" s="26" t="s">
        <v>497</v>
      </c>
      <c r="M49" s="26" t="s">
        <v>555</v>
      </c>
      <c r="N49" s="21" t="s">
        <v>9</v>
      </c>
      <c r="O49" s="20" t="s">
        <v>4</v>
      </c>
      <c r="P49" s="20" t="s">
        <v>380</v>
      </c>
      <c r="Q49" s="19"/>
      <c r="R49" s="19"/>
      <c r="S49" s="20" t="s">
        <v>380</v>
      </c>
      <c r="T49" s="19"/>
      <c r="U49" s="20" t="s">
        <v>380</v>
      </c>
      <c r="V49" s="19"/>
      <c r="W49" s="20" t="s">
        <v>4</v>
      </c>
      <c r="X49" s="20" t="s">
        <v>4</v>
      </c>
      <c r="Y49" s="20" t="s">
        <v>4</v>
      </c>
      <c r="Z49" s="20" t="s">
        <v>4</v>
      </c>
      <c r="AA49" s="27" t="s">
        <v>391</v>
      </c>
      <c r="AB49" s="17" t="s">
        <v>504</v>
      </c>
      <c r="AC49" s="24"/>
      <c r="AD49" s="24"/>
    </row>
    <row r="50">
      <c r="B50" s="17" t="s">
        <v>556</v>
      </c>
      <c r="C50" s="17">
        <v>9.128325958E9</v>
      </c>
      <c r="D50" s="26">
        <v>36.0</v>
      </c>
      <c r="E50" s="20" t="s">
        <v>367</v>
      </c>
      <c r="F50" s="26" t="s">
        <v>557</v>
      </c>
      <c r="G50" s="19"/>
      <c r="H50" s="26" t="s">
        <v>407</v>
      </c>
      <c r="I50" s="26" t="s">
        <v>544</v>
      </c>
      <c r="J50" s="19"/>
      <c r="K50" s="18" t="s">
        <v>497</v>
      </c>
      <c r="L50" s="26" t="s">
        <v>497</v>
      </c>
      <c r="M50" s="26" t="s">
        <v>558</v>
      </c>
      <c r="N50" s="21" t="s">
        <v>9</v>
      </c>
      <c r="O50" s="20" t="s">
        <v>4</v>
      </c>
      <c r="P50" s="20" t="s">
        <v>4</v>
      </c>
      <c r="Q50" s="26" t="s">
        <v>388</v>
      </c>
      <c r="R50" s="19"/>
      <c r="S50" s="20" t="s">
        <v>4</v>
      </c>
      <c r="T50" s="19"/>
      <c r="U50" s="20" t="s">
        <v>4</v>
      </c>
      <c r="V50" s="19"/>
      <c r="W50" s="20" t="s">
        <v>4</v>
      </c>
      <c r="X50" s="20" t="s">
        <v>4</v>
      </c>
      <c r="Y50" s="20" t="s">
        <v>4</v>
      </c>
      <c r="Z50" s="20" t="s">
        <v>4</v>
      </c>
      <c r="AA50" s="27" t="s">
        <v>391</v>
      </c>
      <c r="AB50" s="17" t="s">
        <v>504</v>
      </c>
      <c r="AC50" s="24"/>
      <c r="AD50" s="24"/>
    </row>
    <row r="51">
      <c r="B51" s="17" t="s">
        <v>559</v>
      </c>
      <c r="C51" s="17">
        <v>7.292840205E9</v>
      </c>
      <c r="D51" s="26">
        <v>40.0</v>
      </c>
      <c r="E51" s="20" t="s">
        <v>367</v>
      </c>
      <c r="F51" s="26" t="s">
        <v>560</v>
      </c>
      <c r="G51" s="19"/>
      <c r="H51" s="26" t="s">
        <v>458</v>
      </c>
      <c r="I51" s="19"/>
      <c r="J51" s="19"/>
      <c r="K51" s="18" t="s">
        <v>497</v>
      </c>
      <c r="L51" s="26" t="s">
        <v>497</v>
      </c>
      <c r="M51" s="26" t="s">
        <v>558</v>
      </c>
      <c r="N51" s="21" t="s">
        <v>9</v>
      </c>
      <c r="O51" s="20" t="s">
        <v>4</v>
      </c>
      <c r="P51" s="20" t="s">
        <v>4</v>
      </c>
      <c r="Q51" s="26" t="s">
        <v>388</v>
      </c>
      <c r="R51" s="19"/>
      <c r="S51" s="20" t="s">
        <v>4</v>
      </c>
      <c r="T51" s="26" t="s">
        <v>561</v>
      </c>
      <c r="U51" s="20" t="s">
        <v>380</v>
      </c>
      <c r="V51" s="19"/>
      <c r="W51" s="20" t="s">
        <v>4</v>
      </c>
      <c r="X51" s="20" t="s">
        <v>4</v>
      </c>
      <c r="Y51" s="20" t="s">
        <v>4</v>
      </c>
      <c r="Z51" s="20" t="s">
        <v>4</v>
      </c>
      <c r="AA51" s="27" t="s">
        <v>391</v>
      </c>
      <c r="AB51" s="17" t="s">
        <v>504</v>
      </c>
      <c r="AC51" s="24"/>
      <c r="AD51" s="24"/>
    </row>
    <row r="52">
      <c r="B52" s="17" t="s">
        <v>562</v>
      </c>
      <c r="C52" s="17">
        <v>7.781044868E9</v>
      </c>
      <c r="D52" s="26">
        <v>43.0</v>
      </c>
      <c r="E52" s="20" t="s">
        <v>367</v>
      </c>
      <c r="F52" s="26" t="s">
        <v>406</v>
      </c>
      <c r="G52" s="19"/>
      <c r="H52" s="19"/>
      <c r="I52" s="26" t="s">
        <v>563</v>
      </c>
      <c r="J52" s="19"/>
      <c r="K52" s="18" t="s">
        <v>497</v>
      </c>
      <c r="L52" s="26" t="s">
        <v>497</v>
      </c>
      <c r="M52" s="26" t="s">
        <v>558</v>
      </c>
      <c r="N52" s="21" t="s">
        <v>9</v>
      </c>
      <c r="O52" s="20" t="s">
        <v>4</v>
      </c>
      <c r="P52" s="20" t="s">
        <v>4</v>
      </c>
      <c r="Q52" s="26" t="s">
        <v>388</v>
      </c>
      <c r="R52" s="19"/>
      <c r="S52" s="20" t="s">
        <v>380</v>
      </c>
      <c r="T52" s="19"/>
      <c r="U52" s="20" t="s">
        <v>4</v>
      </c>
      <c r="V52" s="19"/>
      <c r="W52" s="20" t="s">
        <v>4</v>
      </c>
      <c r="X52" s="20" t="s">
        <v>4</v>
      </c>
      <c r="Y52" s="20" t="s">
        <v>4</v>
      </c>
      <c r="Z52" s="20" t="s">
        <v>4</v>
      </c>
      <c r="AA52" s="27" t="s">
        <v>391</v>
      </c>
      <c r="AB52" s="17" t="s">
        <v>504</v>
      </c>
      <c r="AC52" s="24"/>
      <c r="AD52" s="24"/>
    </row>
    <row r="53">
      <c r="B53" s="17" t="s">
        <v>571</v>
      </c>
      <c r="C53" s="17">
        <v>8.969253849E9</v>
      </c>
      <c r="D53" s="26">
        <v>28.0</v>
      </c>
      <c r="E53" s="20" t="s">
        <v>367</v>
      </c>
      <c r="F53" s="26" t="s">
        <v>382</v>
      </c>
      <c r="G53" s="19"/>
      <c r="H53" s="26" t="s">
        <v>383</v>
      </c>
      <c r="I53" s="26" t="s">
        <v>572</v>
      </c>
      <c r="J53" s="19"/>
      <c r="K53" s="18" t="s">
        <v>497</v>
      </c>
      <c r="L53" s="26" t="s">
        <v>573</v>
      </c>
      <c r="M53" s="26" t="s">
        <v>574</v>
      </c>
      <c r="N53" s="21" t="s">
        <v>9</v>
      </c>
      <c r="O53" s="20" t="s">
        <v>4</v>
      </c>
      <c r="P53" s="20" t="s">
        <v>380</v>
      </c>
      <c r="Q53" s="19"/>
      <c r="R53" s="19"/>
      <c r="S53" s="20" t="s">
        <v>4</v>
      </c>
      <c r="T53" s="19"/>
      <c r="U53" s="20" t="s">
        <v>4</v>
      </c>
      <c r="V53" s="19"/>
      <c r="W53" s="20" t="s">
        <v>4</v>
      </c>
      <c r="X53" s="20" t="s">
        <v>4</v>
      </c>
      <c r="Y53" s="20" t="s">
        <v>4</v>
      </c>
      <c r="Z53" s="20" t="s">
        <v>4</v>
      </c>
      <c r="AA53" s="27" t="s">
        <v>391</v>
      </c>
      <c r="AB53" s="17" t="s">
        <v>504</v>
      </c>
      <c r="AC53" s="24"/>
      <c r="AD53" s="24"/>
    </row>
    <row r="54">
      <c r="B54" s="37" t="s">
        <v>576</v>
      </c>
      <c r="C54" s="17">
        <v>9.103990159E9</v>
      </c>
      <c r="D54" s="26">
        <v>42.0</v>
      </c>
      <c r="E54" s="20" t="s">
        <v>367</v>
      </c>
      <c r="F54" s="26" t="s">
        <v>577</v>
      </c>
      <c r="G54" s="26" t="s">
        <v>371</v>
      </c>
      <c r="H54" s="26" t="s">
        <v>383</v>
      </c>
      <c r="I54" s="26" t="s">
        <v>578</v>
      </c>
      <c r="J54" s="26" t="s">
        <v>508</v>
      </c>
      <c r="K54" s="18" t="s">
        <v>497</v>
      </c>
      <c r="L54" s="26" t="s">
        <v>508</v>
      </c>
      <c r="M54" s="26" t="s">
        <v>579</v>
      </c>
      <c r="N54" s="21" t="s">
        <v>9</v>
      </c>
      <c r="O54" s="20" t="s">
        <v>4</v>
      </c>
      <c r="P54" s="20" t="s">
        <v>4</v>
      </c>
      <c r="Q54" s="26" t="s">
        <v>580</v>
      </c>
      <c r="R54" s="26" t="s">
        <v>581</v>
      </c>
      <c r="S54" s="20" t="s">
        <v>4</v>
      </c>
      <c r="T54" s="26" t="s">
        <v>582</v>
      </c>
      <c r="U54" s="20" t="s">
        <v>4</v>
      </c>
      <c r="V54" s="26" t="s">
        <v>540</v>
      </c>
      <c r="W54" s="20" t="s">
        <v>4</v>
      </c>
      <c r="X54" s="20" t="s">
        <v>4</v>
      </c>
      <c r="Y54" s="20" t="s">
        <v>4</v>
      </c>
      <c r="Z54" s="20" t="s">
        <v>4</v>
      </c>
      <c r="AA54" s="27" t="s">
        <v>391</v>
      </c>
      <c r="AB54" s="17" t="s">
        <v>514</v>
      </c>
      <c r="AC54" s="24"/>
      <c r="AD54" s="24"/>
    </row>
    <row r="55">
      <c r="B55" s="37" t="s">
        <v>584</v>
      </c>
      <c r="C55" s="17">
        <v>8.804210544E9</v>
      </c>
      <c r="D55" s="26">
        <v>24.0</v>
      </c>
      <c r="E55" s="20" t="s">
        <v>367</v>
      </c>
      <c r="F55" s="26" t="s">
        <v>585</v>
      </c>
      <c r="G55" s="26" t="s">
        <v>375</v>
      </c>
      <c r="H55" s="26" t="s">
        <v>383</v>
      </c>
      <c r="I55" s="26" t="s">
        <v>384</v>
      </c>
      <c r="J55" s="26" t="s">
        <v>508</v>
      </c>
      <c r="K55" s="18" t="s">
        <v>497</v>
      </c>
      <c r="L55" s="26" t="s">
        <v>508</v>
      </c>
      <c r="M55" s="26" t="s">
        <v>586</v>
      </c>
      <c r="N55" s="21" t="s">
        <v>9</v>
      </c>
      <c r="O55" s="20" t="s">
        <v>4</v>
      </c>
      <c r="P55" s="20" t="s">
        <v>4</v>
      </c>
      <c r="Q55" s="26" t="s">
        <v>580</v>
      </c>
      <c r="R55" s="26" t="s">
        <v>587</v>
      </c>
      <c r="S55" s="20" t="s">
        <v>4</v>
      </c>
      <c r="T55" s="26" t="s">
        <v>540</v>
      </c>
      <c r="U55" s="20" t="s">
        <v>4</v>
      </c>
      <c r="V55" s="26" t="s">
        <v>540</v>
      </c>
      <c r="W55" s="20" t="s">
        <v>4</v>
      </c>
      <c r="X55" s="20" t="s">
        <v>4</v>
      </c>
      <c r="Y55" s="20" t="s">
        <v>4</v>
      </c>
      <c r="Z55" s="20" t="s">
        <v>4</v>
      </c>
      <c r="AA55" s="27" t="s">
        <v>391</v>
      </c>
      <c r="AB55" s="17" t="s">
        <v>514</v>
      </c>
      <c r="AC55" s="24"/>
      <c r="AD55" s="24"/>
    </row>
    <row r="56">
      <c r="B56" s="37" t="s">
        <v>590</v>
      </c>
      <c r="C56" s="17">
        <v>9.9342563E9</v>
      </c>
      <c r="D56" s="26">
        <v>22.0</v>
      </c>
      <c r="E56" s="20" t="s">
        <v>367</v>
      </c>
      <c r="F56" s="26" t="s">
        <v>429</v>
      </c>
      <c r="G56" s="19"/>
      <c r="H56" s="26" t="s">
        <v>591</v>
      </c>
      <c r="I56" s="26" t="s">
        <v>544</v>
      </c>
      <c r="J56" s="26" t="s">
        <v>497</v>
      </c>
      <c r="K56" s="18" t="s">
        <v>497</v>
      </c>
      <c r="L56" s="26" t="s">
        <v>573</v>
      </c>
      <c r="M56" s="26" t="s">
        <v>574</v>
      </c>
      <c r="N56" s="21" t="s">
        <v>9</v>
      </c>
      <c r="O56" s="20" t="s">
        <v>4</v>
      </c>
      <c r="P56" s="20" t="s">
        <v>4</v>
      </c>
      <c r="Q56" s="19"/>
      <c r="R56" s="19"/>
      <c r="S56" s="20" t="s">
        <v>4</v>
      </c>
      <c r="T56" s="19"/>
      <c r="U56" s="20" t="s">
        <v>4</v>
      </c>
      <c r="V56" s="38"/>
      <c r="W56" s="20" t="s">
        <v>4</v>
      </c>
      <c r="X56" s="20" t="s">
        <v>4</v>
      </c>
      <c r="Y56" s="20" t="s">
        <v>4</v>
      </c>
      <c r="Z56" s="20" t="s">
        <v>4</v>
      </c>
      <c r="AA56" s="27" t="s">
        <v>391</v>
      </c>
      <c r="AB56" s="17" t="s">
        <v>504</v>
      </c>
      <c r="AC56" s="24"/>
      <c r="AD56" s="24"/>
    </row>
    <row r="57">
      <c r="B57" s="37" t="s">
        <v>593</v>
      </c>
      <c r="C57" s="17">
        <v>9.53469605E9</v>
      </c>
      <c r="D57" s="26">
        <v>37.0</v>
      </c>
      <c r="E57" s="20" t="s">
        <v>367</v>
      </c>
      <c r="F57" s="26" t="s">
        <v>429</v>
      </c>
      <c r="G57" s="19"/>
      <c r="H57" s="26" t="s">
        <v>418</v>
      </c>
      <c r="I57" s="19"/>
      <c r="J57" s="19"/>
      <c r="K57" s="18" t="s">
        <v>497</v>
      </c>
      <c r="L57" s="26" t="s">
        <v>545</v>
      </c>
      <c r="M57" s="26" t="s">
        <v>594</v>
      </c>
      <c r="N57" s="21" t="s">
        <v>9</v>
      </c>
      <c r="O57" s="20" t="s">
        <v>4</v>
      </c>
      <c r="P57" s="20" t="s">
        <v>380</v>
      </c>
      <c r="Q57" s="19"/>
      <c r="R57" s="19"/>
      <c r="S57" s="20" t="s">
        <v>4</v>
      </c>
      <c r="T57" s="19"/>
      <c r="U57" s="20" t="s">
        <v>4</v>
      </c>
      <c r="V57" s="26" t="s">
        <v>595</v>
      </c>
      <c r="W57" s="20" t="s">
        <v>4</v>
      </c>
      <c r="X57" s="20" t="s">
        <v>4</v>
      </c>
      <c r="Y57" s="20" t="s">
        <v>4</v>
      </c>
      <c r="Z57" s="20" t="s">
        <v>4</v>
      </c>
      <c r="AA57" s="27" t="s">
        <v>391</v>
      </c>
      <c r="AB57" s="17" t="s">
        <v>504</v>
      </c>
      <c r="AC57" s="24"/>
      <c r="AD57" s="24"/>
    </row>
    <row r="58">
      <c r="B58" s="37" t="s">
        <v>604</v>
      </c>
      <c r="C58" s="17">
        <v>9.792522955E9</v>
      </c>
      <c r="D58" s="26">
        <v>35.0</v>
      </c>
      <c r="E58" s="20" t="s">
        <v>367</v>
      </c>
      <c r="F58" s="26" t="s">
        <v>462</v>
      </c>
      <c r="G58" s="19"/>
      <c r="H58" s="26" t="s">
        <v>458</v>
      </c>
      <c r="I58" s="19"/>
      <c r="J58" s="19"/>
      <c r="K58" s="18" t="s">
        <v>497</v>
      </c>
      <c r="L58" s="26" t="s">
        <v>524</v>
      </c>
      <c r="M58" s="26" t="s">
        <v>605</v>
      </c>
      <c r="N58" s="21" t="s">
        <v>9</v>
      </c>
      <c r="O58" s="20" t="s">
        <v>380</v>
      </c>
      <c r="P58" s="20" t="s">
        <v>380</v>
      </c>
      <c r="Q58" s="19"/>
      <c r="R58" s="19"/>
      <c r="S58" s="20" t="s">
        <v>4</v>
      </c>
      <c r="T58" s="19"/>
      <c r="U58" s="20" t="s">
        <v>4</v>
      </c>
      <c r="V58" s="26"/>
      <c r="W58" s="20" t="s">
        <v>4</v>
      </c>
      <c r="X58" s="20" t="s">
        <v>4</v>
      </c>
      <c r="Y58" s="20" t="s">
        <v>4</v>
      </c>
      <c r="Z58" s="20" t="s">
        <v>4</v>
      </c>
      <c r="AA58" s="27" t="s">
        <v>391</v>
      </c>
      <c r="AB58" s="17" t="s">
        <v>504</v>
      </c>
      <c r="AC58" s="24"/>
      <c r="AD58" s="24"/>
    </row>
  </sheetData>
  <mergeCells count="2">
    <mergeCell ref="A2:C6"/>
    <mergeCell ref="A54:A68"/>
  </mergeCells>
  <dataValidations>
    <dataValidation type="list" allowBlank="1" showErrorMessage="1" sqref="O38:P58 S38:S58 U38:U58 W38:Z58">
      <formula1>"Yes,NO"</formula1>
    </dataValidation>
    <dataValidation type="list" allowBlank="1" showErrorMessage="1" sqref="E38:E58">
      <formula1>"Male,Female"</formula1>
    </dataValidation>
    <dataValidation type="list" allowBlank="1" showErrorMessage="1" sqref="D8:D28 N38:N58">
      <formula1>"Connected,Call Back Later,Busy,Switch off,Not Received,Wrong No."</formula1>
    </dataValidation>
    <dataValidation type="list" allowBlank="1" showErrorMessage="1" sqref="E8:E28">
      <formula1>"CONFIRMED,NOT CONFIRMED"</formula1>
    </dataValidation>
    <dataValidation type="list" allowBlank="1" showErrorMessage="1" sqref="AA38:AA58">
      <formula1>"Verified,Not Verified"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4" max="4" width="15.25"/>
    <col customWidth="1" min="5" max="5" width="15.13"/>
    <col customWidth="1" min="14" max="14" width="14.25"/>
  </cols>
  <sheetData>
    <row r="1">
      <c r="A1" s="144" t="s">
        <v>339</v>
      </c>
      <c r="B1" s="11" t="s">
        <v>340</v>
      </c>
      <c r="C1" s="12" t="s">
        <v>341</v>
      </c>
      <c r="D1" s="11" t="s">
        <v>342</v>
      </c>
      <c r="E1" s="11" t="s">
        <v>343</v>
      </c>
      <c r="F1" s="11" t="s">
        <v>344</v>
      </c>
      <c r="G1" s="11" t="s">
        <v>345</v>
      </c>
      <c r="H1" s="11" t="s">
        <v>346</v>
      </c>
      <c r="I1" s="11" t="s">
        <v>347</v>
      </c>
      <c r="J1" s="12" t="s">
        <v>348</v>
      </c>
      <c r="K1" s="12" t="s">
        <v>349</v>
      </c>
      <c r="L1" s="11" t="s">
        <v>350</v>
      </c>
      <c r="M1" s="11" t="s">
        <v>351</v>
      </c>
      <c r="N1" s="11" t="s">
        <v>1</v>
      </c>
      <c r="O1" s="11" t="s">
        <v>352</v>
      </c>
      <c r="P1" s="11" t="s">
        <v>353</v>
      </c>
      <c r="Q1" s="11" t="s">
        <v>354</v>
      </c>
      <c r="R1" s="11" t="s">
        <v>355</v>
      </c>
      <c r="S1" s="11" t="s">
        <v>356</v>
      </c>
      <c r="T1" s="11" t="s">
        <v>357</v>
      </c>
      <c r="U1" s="11" t="s">
        <v>358</v>
      </c>
      <c r="V1" s="11" t="s">
        <v>359</v>
      </c>
      <c r="W1" s="11" t="s">
        <v>360</v>
      </c>
      <c r="X1" s="11" t="s">
        <v>361</v>
      </c>
      <c r="Y1" s="11" t="s">
        <v>362</v>
      </c>
      <c r="Z1" s="11" t="s">
        <v>363</v>
      </c>
      <c r="AA1" s="13" t="s">
        <v>364</v>
      </c>
      <c r="AB1" s="14" t="s">
        <v>3</v>
      </c>
      <c r="AC1" s="15"/>
      <c r="AD1" s="15"/>
    </row>
    <row r="2">
      <c r="A2" s="61" t="s">
        <v>365</v>
      </c>
      <c r="B2" s="17" t="s">
        <v>366</v>
      </c>
      <c r="C2" s="17">
        <v>9.507689463E9</v>
      </c>
      <c r="D2" s="28"/>
      <c r="E2" s="56" t="s">
        <v>367</v>
      </c>
      <c r="F2" s="17" t="s">
        <v>370</v>
      </c>
      <c r="G2" s="17" t="s">
        <v>371</v>
      </c>
      <c r="H2" s="28"/>
      <c r="I2" s="28"/>
      <c r="J2" s="17" t="s">
        <v>385</v>
      </c>
      <c r="K2" s="17" t="s">
        <v>368</v>
      </c>
      <c r="L2" s="17" t="s">
        <v>386</v>
      </c>
      <c r="M2" s="28"/>
      <c r="N2" s="56" t="s">
        <v>9</v>
      </c>
      <c r="O2" s="56" t="s">
        <v>4</v>
      </c>
      <c r="P2" s="56" t="s">
        <v>4</v>
      </c>
      <c r="Q2" s="17" t="s">
        <v>1875</v>
      </c>
      <c r="R2" s="17" t="s">
        <v>1876</v>
      </c>
      <c r="S2" s="56" t="s">
        <v>4</v>
      </c>
      <c r="T2" s="17" t="s">
        <v>1877</v>
      </c>
      <c r="U2" s="56" t="s">
        <v>4</v>
      </c>
      <c r="V2" s="17" t="s">
        <v>1878</v>
      </c>
      <c r="W2" s="56" t="s">
        <v>4</v>
      </c>
      <c r="X2" s="56" t="s">
        <v>4</v>
      </c>
      <c r="Y2" s="56" t="s">
        <v>4</v>
      </c>
      <c r="Z2" s="56" t="s">
        <v>4</v>
      </c>
      <c r="AA2" s="148" t="s">
        <v>391</v>
      </c>
      <c r="AB2" s="17" t="s">
        <v>1879</v>
      </c>
      <c r="AC2" s="28"/>
      <c r="AD2" s="28"/>
    </row>
    <row r="3">
      <c r="A3" s="25"/>
      <c r="B3" s="17" t="s">
        <v>328</v>
      </c>
      <c r="C3" s="17">
        <v>8.434416844E9</v>
      </c>
      <c r="D3" s="17">
        <v>23.0</v>
      </c>
      <c r="E3" s="56" t="s">
        <v>367</v>
      </c>
      <c r="F3" s="17" t="s">
        <v>370</v>
      </c>
      <c r="G3" s="17" t="s">
        <v>371</v>
      </c>
      <c r="H3" s="28"/>
      <c r="I3" s="28"/>
      <c r="J3" s="28"/>
      <c r="K3" s="17" t="s">
        <v>368</v>
      </c>
      <c r="L3" s="28"/>
      <c r="M3" s="28"/>
      <c r="N3" s="56" t="s">
        <v>9</v>
      </c>
      <c r="O3" s="149"/>
      <c r="P3" s="149"/>
      <c r="Q3" s="28"/>
      <c r="R3" s="28"/>
      <c r="S3" s="149"/>
      <c r="T3" s="28"/>
      <c r="U3" s="149"/>
      <c r="V3" s="28"/>
      <c r="W3" s="149"/>
      <c r="X3" s="149"/>
      <c r="Y3" s="149"/>
      <c r="Z3" s="149"/>
      <c r="AA3" s="148" t="s">
        <v>391</v>
      </c>
      <c r="AB3" s="17" t="s">
        <v>1880</v>
      </c>
      <c r="AC3" s="28"/>
      <c r="AD3" s="28"/>
    </row>
    <row r="4">
      <c r="A4" s="25"/>
      <c r="B4" s="17" t="s">
        <v>373</v>
      </c>
      <c r="C4" s="17">
        <v>9.525643915E9</v>
      </c>
      <c r="D4" s="17">
        <v>25.0</v>
      </c>
      <c r="E4" s="56" t="s">
        <v>367</v>
      </c>
      <c r="F4" s="17" t="s">
        <v>374</v>
      </c>
      <c r="G4" s="17" t="s">
        <v>375</v>
      </c>
      <c r="H4" s="17" t="s">
        <v>376</v>
      </c>
      <c r="I4" s="17" t="s">
        <v>377</v>
      </c>
      <c r="J4" s="17" t="s">
        <v>378</v>
      </c>
      <c r="K4" s="17" t="s">
        <v>368</v>
      </c>
      <c r="L4" s="17" t="s">
        <v>379</v>
      </c>
      <c r="M4" s="28"/>
      <c r="N4" s="56" t="s">
        <v>9</v>
      </c>
      <c r="O4" s="56" t="s">
        <v>4</v>
      </c>
      <c r="P4" s="56" t="s">
        <v>380</v>
      </c>
      <c r="Q4" s="28"/>
      <c r="R4" s="28"/>
      <c r="S4" s="56" t="s">
        <v>380</v>
      </c>
      <c r="T4" s="28"/>
      <c r="U4" s="56" t="s">
        <v>380</v>
      </c>
      <c r="V4" s="28"/>
      <c r="W4" s="56"/>
      <c r="X4" s="56"/>
      <c r="Y4" s="56"/>
      <c r="Z4" s="56"/>
      <c r="AA4" s="148" t="s">
        <v>391</v>
      </c>
      <c r="AB4" s="17"/>
      <c r="AC4" s="28"/>
      <c r="AD4" s="28"/>
    </row>
    <row r="5">
      <c r="A5" s="25"/>
      <c r="B5" s="17" t="s">
        <v>42</v>
      </c>
      <c r="C5" s="17">
        <v>8.051281222E9</v>
      </c>
      <c r="D5" s="17">
        <v>25.0</v>
      </c>
      <c r="E5" s="56" t="s">
        <v>367</v>
      </c>
      <c r="F5" s="17" t="s">
        <v>382</v>
      </c>
      <c r="G5" s="17" t="s">
        <v>371</v>
      </c>
      <c r="H5" s="17" t="s">
        <v>383</v>
      </c>
      <c r="I5" s="17" t="s">
        <v>384</v>
      </c>
      <c r="J5" s="17" t="s">
        <v>385</v>
      </c>
      <c r="K5" s="17" t="s">
        <v>368</v>
      </c>
      <c r="L5" s="17" t="s">
        <v>386</v>
      </c>
      <c r="M5" s="17" t="s">
        <v>387</v>
      </c>
      <c r="N5" s="56" t="s">
        <v>9</v>
      </c>
      <c r="O5" s="56" t="s">
        <v>4</v>
      </c>
      <c r="P5" s="56" t="s">
        <v>4</v>
      </c>
      <c r="Q5" s="17" t="s">
        <v>388</v>
      </c>
      <c r="R5" s="28"/>
      <c r="S5" s="56" t="s">
        <v>4</v>
      </c>
      <c r="T5" s="17" t="s">
        <v>389</v>
      </c>
      <c r="U5" s="56" t="s">
        <v>4</v>
      </c>
      <c r="V5" s="17" t="s">
        <v>390</v>
      </c>
      <c r="W5" s="56" t="s">
        <v>4</v>
      </c>
      <c r="X5" s="56" t="s">
        <v>4</v>
      </c>
      <c r="Y5" s="56" t="s">
        <v>4</v>
      </c>
      <c r="Z5" s="56" t="s">
        <v>4</v>
      </c>
      <c r="AA5" s="148" t="s">
        <v>391</v>
      </c>
      <c r="AB5" s="28"/>
      <c r="AC5" s="28"/>
      <c r="AD5" s="28"/>
    </row>
    <row r="6">
      <c r="A6" s="25"/>
      <c r="B6" s="17" t="s">
        <v>392</v>
      </c>
      <c r="C6" s="17">
        <v>7.37098171E9</v>
      </c>
      <c r="D6" s="28"/>
      <c r="E6" s="56" t="s">
        <v>367</v>
      </c>
      <c r="F6" s="17" t="s">
        <v>370</v>
      </c>
      <c r="G6" s="17" t="s">
        <v>371</v>
      </c>
      <c r="H6" s="28"/>
      <c r="I6" s="28"/>
      <c r="J6" s="28"/>
      <c r="K6" s="17" t="s">
        <v>368</v>
      </c>
      <c r="L6" s="17" t="s">
        <v>395</v>
      </c>
      <c r="M6" s="17" t="s">
        <v>1881</v>
      </c>
      <c r="N6" s="56" t="s">
        <v>9</v>
      </c>
      <c r="O6" s="56" t="s">
        <v>4</v>
      </c>
      <c r="P6" s="56" t="s">
        <v>380</v>
      </c>
      <c r="Q6" s="28"/>
      <c r="R6" s="28"/>
      <c r="S6" s="56" t="s">
        <v>380</v>
      </c>
      <c r="T6" s="28"/>
      <c r="U6" s="56" t="s">
        <v>4</v>
      </c>
      <c r="V6" s="17" t="s">
        <v>1882</v>
      </c>
      <c r="W6" s="56" t="s">
        <v>4</v>
      </c>
      <c r="X6" s="149"/>
      <c r="Y6" s="149"/>
      <c r="Z6" s="149"/>
      <c r="AA6" s="148" t="s">
        <v>391</v>
      </c>
      <c r="AB6" s="28"/>
      <c r="AC6" s="17"/>
      <c r="AD6" s="17"/>
    </row>
    <row r="7">
      <c r="A7" s="25"/>
      <c r="B7" s="17" t="s">
        <v>394</v>
      </c>
      <c r="C7" s="17">
        <v>8.298316114E9</v>
      </c>
      <c r="D7" s="17">
        <v>25.0</v>
      </c>
      <c r="E7" s="56" t="s">
        <v>367</v>
      </c>
      <c r="F7" s="17" t="s">
        <v>370</v>
      </c>
      <c r="G7" s="17" t="s">
        <v>371</v>
      </c>
      <c r="H7" s="17" t="s">
        <v>383</v>
      </c>
      <c r="I7" s="17" t="s">
        <v>384</v>
      </c>
      <c r="J7" s="17" t="s">
        <v>385</v>
      </c>
      <c r="K7" s="17" t="s">
        <v>368</v>
      </c>
      <c r="L7" s="17" t="s">
        <v>395</v>
      </c>
      <c r="M7" s="17" t="s">
        <v>396</v>
      </c>
      <c r="N7" s="56" t="s">
        <v>9</v>
      </c>
      <c r="O7" s="56" t="s">
        <v>4</v>
      </c>
      <c r="P7" s="56" t="s">
        <v>380</v>
      </c>
      <c r="Q7" s="28"/>
      <c r="R7" s="28"/>
      <c r="S7" s="56" t="s">
        <v>380</v>
      </c>
      <c r="T7" s="28"/>
      <c r="U7" s="56" t="s">
        <v>380</v>
      </c>
      <c r="V7" s="28"/>
      <c r="W7" s="56" t="s">
        <v>4</v>
      </c>
      <c r="X7" s="56" t="s">
        <v>4</v>
      </c>
      <c r="Y7" s="56" t="s">
        <v>4</v>
      </c>
      <c r="Z7" s="56" t="s">
        <v>4</v>
      </c>
      <c r="AA7" s="148" t="s">
        <v>391</v>
      </c>
      <c r="AB7" s="28"/>
      <c r="AC7" s="17"/>
      <c r="AD7" s="17" t="s">
        <v>397</v>
      </c>
    </row>
    <row r="8">
      <c r="A8" s="25"/>
      <c r="B8" s="17" t="s">
        <v>328</v>
      </c>
      <c r="C8" s="17">
        <v>9.525930962E9</v>
      </c>
      <c r="D8" s="28"/>
      <c r="E8" s="56" t="s">
        <v>367</v>
      </c>
      <c r="F8" s="17" t="s">
        <v>370</v>
      </c>
      <c r="G8" s="17" t="s">
        <v>371</v>
      </c>
      <c r="H8" s="28"/>
      <c r="I8" s="28"/>
      <c r="J8" s="28"/>
      <c r="K8" s="17" t="s">
        <v>368</v>
      </c>
      <c r="L8" s="28"/>
      <c r="M8" s="28"/>
      <c r="N8" s="56" t="s">
        <v>9</v>
      </c>
      <c r="O8" s="56" t="s">
        <v>4</v>
      </c>
      <c r="P8" s="56" t="s">
        <v>380</v>
      </c>
      <c r="Q8" s="28"/>
      <c r="R8" s="28"/>
      <c r="S8" s="56" t="s">
        <v>380</v>
      </c>
      <c r="T8" s="28"/>
      <c r="U8" s="149"/>
      <c r="V8" s="28"/>
      <c r="W8" s="56" t="s">
        <v>4</v>
      </c>
      <c r="X8" s="149"/>
      <c r="Y8" s="149"/>
      <c r="Z8" s="149"/>
      <c r="AA8" s="148" t="s">
        <v>391</v>
      </c>
      <c r="AB8" s="17"/>
      <c r="AC8" s="17" t="s">
        <v>398</v>
      </c>
      <c r="AD8" s="17" t="s">
        <v>399</v>
      </c>
    </row>
    <row r="9">
      <c r="A9" s="25"/>
      <c r="B9" s="17" t="s">
        <v>176</v>
      </c>
      <c r="C9" s="17">
        <v>8.877335426E9</v>
      </c>
      <c r="D9" s="17">
        <v>28.0</v>
      </c>
      <c r="E9" s="56" t="s">
        <v>367</v>
      </c>
      <c r="F9" s="17" t="s">
        <v>382</v>
      </c>
      <c r="G9" s="17" t="s">
        <v>371</v>
      </c>
      <c r="H9" s="17" t="s">
        <v>383</v>
      </c>
      <c r="I9" s="17" t="s">
        <v>377</v>
      </c>
      <c r="J9" s="17" t="s">
        <v>378</v>
      </c>
      <c r="K9" s="17" t="s">
        <v>368</v>
      </c>
      <c r="L9" s="17" t="s">
        <v>386</v>
      </c>
      <c r="M9" s="17" t="s">
        <v>400</v>
      </c>
      <c r="N9" s="56" t="s">
        <v>9</v>
      </c>
      <c r="O9" s="56" t="s">
        <v>4</v>
      </c>
      <c r="P9" s="56" t="s">
        <v>380</v>
      </c>
      <c r="Q9" s="28"/>
      <c r="R9" s="28"/>
      <c r="S9" s="56" t="s">
        <v>380</v>
      </c>
      <c r="T9" s="28"/>
      <c r="U9" s="56" t="s">
        <v>380</v>
      </c>
      <c r="V9" s="28"/>
      <c r="W9" s="56" t="s">
        <v>4</v>
      </c>
      <c r="X9" s="56" t="s">
        <v>4</v>
      </c>
      <c r="Y9" s="56" t="s">
        <v>4</v>
      </c>
      <c r="Z9" s="56" t="s">
        <v>4</v>
      </c>
      <c r="AA9" s="148" t="s">
        <v>391</v>
      </c>
      <c r="AB9" s="17" t="s">
        <v>401</v>
      </c>
      <c r="AC9" s="28"/>
      <c r="AD9" s="28"/>
    </row>
    <row r="10">
      <c r="A10" s="25"/>
      <c r="B10" s="17" t="s">
        <v>402</v>
      </c>
      <c r="C10" s="17">
        <v>9.931256983E9</v>
      </c>
      <c r="D10" s="28"/>
      <c r="E10" s="149"/>
      <c r="F10" s="28"/>
      <c r="G10" s="28"/>
      <c r="H10" s="28"/>
      <c r="I10" s="28"/>
      <c r="J10" s="28"/>
      <c r="K10" s="17" t="s">
        <v>368</v>
      </c>
      <c r="L10" s="28"/>
      <c r="M10" s="28"/>
      <c r="N10" s="56" t="s">
        <v>27</v>
      </c>
      <c r="O10" s="149"/>
      <c r="P10" s="149"/>
      <c r="Q10" s="28"/>
      <c r="R10" s="28"/>
      <c r="S10" s="149"/>
      <c r="T10" s="28"/>
      <c r="U10" s="149"/>
      <c r="V10" s="28"/>
      <c r="W10" s="149"/>
      <c r="X10" s="149"/>
      <c r="Y10" s="149"/>
      <c r="Z10" s="149"/>
      <c r="AA10" s="150"/>
      <c r="AB10" s="17" t="s">
        <v>403</v>
      </c>
      <c r="AC10" s="28"/>
      <c r="AD10" s="28"/>
    </row>
    <row r="11">
      <c r="A11" s="25"/>
      <c r="B11" s="17" t="s">
        <v>404</v>
      </c>
      <c r="C11" s="17">
        <v>7.367934354E9</v>
      </c>
      <c r="D11" s="17">
        <v>40.0</v>
      </c>
      <c r="E11" s="56" t="s">
        <v>405</v>
      </c>
      <c r="F11" s="17" t="s">
        <v>406</v>
      </c>
      <c r="G11" s="17" t="s">
        <v>371</v>
      </c>
      <c r="H11" s="17" t="s">
        <v>407</v>
      </c>
      <c r="I11" s="17" t="s">
        <v>408</v>
      </c>
      <c r="J11" s="17" t="s">
        <v>385</v>
      </c>
      <c r="K11" s="17" t="s">
        <v>368</v>
      </c>
      <c r="L11" s="17" t="s">
        <v>386</v>
      </c>
      <c r="M11" s="17" t="s">
        <v>409</v>
      </c>
      <c r="N11" s="56" t="s">
        <v>9</v>
      </c>
      <c r="O11" s="56" t="s">
        <v>380</v>
      </c>
      <c r="P11" s="56" t="s">
        <v>380</v>
      </c>
      <c r="Q11" s="28"/>
      <c r="R11" s="28"/>
      <c r="S11" s="56" t="s">
        <v>380</v>
      </c>
      <c r="T11" s="28"/>
      <c r="U11" s="56" t="s">
        <v>380</v>
      </c>
      <c r="V11" s="28"/>
      <c r="W11" s="56" t="s">
        <v>4</v>
      </c>
      <c r="X11" s="56" t="s">
        <v>4</v>
      </c>
      <c r="Y11" s="56" t="s">
        <v>380</v>
      </c>
      <c r="Z11" s="56" t="s">
        <v>380</v>
      </c>
      <c r="AA11" s="148" t="s">
        <v>410</v>
      </c>
      <c r="AB11" s="17" t="s">
        <v>411</v>
      </c>
      <c r="AC11" s="28"/>
      <c r="AD11" s="28"/>
    </row>
    <row r="12">
      <c r="A12" s="25"/>
      <c r="B12" s="17" t="s">
        <v>412</v>
      </c>
      <c r="C12" s="17">
        <v>9.006220735E9</v>
      </c>
      <c r="D12" s="17">
        <v>43.0</v>
      </c>
      <c r="E12" s="56" t="s">
        <v>367</v>
      </c>
      <c r="F12" s="28"/>
      <c r="G12" s="28"/>
      <c r="H12" s="28"/>
      <c r="I12" s="28"/>
      <c r="J12" s="28"/>
      <c r="K12" s="17" t="s">
        <v>368</v>
      </c>
      <c r="L12" s="28"/>
      <c r="M12" s="28"/>
      <c r="N12" s="56" t="s">
        <v>9</v>
      </c>
      <c r="O12" s="149"/>
      <c r="P12" s="149"/>
      <c r="Q12" s="28"/>
      <c r="R12" s="28"/>
      <c r="S12" s="149"/>
      <c r="T12" s="28"/>
      <c r="U12" s="149"/>
      <c r="V12" s="28"/>
      <c r="W12" s="149"/>
      <c r="X12" s="149"/>
      <c r="Y12" s="149"/>
      <c r="Z12" s="149"/>
      <c r="AA12" s="148" t="s">
        <v>410</v>
      </c>
      <c r="AB12" s="28"/>
      <c r="AC12" s="17" t="s">
        <v>413</v>
      </c>
      <c r="AD12" s="17" t="s">
        <v>414</v>
      </c>
    </row>
    <row r="13">
      <c r="A13" s="25"/>
      <c r="B13" s="17" t="s">
        <v>415</v>
      </c>
      <c r="C13" s="17">
        <v>9.741143274E9</v>
      </c>
      <c r="D13" s="28"/>
      <c r="E13" s="149"/>
      <c r="F13" s="28"/>
      <c r="G13" s="28"/>
      <c r="H13" s="28"/>
      <c r="I13" s="28"/>
      <c r="J13" s="28"/>
      <c r="K13" s="17" t="s">
        <v>368</v>
      </c>
      <c r="L13" s="28"/>
      <c r="M13" s="28"/>
      <c r="N13" s="56" t="s">
        <v>54</v>
      </c>
      <c r="O13" s="149"/>
      <c r="P13" s="149"/>
      <c r="Q13" s="28"/>
      <c r="R13" s="28"/>
      <c r="S13" s="149"/>
      <c r="T13" s="28"/>
      <c r="U13" s="149"/>
      <c r="V13" s="28"/>
      <c r="W13" s="149"/>
      <c r="X13" s="149"/>
      <c r="Y13" s="149"/>
      <c r="Z13" s="149"/>
      <c r="AA13" s="150"/>
      <c r="AB13" s="17" t="s">
        <v>416</v>
      </c>
      <c r="AC13" s="17"/>
      <c r="AD13" s="28"/>
    </row>
    <row r="14">
      <c r="A14" s="25"/>
      <c r="B14" s="17" t="s">
        <v>417</v>
      </c>
      <c r="C14" s="17">
        <v>7.011766399E9</v>
      </c>
      <c r="D14" s="17">
        <v>25.0</v>
      </c>
      <c r="E14" s="56" t="s">
        <v>367</v>
      </c>
      <c r="F14" s="17" t="s">
        <v>382</v>
      </c>
      <c r="G14" s="17" t="s">
        <v>371</v>
      </c>
      <c r="H14" s="17" t="s">
        <v>418</v>
      </c>
      <c r="I14" s="17" t="s">
        <v>419</v>
      </c>
      <c r="J14" s="17" t="s">
        <v>378</v>
      </c>
      <c r="K14" s="17" t="s">
        <v>368</v>
      </c>
      <c r="L14" s="17" t="s">
        <v>420</v>
      </c>
      <c r="M14" s="17" t="s">
        <v>400</v>
      </c>
      <c r="N14" s="56" t="s">
        <v>9</v>
      </c>
      <c r="O14" s="56" t="s">
        <v>380</v>
      </c>
      <c r="P14" s="56" t="s">
        <v>380</v>
      </c>
      <c r="Q14" s="28"/>
      <c r="R14" s="28"/>
      <c r="S14" s="56" t="s">
        <v>380</v>
      </c>
      <c r="T14" s="28"/>
      <c r="U14" s="56" t="s">
        <v>380</v>
      </c>
      <c r="V14" s="28"/>
      <c r="W14" s="56" t="s">
        <v>4</v>
      </c>
      <c r="X14" s="56" t="s">
        <v>4</v>
      </c>
      <c r="Y14" s="56" t="s">
        <v>380</v>
      </c>
      <c r="Z14" s="56" t="s">
        <v>4</v>
      </c>
      <c r="AA14" s="148" t="s">
        <v>410</v>
      </c>
      <c r="AB14" s="28"/>
      <c r="AC14" s="28"/>
      <c r="AD14" s="28"/>
    </row>
    <row r="15">
      <c r="A15" s="25"/>
      <c r="B15" s="30" t="s">
        <v>421</v>
      </c>
      <c r="C15" s="30" t="s">
        <v>422</v>
      </c>
      <c r="D15" s="28"/>
      <c r="E15" s="149"/>
      <c r="F15" s="28"/>
      <c r="G15" s="28"/>
      <c r="H15" s="17"/>
      <c r="I15" s="17"/>
      <c r="J15" s="17"/>
      <c r="K15" s="17" t="s">
        <v>368</v>
      </c>
      <c r="L15" s="17"/>
      <c r="M15" s="17"/>
      <c r="N15" s="56" t="s">
        <v>30</v>
      </c>
      <c r="O15" s="149"/>
      <c r="P15" s="149"/>
      <c r="Q15" s="28"/>
      <c r="R15" s="28"/>
      <c r="S15" s="149"/>
      <c r="T15" s="28"/>
      <c r="U15" s="149"/>
      <c r="V15" s="28"/>
      <c r="W15" s="149"/>
      <c r="X15" s="149"/>
      <c r="Y15" s="149"/>
      <c r="Z15" s="149"/>
      <c r="AA15" s="150"/>
      <c r="AB15" s="17" t="s">
        <v>423</v>
      </c>
      <c r="AC15" s="28"/>
      <c r="AD15" s="28"/>
    </row>
    <row r="16">
      <c r="A16" s="25"/>
      <c r="B16" s="17" t="s">
        <v>328</v>
      </c>
      <c r="C16" s="17">
        <v>7.988976975E9</v>
      </c>
      <c r="D16" s="28"/>
      <c r="E16" s="149"/>
      <c r="F16" s="28"/>
      <c r="G16" s="28"/>
      <c r="H16" s="28"/>
      <c r="I16" s="28"/>
      <c r="J16" s="28"/>
      <c r="K16" s="17" t="s">
        <v>368</v>
      </c>
      <c r="L16" s="28"/>
      <c r="M16" s="28"/>
      <c r="N16" s="56" t="s">
        <v>23</v>
      </c>
      <c r="O16" s="149"/>
      <c r="P16" s="149"/>
      <c r="Q16" s="28"/>
      <c r="R16" s="28"/>
      <c r="S16" s="149"/>
      <c r="T16" s="28"/>
      <c r="U16" s="149"/>
      <c r="V16" s="28"/>
      <c r="W16" s="149"/>
      <c r="X16" s="149"/>
      <c r="Y16" s="149"/>
      <c r="Z16" s="149"/>
      <c r="AA16" s="150"/>
      <c r="AB16" s="17" t="s">
        <v>424</v>
      </c>
      <c r="AC16" s="17" t="s">
        <v>425</v>
      </c>
      <c r="AD16" s="28"/>
    </row>
    <row r="17">
      <c r="A17" s="25"/>
      <c r="B17" s="17" t="s">
        <v>276</v>
      </c>
      <c r="C17" s="17">
        <v>9.525642852E9</v>
      </c>
      <c r="D17" s="28"/>
      <c r="E17" s="149"/>
      <c r="F17" s="28"/>
      <c r="G17" s="28"/>
      <c r="H17" s="28"/>
      <c r="I17" s="28"/>
      <c r="J17" s="28"/>
      <c r="K17" s="17" t="s">
        <v>368</v>
      </c>
      <c r="L17" s="28"/>
      <c r="M17" s="28"/>
      <c r="N17" s="56" t="s">
        <v>54</v>
      </c>
      <c r="O17" s="149"/>
      <c r="P17" s="149"/>
      <c r="Q17" s="28"/>
      <c r="R17" s="28"/>
      <c r="S17" s="149"/>
      <c r="T17" s="28"/>
      <c r="U17" s="149"/>
      <c r="V17" s="28"/>
      <c r="W17" s="149"/>
      <c r="X17" s="149"/>
      <c r="Y17" s="149"/>
      <c r="Z17" s="149"/>
      <c r="AA17" s="150"/>
      <c r="AB17" s="17" t="s">
        <v>424</v>
      </c>
      <c r="AC17" s="17"/>
      <c r="AD17" s="17"/>
    </row>
    <row r="18">
      <c r="A18" s="25"/>
      <c r="B18" s="17" t="s">
        <v>426</v>
      </c>
      <c r="C18" s="17">
        <v>7.431922495E9</v>
      </c>
      <c r="D18" s="28"/>
      <c r="E18" s="149"/>
      <c r="F18" s="28"/>
      <c r="G18" s="28"/>
      <c r="H18" s="28"/>
      <c r="I18" s="28"/>
      <c r="J18" s="28"/>
      <c r="K18" s="17" t="s">
        <v>368</v>
      </c>
      <c r="L18" s="28"/>
      <c r="M18" s="28"/>
      <c r="N18" s="56" t="s">
        <v>30</v>
      </c>
      <c r="O18" s="149"/>
      <c r="P18" s="149"/>
      <c r="Q18" s="28"/>
      <c r="R18" s="28"/>
      <c r="S18" s="149"/>
      <c r="T18" s="28"/>
      <c r="U18" s="149"/>
      <c r="V18" s="28"/>
      <c r="W18" s="149"/>
      <c r="X18" s="149"/>
      <c r="Y18" s="149"/>
      <c r="Z18" s="149"/>
      <c r="AA18" s="150"/>
      <c r="AB18" s="17" t="s">
        <v>427</v>
      </c>
      <c r="AC18" s="28"/>
      <c r="AD18" s="28"/>
    </row>
    <row r="19">
      <c r="A19" s="25"/>
      <c r="B19" s="17" t="s">
        <v>428</v>
      </c>
      <c r="C19" s="17">
        <v>6.287334301E9</v>
      </c>
      <c r="D19" s="17">
        <v>27.0</v>
      </c>
      <c r="E19" s="56" t="s">
        <v>367</v>
      </c>
      <c r="F19" s="17" t="s">
        <v>429</v>
      </c>
      <c r="G19" s="17" t="s">
        <v>371</v>
      </c>
      <c r="H19" s="17" t="s">
        <v>430</v>
      </c>
      <c r="I19" s="17" t="s">
        <v>419</v>
      </c>
      <c r="J19" s="17" t="s">
        <v>378</v>
      </c>
      <c r="K19" s="17" t="s">
        <v>368</v>
      </c>
      <c r="L19" s="17" t="s">
        <v>431</v>
      </c>
      <c r="M19" s="17" t="s">
        <v>400</v>
      </c>
      <c r="N19" s="56" t="s">
        <v>9</v>
      </c>
      <c r="O19" s="56" t="s">
        <v>4</v>
      </c>
      <c r="P19" s="56" t="s">
        <v>4</v>
      </c>
      <c r="Q19" s="17" t="s">
        <v>432</v>
      </c>
      <c r="R19" s="28"/>
      <c r="S19" s="56" t="s">
        <v>380</v>
      </c>
      <c r="T19" s="28"/>
      <c r="U19" s="56" t="s">
        <v>380</v>
      </c>
      <c r="V19" s="28"/>
      <c r="W19" s="56" t="s">
        <v>380</v>
      </c>
      <c r="X19" s="56" t="s">
        <v>4</v>
      </c>
      <c r="Y19" s="56" t="s">
        <v>380</v>
      </c>
      <c r="Z19" s="56" t="s">
        <v>380</v>
      </c>
      <c r="AA19" s="148" t="s">
        <v>410</v>
      </c>
      <c r="AB19" s="17" t="s">
        <v>433</v>
      </c>
      <c r="AC19" s="28"/>
      <c r="AD19" s="28"/>
    </row>
    <row r="20">
      <c r="A20" s="25"/>
      <c r="B20" s="17" t="s">
        <v>434</v>
      </c>
      <c r="C20" s="17">
        <v>9.113570636E9</v>
      </c>
      <c r="D20" s="28"/>
      <c r="E20" s="56" t="s">
        <v>367</v>
      </c>
      <c r="F20" s="28"/>
      <c r="G20" s="28"/>
      <c r="H20" s="28"/>
      <c r="I20" s="28"/>
      <c r="J20" s="28"/>
      <c r="K20" s="17" t="s">
        <v>368</v>
      </c>
      <c r="L20" s="28"/>
      <c r="M20" s="28"/>
      <c r="N20" s="56" t="s">
        <v>9</v>
      </c>
      <c r="O20" s="149"/>
      <c r="P20" s="149"/>
      <c r="Q20" s="28"/>
      <c r="R20" s="28"/>
      <c r="S20" s="149"/>
      <c r="T20" s="28"/>
      <c r="U20" s="149"/>
      <c r="V20" s="28"/>
      <c r="W20" s="149"/>
      <c r="X20" s="149"/>
      <c r="Y20" s="149"/>
      <c r="Z20" s="149"/>
      <c r="AA20" s="148" t="s">
        <v>391</v>
      </c>
      <c r="AB20" s="17" t="s">
        <v>435</v>
      </c>
      <c r="AC20" s="17" t="s">
        <v>446</v>
      </c>
      <c r="AD20" s="28"/>
    </row>
    <row r="21">
      <c r="A21" s="25"/>
      <c r="B21" s="17" t="s">
        <v>436</v>
      </c>
      <c r="C21" s="17">
        <v>8.217360257E9</v>
      </c>
      <c r="D21" s="17">
        <v>22.0</v>
      </c>
      <c r="E21" s="56" t="s">
        <v>367</v>
      </c>
      <c r="F21" s="17" t="s">
        <v>437</v>
      </c>
      <c r="G21" s="17" t="s">
        <v>375</v>
      </c>
      <c r="H21" s="17" t="s">
        <v>376</v>
      </c>
      <c r="I21" s="17" t="s">
        <v>377</v>
      </c>
      <c r="J21" s="17" t="s">
        <v>378</v>
      </c>
      <c r="K21" s="17" t="s">
        <v>368</v>
      </c>
      <c r="L21" s="17" t="s">
        <v>379</v>
      </c>
      <c r="M21" s="28"/>
      <c r="N21" s="56" t="s">
        <v>9</v>
      </c>
      <c r="O21" s="56" t="s">
        <v>4</v>
      </c>
      <c r="P21" s="56" t="s">
        <v>380</v>
      </c>
      <c r="Q21" s="28"/>
      <c r="R21" s="28"/>
      <c r="S21" s="56" t="s">
        <v>380</v>
      </c>
      <c r="T21" s="28"/>
      <c r="U21" s="56" t="s">
        <v>380</v>
      </c>
      <c r="V21" s="28"/>
      <c r="W21" s="56" t="s">
        <v>4</v>
      </c>
      <c r="X21" s="56" t="s">
        <v>4</v>
      </c>
      <c r="Y21" s="56" t="s">
        <v>4</v>
      </c>
      <c r="Z21" s="56" t="s">
        <v>4</v>
      </c>
      <c r="AA21" s="148" t="s">
        <v>391</v>
      </c>
      <c r="AB21" s="17" t="s">
        <v>438</v>
      </c>
      <c r="AC21" s="17" t="s">
        <v>439</v>
      </c>
      <c r="AD21" s="28"/>
    </row>
    <row r="22">
      <c r="A22" s="25"/>
      <c r="B22" s="17" t="s">
        <v>440</v>
      </c>
      <c r="C22" s="17">
        <v>9.328409612E9</v>
      </c>
      <c r="D22" s="17">
        <v>25.0</v>
      </c>
      <c r="E22" s="56" t="s">
        <v>367</v>
      </c>
      <c r="F22" s="17" t="s">
        <v>441</v>
      </c>
      <c r="G22" s="17" t="s">
        <v>375</v>
      </c>
      <c r="H22" s="17" t="s">
        <v>376</v>
      </c>
      <c r="I22" s="17" t="s">
        <v>377</v>
      </c>
      <c r="J22" s="17" t="s">
        <v>378</v>
      </c>
      <c r="K22" s="17" t="s">
        <v>368</v>
      </c>
      <c r="L22" s="17" t="s">
        <v>442</v>
      </c>
      <c r="M22" s="17" t="s">
        <v>443</v>
      </c>
      <c r="N22" s="56" t="s">
        <v>9</v>
      </c>
      <c r="O22" s="56" t="s">
        <v>4</v>
      </c>
      <c r="P22" s="56" t="s">
        <v>4</v>
      </c>
      <c r="Q22" s="17" t="s">
        <v>444</v>
      </c>
      <c r="R22" s="28"/>
      <c r="S22" s="56" t="s">
        <v>380</v>
      </c>
      <c r="T22" s="28"/>
      <c r="U22" s="56" t="s">
        <v>380</v>
      </c>
      <c r="V22" s="28"/>
      <c r="W22" s="56" t="s">
        <v>4</v>
      </c>
      <c r="X22" s="56" t="s">
        <v>4</v>
      </c>
      <c r="Y22" s="56" t="s">
        <v>4</v>
      </c>
      <c r="Z22" s="56" t="s">
        <v>4</v>
      </c>
      <c r="AA22" s="148" t="s">
        <v>391</v>
      </c>
      <c r="AB22" s="17" t="s">
        <v>445</v>
      </c>
      <c r="AC22" s="17" t="s">
        <v>446</v>
      </c>
      <c r="AD22" s="28"/>
    </row>
    <row r="23">
      <c r="A23" s="25"/>
      <c r="B23" s="17" t="s">
        <v>447</v>
      </c>
      <c r="C23" s="17">
        <v>8.809723577E9</v>
      </c>
      <c r="D23" s="28"/>
      <c r="E23" s="149"/>
      <c r="F23" s="28"/>
      <c r="G23" s="28"/>
      <c r="H23" s="28"/>
      <c r="I23" s="28"/>
      <c r="J23" s="28"/>
      <c r="K23" s="17" t="s">
        <v>368</v>
      </c>
      <c r="L23" s="28"/>
      <c r="M23" s="28"/>
      <c r="N23" s="56" t="s">
        <v>54</v>
      </c>
      <c r="O23" s="149"/>
      <c r="P23" s="149"/>
      <c r="Q23" s="28"/>
      <c r="R23" s="28"/>
      <c r="S23" s="149"/>
      <c r="T23" s="28"/>
      <c r="U23" s="149"/>
      <c r="V23" s="28"/>
      <c r="W23" s="149"/>
      <c r="X23" s="149"/>
      <c r="Y23" s="149"/>
      <c r="Z23" s="149"/>
      <c r="AA23" s="150"/>
      <c r="AB23" s="17" t="s">
        <v>448</v>
      </c>
      <c r="AC23" s="17" t="s">
        <v>449</v>
      </c>
      <c r="AD23" s="28"/>
    </row>
    <row r="24">
      <c r="A24" s="25"/>
      <c r="B24" s="17" t="s">
        <v>450</v>
      </c>
      <c r="C24" s="17">
        <v>9.931688723E9</v>
      </c>
      <c r="D24" s="17">
        <v>21.0</v>
      </c>
      <c r="E24" s="56" t="s">
        <v>367</v>
      </c>
      <c r="F24" s="17" t="s">
        <v>382</v>
      </c>
      <c r="G24" s="17" t="s">
        <v>371</v>
      </c>
      <c r="H24" s="17" t="s">
        <v>383</v>
      </c>
      <c r="I24" s="17" t="s">
        <v>451</v>
      </c>
      <c r="J24" s="17" t="s">
        <v>378</v>
      </c>
      <c r="K24" s="17" t="s">
        <v>368</v>
      </c>
      <c r="L24" s="17" t="s">
        <v>420</v>
      </c>
      <c r="M24" s="17" t="s">
        <v>400</v>
      </c>
      <c r="N24" s="56" t="s">
        <v>9</v>
      </c>
      <c r="O24" s="56" t="s">
        <v>380</v>
      </c>
      <c r="P24" s="56" t="s">
        <v>380</v>
      </c>
      <c r="Q24" s="28"/>
      <c r="R24" s="28"/>
      <c r="S24" s="56" t="s">
        <v>380</v>
      </c>
      <c r="T24" s="28"/>
      <c r="U24" s="56" t="s">
        <v>380</v>
      </c>
      <c r="V24" s="28"/>
      <c r="W24" s="56" t="s">
        <v>4</v>
      </c>
      <c r="X24" s="56" t="s">
        <v>4</v>
      </c>
      <c r="Y24" s="56" t="s">
        <v>380</v>
      </c>
      <c r="Z24" s="56" t="s">
        <v>380</v>
      </c>
      <c r="AA24" s="148" t="s">
        <v>391</v>
      </c>
      <c r="AB24" s="17" t="s">
        <v>452</v>
      </c>
      <c r="AC24" s="17" t="s">
        <v>1883</v>
      </c>
      <c r="AD24" s="28"/>
    </row>
    <row r="25">
      <c r="A25" s="25"/>
      <c r="B25" s="17" t="s">
        <v>453</v>
      </c>
      <c r="C25" s="17">
        <v>7.549354468E9</v>
      </c>
      <c r="D25" s="17">
        <v>27.0</v>
      </c>
      <c r="E25" s="56" t="s">
        <v>367</v>
      </c>
      <c r="F25" s="17" t="s">
        <v>454</v>
      </c>
      <c r="G25" s="17" t="s">
        <v>371</v>
      </c>
      <c r="H25" s="17" t="s">
        <v>430</v>
      </c>
      <c r="I25" s="17" t="s">
        <v>384</v>
      </c>
      <c r="J25" s="17" t="s">
        <v>378</v>
      </c>
      <c r="K25" s="17" t="s">
        <v>368</v>
      </c>
      <c r="L25" s="17" t="s">
        <v>386</v>
      </c>
      <c r="M25" s="17" t="s">
        <v>409</v>
      </c>
      <c r="N25" s="56" t="s">
        <v>9</v>
      </c>
      <c r="O25" s="56" t="s">
        <v>4</v>
      </c>
      <c r="P25" s="56" t="s">
        <v>380</v>
      </c>
      <c r="Q25" s="28"/>
      <c r="R25" s="28"/>
      <c r="S25" s="56" t="s">
        <v>380</v>
      </c>
      <c r="T25" s="28"/>
      <c r="U25" s="56" t="s">
        <v>380</v>
      </c>
      <c r="V25" s="28"/>
      <c r="W25" s="56" t="s">
        <v>4</v>
      </c>
      <c r="X25" s="56" t="s">
        <v>4</v>
      </c>
      <c r="Y25" s="56" t="s">
        <v>380</v>
      </c>
      <c r="Z25" s="56" t="s">
        <v>4</v>
      </c>
      <c r="AA25" s="148" t="s">
        <v>391</v>
      </c>
      <c r="AB25" s="17" t="s">
        <v>455</v>
      </c>
      <c r="AC25" s="28"/>
      <c r="AD25" s="28"/>
    </row>
    <row r="26">
      <c r="A26" s="25"/>
      <c r="B26" s="17" t="s">
        <v>456</v>
      </c>
      <c r="C26" s="17">
        <v>9.279115161E9</v>
      </c>
      <c r="D26" s="17">
        <v>35.0</v>
      </c>
      <c r="E26" s="56" t="s">
        <v>405</v>
      </c>
      <c r="F26" s="17" t="s">
        <v>457</v>
      </c>
      <c r="G26" s="17" t="s">
        <v>458</v>
      </c>
      <c r="H26" s="28"/>
      <c r="I26" s="28"/>
      <c r="J26" s="17" t="s">
        <v>378</v>
      </c>
      <c r="K26" s="17" t="s">
        <v>368</v>
      </c>
      <c r="L26" s="17" t="s">
        <v>386</v>
      </c>
      <c r="M26" s="17" t="s">
        <v>409</v>
      </c>
      <c r="N26" s="56" t="s">
        <v>9</v>
      </c>
      <c r="O26" s="56" t="s">
        <v>380</v>
      </c>
      <c r="P26" s="56" t="s">
        <v>380</v>
      </c>
      <c r="Q26" s="28"/>
      <c r="R26" s="28"/>
      <c r="S26" s="56" t="s">
        <v>380</v>
      </c>
      <c r="T26" s="28"/>
      <c r="U26" s="56" t="s">
        <v>380</v>
      </c>
      <c r="V26" s="28"/>
      <c r="W26" s="56" t="s">
        <v>4</v>
      </c>
      <c r="X26" s="56" t="s">
        <v>4</v>
      </c>
      <c r="Y26" s="56" t="s">
        <v>380</v>
      </c>
      <c r="Z26" s="56" t="s">
        <v>4</v>
      </c>
      <c r="AA26" s="148" t="s">
        <v>410</v>
      </c>
      <c r="AB26" s="17" t="s">
        <v>459</v>
      </c>
      <c r="AC26" s="28"/>
      <c r="AD26" s="28"/>
    </row>
    <row r="27">
      <c r="A27" s="25"/>
      <c r="B27" s="17" t="s">
        <v>460</v>
      </c>
      <c r="C27" s="17">
        <v>8.58192155E9</v>
      </c>
      <c r="D27" s="17">
        <v>24.0</v>
      </c>
      <c r="E27" s="56" t="s">
        <v>367</v>
      </c>
      <c r="F27" s="17" t="s">
        <v>382</v>
      </c>
      <c r="G27" s="17" t="s">
        <v>375</v>
      </c>
      <c r="H27" s="17" t="s">
        <v>376</v>
      </c>
      <c r="I27" s="17" t="s">
        <v>377</v>
      </c>
      <c r="J27" s="17" t="s">
        <v>378</v>
      </c>
      <c r="K27" s="17" t="s">
        <v>368</v>
      </c>
      <c r="L27" s="17" t="s">
        <v>420</v>
      </c>
      <c r="M27" s="17" t="s">
        <v>461</v>
      </c>
      <c r="N27" s="56" t="s">
        <v>9</v>
      </c>
      <c r="O27" s="56" t="s">
        <v>4</v>
      </c>
      <c r="P27" s="56" t="s">
        <v>4</v>
      </c>
      <c r="Q27" s="17" t="s">
        <v>444</v>
      </c>
      <c r="R27" s="28"/>
      <c r="S27" s="56" t="s">
        <v>4</v>
      </c>
      <c r="T27" s="28"/>
      <c r="U27" s="56" t="s">
        <v>4</v>
      </c>
      <c r="V27" s="17" t="s">
        <v>462</v>
      </c>
      <c r="W27" s="56" t="s">
        <v>4</v>
      </c>
      <c r="X27" s="56" t="s">
        <v>4</v>
      </c>
      <c r="Y27" s="56" t="s">
        <v>4</v>
      </c>
      <c r="Z27" s="56" t="s">
        <v>4</v>
      </c>
      <c r="AA27" s="148" t="s">
        <v>391</v>
      </c>
      <c r="AB27" s="17" t="s">
        <v>463</v>
      </c>
      <c r="AC27" s="17" t="s">
        <v>464</v>
      </c>
      <c r="AD27" s="28"/>
    </row>
    <row r="28">
      <c r="A28" s="25"/>
      <c r="B28" s="17" t="s">
        <v>465</v>
      </c>
      <c r="C28" s="17">
        <v>9.2949985E9</v>
      </c>
      <c r="D28" s="28"/>
      <c r="E28" s="149"/>
      <c r="F28" s="28"/>
      <c r="G28" s="28"/>
      <c r="H28" s="28"/>
      <c r="I28" s="28"/>
      <c r="J28" s="28"/>
      <c r="K28" s="17" t="s">
        <v>368</v>
      </c>
      <c r="L28" s="28"/>
      <c r="M28" s="28"/>
      <c r="N28" s="56" t="s">
        <v>9</v>
      </c>
      <c r="O28" s="149"/>
      <c r="P28" s="149"/>
      <c r="Q28" s="28"/>
      <c r="R28" s="28"/>
      <c r="S28" s="149"/>
      <c r="T28" s="28"/>
      <c r="U28" s="149"/>
      <c r="V28" s="28"/>
      <c r="W28" s="149"/>
      <c r="X28" s="149"/>
      <c r="Y28" s="149"/>
      <c r="Z28" s="149"/>
      <c r="AA28" s="148" t="s">
        <v>391</v>
      </c>
      <c r="AB28" s="17" t="s">
        <v>466</v>
      </c>
      <c r="AC28" s="17" t="s">
        <v>464</v>
      </c>
      <c r="AD28" s="28"/>
    </row>
    <row r="29">
      <c r="A29" s="25"/>
      <c r="B29" s="17" t="s">
        <v>53</v>
      </c>
      <c r="C29" s="17">
        <v>9.135100301E9</v>
      </c>
      <c r="D29" s="28"/>
      <c r="E29" s="56" t="s">
        <v>367</v>
      </c>
      <c r="F29" s="28"/>
      <c r="G29" s="28"/>
      <c r="H29" s="28"/>
      <c r="I29" s="28"/>
      <c r="J29" s="28"/>
      <c r="K29" s="17" t="s">
        <v>368</v>
      </c>
      <c r="L29" s="28"/>
      <c r="M29" s="28"/>
      <c r="N29" s="56" t="s">
        <v>9</v>
      </c>
      <c r="O29" s="56" t="s">
        <v>4</v>
      </c>
      <c r="P29" s="56" t="s">
        <v>4</v>
      </c>
      <c r="Q29" s="17" t="s">
        <v>388</v>
      </c>
      <c r="R29" s="28"/>
      <c r="S29" s="56" t="s">
        <v>4</v>
      </c>
      <c r="T29" s="28"/>
      <c r="U29" s="56" t="s">
        <v>4</v>
      </c>
      <c r="V29" s="28"/>
      <c r="W29" s="56" t="s">
        <v>4</v>
      </c>
      <c r="X29" s="56" t="s">
        <v>4</v>
      </c>
      <c r="Y29" s="149"/>
      <c r="Z29" s="149"/>
      <c r="AA29" s="148" t="s">
        <v>391</v>
      </c>
      <c r="AB29" s="17" t="s">
        <v>468</v>
      </c>
      <c r="AC29" s="17" t="s">
        <v>1884</v>
      </c>
      <c r="AD29" s="28"/>
    </row>
    <row r="30">
      <c r="A30" s="25"/>
      <c r="B30" s="17" t="s">
        <v>469</v>
      </c>
      <c r="C30" s="17">
        <v>9.570553836E9</v>
      </c>
      <c r="D30" s="17">
        <v>19.0</v>
      </c>
      <c r="E30" s="56" t="s">
        <v>367</v>
      </c>
      <c r="F30" s="17" t="s">
        <v>382</v>
      </c>
      <c r="G30" s="17" t="s">
        <v>371</v>
      </c>
      <c r="H30" s="17" t="s">
        <v>383</v>
      </c>
      <c r="I30" s="17" t="s">
        <v>384</v>
      </c>
      <c r="J30" s="17" t="s">
        <v>378</v>
      </c>
      <c r="K30" s="17" t="s">
        <v>368</v>
      </c>
      <c r="L30" s="17" t="s">
        <v>470</v>
      </c>
      <c r="M30" s="17" t="s">
        <v>396</v>
      </c>
      <c r="N30" s="56" t="s">
        <v>9</v>
      </c>
      <c r="O30" s="56" t="s">
        <v>380</v>
      </c>
      <c r="P30" s="56" t="s">
        <v>380</v>
      </c>
      <c r="Q30" s="28"/>
      <c r="R30" s="28"/>
      <c r="S30" s="56" t="s">
        <v>380</v>
      </c>
      <c r="T30" s="28"/>
      <c r="U30" s="56" t="s">
        <v>380</v>
      </c>
      <c r="V30" s="28"/>
      <c r="W30" s="56" t="s">
        <v>380</v>
      </c>
      <c r="X30" s="56" t="s">
        <v>4</v>
      </c>
      <c r="Y30" s="56" t="s">
        <v>380</v>
      </c>
      <c r="Z30" s="56" t="s">
        <v>380</v>
      </c>
      <c r="AA30" s="148" t="s">
        <v>391</v>
      </c>
      <c r="AB30" s="17" t="s">
        <v>1885</v>
      </c>
      <c r="AC30" s="28"/>
      <c r="AD30" s="28"/>
    </row>
    <row r="31">
      <c r="A31" s="25"/>
      <c r="B31" s="17" t="s">
        <v>471</v>
      </c>
      <c r="C31" s="17">
        <v>7.654176258E9</v>
      </c>
      <c r="D31" s="17">
        <v>32.0</v>
      </c>
      <c r="E31" s="149"/>
      <c r="F31" s="17" t="s">
        <v>472</v>
      </c>
      <c r="G31" s="17" t="s">
        <v>371</v>
      </c>
      <c r="H31" s="17" t="s">
        <v>383</v>
      </c>
      <c r="I31" s="17" t="s">
        <v>384</v>
      </c>
      <c r="J31" s="17" t="s">
        <v>378</v>
      </c>
      <c r="K31" s="17" t="s">
        <v>368</v>
      </c>
      <c r="L31" s="17" t="s">
        <v>470</v>
      </c>
      <c r="M31" s="17" t="s">
        <v>396</v>
      </c>
      <c r="N31" s="56" t="s">
        <v>9</v>
      </c>
      <c r="O31" s="56" t="s">
        <v>4</v>
      </c>
      <c r="P31" s="56" t="s">
        <v>380</v>
      </c>
      <c r="Q31" s="28"/>
      <c r="R31" s="28"/>
      <c r="S31" s="56" t="s">
        <v>380</v>
      </c>
      <c r="T31" s="28"/>
      <c r="U31" s="56" t="s">
        <v>380</v>
      </c>
      <c r="V31" s="28"/>
      <c r="W31" s="56" t="s">
        <v>4</v>
      </c>
      <c r="X31" s="56" t="s">
        <v>4</v>
      </c>
      <c r="Y31" s="56" t="s">
        <v>380</v>
      </c>
      <c r="Z31" s="56" t="s">
        <v>380</v>
      </c>
      <c r="AA31" s="148" t="s">
        <v>391</v>
      </c>
      <c r="AB31" s="17" t="s">
        <v>473</v>
      </c>
      <c r="AC31" s="28"/>
      <c r="AD31" s="28"/>
    </row>
    <row r="32">
      <c r="A32" s="25"/>
      <c r="B32" s="17" t="s">
        <v>474</v>
      </c>
      <c r="C32" s="17">
        <v>9.576419133E9</v>
      </c>
      <c r="D32" s="17">
        <v>21.0</v>
      </c>
      <c r="E32" s="149"/>
      <c r="F32" s="28"/>
      <c r="G32" s="28"/>
      <c r="H32" s="28"/>
      <c r="I32" s="28"/>
      <c r="J32" s="28"/>
      <c r="K32" s="17" t="s">
        <v>368</v>
      </c>
      <c r="L32" s="28"/>
      <c r="M32" s="28"/>
      <c r="N32" s="56" t="s">
        <v>9</v>
      </c>
      <c r="O32" s="149"/>
      <c r="P32" s="149"/>
      <c r="Q32" s="28"/>
      <c r="R32" s="28"/>
      <c r="S32" s="149"/>
      <c r="T32" s="28"/>
      <c r="U32" s="149"/>
      <c r="V32" s="28"/>
      <c r="W32" s="149"/>
      <c r="X32" s="149"/>
      <c r="Y32" s="149"/>
      <c r="Z32" s="149"/>
      <c r="AA32" s="148" t="s">
        <v>410</v>
      </c>
      <c r="AB32" s="17" t="s">
        <v>475</v>
      </c>
      <c r="AC32" s="28"/>
      <c r="AD32" s="28"/>
    </row>
    <row r="33">
      <c r="A33" s="25"/>
      <c r="B33" s="17" t="s">
        <v>476</v>
      </c>
      <c r="C33" s="17">
        <v>8.91924466E9</v>
      </c>
      <c r="D33" s="28"/>
      <c r="E33" s="149"/>
      <c r="F33" s="28"/>
      <c r="G33" s="28"/>
      <c r="H33" s="28"/>
      <c r="I33" s="28"/>
      <c r="J33" s="28"/>
      <c r="K33" s="17" t="s">
        <v>368</v>
      </c>
      <c r="L33" s="28"/>
      <c r="M33" s="28"/>
      <c r="N33" s="56" t="s">
        <v>30</v>
      </c>
      <c r="O33" s="149"/>
      <c r="P33" s="149"/>
      <c r="Q33" s="28"/>
      <c r="R33" s="28"/>
      <c r="S33" s="149"/>
      <c r="T33" s="28"/>
      <c r="U33" s="149"/>
      <c r="V33" s="28"/>
      <c r="W33" s="149"/>
      <c r="X33" s="149"/>
      <c r="Y33" s="149"/>
      <c r="Z33" s="149"/>
      <c r="AA33" s="150"/>
      <c r="AB33" s="28"/>
      <c r="AC33" s="28"/>
      <c r="AD33" s="28"/>
    </row>
    <row r="34">
      <c r="A34" s="25"/>
      <c r="B34" s="17" t="s">
        <v>477</v>
      </c>
      <c r="C34" s="17">
        <v>7.808552461E9</v>
      </c>
      <c r="D34" s="28"/>
      <c r="E34" s="149"/>
      <c r="F34" s="28"/>
      <c r="G34" s="28"/>
      <c r="H34" s="28"/>
      <c r="I34" s="28"/>
      <c r="J34" s="28"/>
      <c r="K34" s="17" t="s">
        <v>368</v>
      </c>
      <c r="L34" s="28"/>
      <c r="M34" s="28"/>
      <c r="N34" s="56" t="s">
        <v>30</v>
      </c>
      <c r="O34" s="149"/>
      <c r="P34" s="149"/>
      <c r="Q34" s="28"/>
      <c r="R34" s="28"/>
      <c r="S34" s="149"/>
      <c r="T34" s="28"/>
      <c r="U34" s="149"/>
      <c r="V34" s="28"/>
      <c r="W34" s="149"/>
      <c r="X34" s="149"/>
      <c r="Y34" s="149"/>
      <c r="Z34" s="149"/>
      <c r="AA34" s="150"/>
      <c r="AB34" s="28"/>
      <c r="AC34" s="28"/>
      <c r="AD34" s="28"/>
    </row>
    <row r="35">
      <c r="A35" s="25"/>
      <c r="B35" s="17" t="s">
        <v>50</v>
      </c>
      <c r="C35" s="17">
        <v>7.491049631E9</v>
      </c>
      <c r="D35" s="28"/>
      <c r="E35" s="149"/>
      <c r="F35" s="28"/>
      <c r="G35" s="28"/>
      <c r="H35" s="28"/>
      <c r="I35" s="28"/>
      <c r="J35" s="28"/>
      <c r="K35" s="17" t="s">
        <v>368</v>
      </c>
      <c r="L35" s="28"/>
      <c r="M35" s="28"/>
      <c r="N35" s="56" t="s">
        <v>9</v>
      </c>
      <c r="O35" s="149"/>
      <c r="P35" s="149"/>
      <c r="Q35" s="28"/>
      <c r="R35" s="28"/>
      <c r="S35" s="149"/>
      <c r="T35" s="28"/>
      <c r="U35" s="149"/>
      <c r="V35" s="28"/>
      <c r="W35" s="149"/>
      <c r="X35" s="149"/>
      <c r="Y35" s="149"/>
      <c r="Z35" s="149"/>
      <c r="AA35" s="148" t="s">
        <v>391</v>
      </c>
      <c r="AB35" s="17" t="s">
        <v>491</v>
      </c>
      <c r="AC35" s="17" t="s">
        <v>1886</v>
      </c>
      <c r="AD35" s="28"/>
    </row>
    <row r="36">
      <c r="A36" s="25"/>
      <c r="B36" s="30" t="s">
        <v>479</v>
      </c>
      <c r="C36" s="30" t="s">
        <v>422</v>
      </c>
      <c r="D36" s="28"/>
      <c r="E36" s="149"/>
      <c r="F36" s="28"/>
      <c r="G36" s="28"/>
      <c r="H36" s="28"/>
      <c r="I36" s="28"/>
      <c r="J36" s="28"/>
      <c r="K36" s="17" t="s">
        <v>368</v>
      </c>
      <c r="L36" s="28"/>
      <c r="M36" s="28"/>
      <c r="N36" s="56" t="s">
        <v>30</v>
      </c>
      <c r="O36" s="149"/>
      <c r="P36" s="149"/>
      <c r="Q36" s="28"/>
      <c r="R36" s="28"/>
      <c r="S36" s="149"/>
      <c r="T36" s="28"/>
      <c r="U36" s="149"/>
      <c r="V36" s="28"/>
      <c r="W36" s="149"/>
      <c r="X36" s="149"/>
      <c r="Y36" s="149"/>
      <c r="Z36" s="149"/>
      <c r="AA36" s="150"/>
      <c r="AB36" s="28"/>
      <c r="AC36" s="28"/>
      <c r="AD36" s="28"/>
    </row>
    <row r="37">
      <c r="A37" s="25"/>
      <c r="B37" s="17" t="s">
        <v>480</v>
      </c>
      <c r="C37" s="17">
        <v>7.80949624E9</v>
      </c>
      <c r="D37" s="28"/>
      <c r="E37" s="149"/>
      <c r="F37" s="28"/>
      <c r="G37" s="28"/>
      <c r="H37" s="28"/>
      <c r="I37" s="28"/>
      <c r="J37" s="28"/>
      <c r="K37" s="17" t="s">
        <v>368</v>
      </c>
      <c r="L37" s="28"/>
      <c r="M37" s="28"/>
      <c r="N37" s="56" t="s">
        <v>30</v>
      </c>
      <c r="O37" s="149"/>
      <c r="P37" s="149"/>
      <c r="Q37" s="28"/>
      <c r="R37" s="28"/>
      <c r="S37" s="149"/>
      <c r="T37" s="28"/>
      <c r="U37" s="149"/>
      <c r="V37" s="28"/>
      <c r="W37" s="149"/>
      <c r="X37" s="149"/>
      <c r="Y37" s="149"/>
      <c r="Z37" s="149"/>
      <c r="AA37" s="150"/>
      <c r="AB37" s="28"/>
      <c r="AC37" s="28"/>
      <c r="AD37" s="28"/>
    </row>
    <row r="38">
      <c r="A38" s="25"/>
      <c r="B38" s="30" t="s">
        <v>481</v>
      </c>
      <c r="C38" s="30" t="s">
        <v>422</v>
      </c>
      <c r="D38" s="28"/>
      <c r="E38" s="149"/>
      <c r="F38" s="28"/>
      <c r="G38" s="28"/>
      <c r="H38" s="28"/>
      <c r="I38" s="28"/>
      <c r="J38" s="28"/>
      <c r="K38" s="17" t="s">
        <v>368</v>
      </c>
      <c r="L38" s="28"/>
      <c r="M38" s="28"/>
      <c r="N38" s="56" t="s">
        <v>30</v>
      </c>
      <c r="O38" s="149"/>
      <c r="P38" s="149"/>
      <c r="Q38" s="28"/>
      <c r="R38" s="28"/>
      <c r="S38" s="149"/>
      <c r="T38" s="28"/>
      <c r="U38" s="149"/>
      <c r="V38" s="28"/>
      <c r="W38" s="149"/>
      <c r="X38" s="149"/>
      <c r="Y38" s="149"/>
      <c r="Z38" s="149"/>
      <c r="AA38" s="150"/>
      <c r="AB38" s="28"/>
      <c r="AC38" s="28"/>
      <c r="AD38" s="28"/>
    </row>
    <row r="39">
      <c r="A39" s="25"/>
      <c r="B39" s="30" t="s">
        <v>482</v>
      </c>
      <c r="C39" s="30" t="s">
        <v>422</v>
      </c>
      <c r="D39" s="28"/>
      <c r="E39" s="149"/>
      <c r="F39" s="28"/>
      <c r="G39" s="28"/>
      <c r="H39" s="28"/>
      <c r="I39" s="28"/>
      <c r="J39" s="28"/>
      <c r="K39" s="17" t="s">
        <v>368</v>
      </c>
      <c r="L39" s="28"/>
      <c r="M39" s="28"/>
      <c r="N39" s="56" t="s">
        <v>30</v>
      </c>
      <c r="O39" s="149"/>
      <c r="P39" s="149"/>
      <c r="Q39" s="28"/>
      <c r="R39" s="28"/>
      <c r="S39" s="149"/>
      <c r="T39" s="28"/>
      <c r="U39" s="149"/>
      <c r="V39" s="28"/>
      <c r="W39" s="149"/>
      <c r="X39" s="149"/>
      <c r="Y39" s="149"/>
      <c r="Z39" s="149"/>
      <c r="AA39" s="150"/>
      <c r="AB39" s="28"/>
      <c r="AC39" s="28"/>
      <c r="AD39" s="28"/>
    </row>
    <row r="40">
      <c r="A40" s="25"/>
      <c r="B40" s="17" t="s">
        <v>483</v>
      </c>
      <c r="C40" s="17">
        <v>7.491938414E9</v>
      </c>
      <c r="D40" s="28"/>
      <c r="E40" s="149"/>
      <c r="F40" s="28"/>
      <c r="G40" s="28"/>
      <c r="H40" s="28"/>
      <c r="I40" s="28"/>
      <c r="J40" s="28"/>
      <c r="K40" s="17" t="s">
        <v>368</v>
      </c>
      <c r="L40" s="28"/>
      <c r="M40" s="28"/>
      <c r="N40" s="56" t="s">
        <v>30</v>
      </c>
      <c r="O40" s="149"/>
      <c r="P40" s="149"/>
      <c r="Q40" s="28"/>
      <c r="R40" s="28"/>
      <c r="S40" s="149"/>
      <c r="T40" s="28"/>
      <c r="U40" s="149"/>
      <c r="V40" s="28"/>
      <c r="W40" s="149"/>
      <c r="X40" s="149"/>
      <c r="Y40" s="149"/>
      <c r="Z40" s="149"/>
      <c r="AA40" s="150"/>
      <c r="AB40" s="28"/>
      <c r="AC40" s="28"/>
      <c r="AD40" s="28"/>
    </row>
    <row r="41">
      <c r="A41" s="25"/>
      <c r="B41" s="17" t="s">
        <v>484</v>
      </c>
      <c r="C41" s="17">
        <v>8.80944358E9</v>
      </c>
      <c r="D41" s="28"/>
      <c r="E41" s="56" t="s">
        <v>405</v>
      </c>
      <c r="F41" s="28"/>
      <c r="G41" s="28"/>
      <c r="H41" s="28"/>
      <c r="I41" s="28"/>
      <c r="J41" s="28"/>
      <c r="K41" s="17" t="s">
        <v>368</v>
      </c>
      <c r="L41" s="28"/>
      <c r="M41" s="28"/>
      <c r="N41" s="56" t="s">
        <v>9</v>
      </c>
      <c r="O41" s="149"/>
      <c r="P41" s="149"/>
      <c r="Q41" s="28"/>
      <c r="R41" s="28"/>
      <c r="S41" s="149"/>
      <c r="T41" s="28"/>
      <c r="U41" s="149"/>
      <c r="V41" s="28"/>
      <c r="W41" s="149"/>
      <c r="X41" s="149"/>
      <c r="Y41" s="149"/>
      <c r="Z41" s="149"/>
      <c r="AA41" s="148" t="s">
        <v>391</v>
      </c>
      <c r="AB41" s="17" t="s">
        <v>1887</v>
      </c>
      <c r="AC41" s="28"/>
      <c r="AD41" s="28"/>
    </row>
    <row r="42">
      <c r="A42" s="25"/>
      <c r="B42" s="17" t="s">
        <v>486</v>
      </c>
      <c r="C42" s="17">
        <v>7.369038675E9</v>
      </c>
      <c r="D42" s="28"/>
      <c r="E42" s="149"/>
      <c r="F42" s="28"/>
      <c r="G42" s="28"/>
      <c r="H42" s="28"/>
      <c r="I42" s="28"/>
      <c r="J42" s="28"/>
      <c r="K42" s="17" t="s">
        <v>368</v>
      </c>
      <c r="L42" s="28"/>
      <c r="M42" s="28"/>
      <c r="N42" s="56" t="s">
        <v>30</v>
      </c>
      <c r="O42" s="149"/>
      <c r="P42" s="149"/>
      <c r="Q42" s="28"/>
      <c r="R42" s="28"/>
      <c r="S42" s="149"/>
      <c r="T42" s="28"/>
      <c r="U42" s="149"/>
      <c r="V42" s="28"/>
      <c r="W42" s="149"/>
      <c r="X42" s="149"/>
      <c r="Y42" s="149"/>
      <c r="Z42" s="149"/>
      <c r="AA42" s="150"/>
      <c r="AB42" s="17" t="s">
        <v>487</v>
      </c>
      <c r="AC42" s="17"/>
      <c r="AD42" s="17"/>
    </row>
    <row r="43">
      <c r="A43" s="25"/>
      <c r="B43" s="17" t="s">
        <v>276</v>
      </c>
      <c r="C43" s="17">
        <v>8.709443505E9</v>
      </c>
      <c r="D43" s="28"/>
      <c r="E43" s="149"/>
      <c r="F43" s="28"/>
      <c r="G43" s="28"/>
      <c r="H43" s="28"/>
      <c r="I43" s="28"/>
      <c r="J43" s="28"/>
      <c r="K43" s="17" t="s">
        <v>368</v>
      </c>
      <c r="L43" s="28"/>
      <c r="M43" s="28"/>
      <c r="N43" s="56" t="s">
        <v>9</v>
      </c>
      <c r="O43" s="149"/>
      <c r="P43" s="149"/>
      <c r="Q43" s="28"/>
      <c r="R43" s="28"/>
      <c r="S43" s="149"/>
      <c r="T43" s="28"/>
      <c r="U43" s="149"/>
      <c r="V43" s="28"/>
      <c r="W43" s="149"/>
      <c r="X43" s="149"/>
      <c r="Y43" s="149"/>
      <c r="Z43" s="149"/>
      <c r="AA43" s="148" t="s">
        <v>410</v>
      </c>
      <c r="AB43" s="28"/>
      <c r="AC43" s="17"/>
      <c r="AD43" s="17" t="s">
        <v>488</v>
      </c>
    </row>
    <row r="44">
      <c r="A44" s="25"/>
      <c r="B44" s="30" t="s">
        <v>489</v>
      </c>
      <c r="C44" s="30" t="s">
        <v>422</v>
      </c>
      <c r="D44" s="28"/>
      <c r="E44" s="149"/>
      <c r="F44" s="28"/>
      <c r="G44" s="28"/>
      <c r="H44" s="28"/>
      <c r="I44" s="28"/>
      <c r="J44" s="28"/>
      <c r="K44" s="17" t="s">
        <v>368</v>
      </c>
      <c r="L44" s="28"/>
      <c r="M44" s="28"/>
      <c r="N44" s="56" t="s">
        <v>30</v>
      </c>
      <c r="O44" s="149"/>
      <c r="P44" s="149"/>
      <c r="Q44" s="28"/>
      <c r="R44" s="28"/>
      <c r="S44" s="149"/>
      <c r="T44" s="28"/>
      <c r="U44" s="149"/>
      <c r="V44" s="28"/>
      <c r="W44" s="149"/>
      <c r="X44" s="149"/>
      <c r="Y44" s="149"/>
      <c r="Z44" s="149"/>
      <c r="AA44" s="150"/>
      <c r="AB44" s="28"/>
      <c r="AC44" s="28"/>
      <c r="AD44" s="28"/>
    </row>
    <row r="45">
      <c r="A45" s="25"/>
      <c r="B45" s="17" t="s">
        <v>490</v>
      </c>
      <c r="C45" s="17">
        <v>6.201760288E9</v>
      </c>
      <c r="D45" s="28"/>
      <c r="E45" s="149"/>
      <c r="F45" s="28"/>
      <c r="G45" s="28"/>
      <c r="H45" s="28"/>
      <c r="I45" s="28"/>
      <c r="J45" s="28"/>
      <c r="K45" s="17" t="s">
        <v>368</v>
      </c>
      <c r="L45" s="28"/>
      <c r="M45" s="28"/>
      <c r="N45" s="56" t="s">
        <v>9</v>
      </c>
      <c r="O45" s="149"/>
      <c r="P45" s="149"/>
      <c r="Q45" s="28"/>
      <c r="R45" s="28"/>
      <c r="S45" s="149"/>
      <c r="T45" s="28"/>
      <c r="U45" s="149"/>
      <c r="V45" s="28"/>
      <c r="W45" s="149"/>
      <c r="X45" s="149"/>
      <c r="Y45" s="149"/>
      <c r="Z45" s="149"/>
      <c r="AA45" s="148" t="s">
        <v>391</v>
      </c>
      <c r="AB45" s="17" t="s">
        <v>491</v>
      </c>
      <c r="AC45" s="17" t="s">
        <v>1888</v>
      </c>
      <c r="AD45" s="28"/>
    </row>
    <row r="46">
      <c r="A46" s="25"/>
      <c r="B46" s="30" t="s">
        <v>492</v>
      </c>
      <c r="C46" s="30" t="s">
        <v>422</v>
      </c>
      <c r="D46" s="28"/>
      <c r="E46" s="149"/>
      <c r="F46" s="28"/>
      <c r="G46" s="28"/>
      <c r="H46" s="28"/>
      <c r="I46" s="28"/>
      <c r="J46" s="28"/>
      <c r="K46" s="17" t="s">
        <v>368</v>
      </c>
      <c r="L46" s="28"/>
      <c r="M46" s="28"/>
      <c r="N46" s="56" t="s">
        <v>30</v>
      </c>
      <c r="O46" s="149"/>
      <c r="P46" s="149"/>
      <c r="Q46" s="28"/>
      <c r="R46" s="28"/>
      <c r="S46" s="149"/>
      <c r="T46" s="28"/>
      <c r="U46" s="149"/>
      <c r="V46" s="28"/>
      <c r="W46" s="149"/>
      <c r="X46" s="149"/>
      <c r="Y46" s="149"/>
      <c r="Z46" s="149"/>
      <c r="AA46" s="150"/>
      <c r="AB46" s="28"/>
      <c r="AC46" s="28"/>
      <c r="AD46" s="28"/>
    </row>
    <row r="47">
      <c r="A47" s="25"/>
      <c r="B47" s="17" t="s">
        <v>151</v>
      </c>
      <c r="C47" s="17">
        <v>6.208773351E9</v>
      </c>
      <c r="D47" s="28"/>
      <c r="E47" s="149"/>
      <c r="F47" s="28"/>
      <c r="G47" s="28"/>
      <c r="H47" s="28"/>
      <c r="I47" s="28"/>
      <c r="J47" s="28"/>
      <c r="K47" s="17" t="s">
        <v>368</v>
      </c>
      <c r="L47" s="28"/>
      <c r="M47" s="28"/>
      <c r="N47" s="56" t="s">
        <v>30</v>
      </c>
      <c r="O47" s="149"/>
      <c r="P47" s="149"/>
      <c r="Q47" s="28"/>
      <c r="R47" s="28"/>
      <c r="S47" s="149"/>
      <c r="T47" s="28"/>
      <c r="U47" s="149"/>
      <c r="V47" s="28"/>
      <c r="W47" s="149"/>
      <c r="X47" s="149"/>
      <c r="Y47" s="149"/>
      <c r="Z47" s="149"/>
      <c r="AA47" s="150"/>
      <c r="AB47" s="17" t="s">
        <v>493</v>
      </c>
      <c r="AC47" s="28"/>
      <c r="AD47" s="28"/>
    </row>
    <row r="48">
      <c r="A48" s="25"/>
      <c r="B48" s="17" t="s">
        <v>494</v>
      </c>
      <c r="C48" s="17">
        <v>6.202824718E9</v>
      </c>
      <c r="D48" s="28"/>
      <c r="E48" s="149"/>
      <c r="F48" s="28"/>
      <c r="G48" s="28"/>
      <c r="H48" s="28"/>
      <c r="I48" s="28"/>
      <c r="J48" s="28"/>
      <c r="K48" s="17" t="s">
        <v>368</v>
      </c>
      <c r="L48" s="28"/>
      <c r="M48" s="28"/>
      <c r="N48" s="56" t="s">
        <v>30</v>
      </c>
      <c r="O48" s="149"/>
      <c r="P48" s="149"/>
      <c r="Q48" s="28"/>
      <c r="R48" s="28"/>
      <c r="S48" s="149"/>
      <c r="T48" s="28"/>
      <c r="U48" s="149"/>
      <c r="V48" s="28"/>
      <c r="W48" s="149"/>
      <c r="X48" s="149"/>
      <c r="Y48" s="149"/>
      <c r="Z48" s="149"/>
      <c r="AA48" s="150"/>
      <c r="AB48" s="17" t="s">
        <v>493</v>
      </c>
      <c r="AC48" s="28"/>
      <c r="AD48" s="28"/>
    </row>
    <row r="49">
      <c r="A49" s="31"/>
      <c r="B49" s="30" t="s">
        <v>495</v>
      </c>
      <c r="C49" s="30" t="s">
        <v>422</v>
      </c>
      <c r="D49" s="28"/>
      <c r="E49" s="149"/>
      <c r="F49" s="28"/>
      <c r="G49" s="28"/>
      <c r="H49" s="28"/>
      <c r="I49" s="28"/>
      <c r="J49" s="28"/>
      <c r="K49" s="17" t="s">
        <v>368</v>
      </c>
      <c r="L49" s="28"/>
      <c r="M49" s="28"/>
      <c r="N49" s="56" t="s">
        <v>30</v>
      </c>
      <c r="O49" s="149"/>
      <c r="P49" s="149"/>
      <c r="Q49" s="28"/>
      <c r="R49" s="28"/>
      <c r="S49" s="149"/>
      <c r="T49" s="28"/>
      <c r="U49" s="149"/>
      <c r="V49" s="28"/>
      <c r="W49" s="149"/>
      <c r="X49" s="149"/>
      <c r="Y49" s="149"/>
      <c r="Z49" s="149"/>
      <c r="AA49" s="150"/>
      <c r="AB49" s="28"/>
      <c r="AC49" s="28"/>
      <c r="AD49" s="28"/>
    </row>
    <row r="51">
      <c r="A51" s="104" t="s">
        <v>1821</v>
      </c>
      <c r="B51" s="151" t="s">
        <v>1822</v>
      </c>
      <c r="C51" s="151" t="s">
        <v>1823</v>
      </c>
      <c r="D51" s="151" t="s">
        <v>1824</v>
      </c>
      <c r="E51" s="151" t="s">
        <v>1825</v>
      </c>
      <c r="F51" s="151" t="s">
        <v>391</v>
      </c>
      <c r="G51" s="151" t="s">
        <v>1826</v>
      </c>
      <c r="H51" s="151" t="s">
        <v>23</v>
      </c>
      <c r="I51" s="151" t="s">
        <v>13</v>
      </c>
      <c r="J51" s="151" t="s">
        <v>1827</v>
      </c>
      <c r="K51" s="151" t="s">
        <v>1828</v>
      </c>
      <c r="L51" s="151" t="s">
        <v>54</v>
      </c>
      <c r="M51" s="151" t="s">
        <v>3</v>
      </c>
      <c r="N51" s="152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153">
        <v>1.0</v>
      </c>
      <c r="B52" s="153" t="s">
        <v>368</v>
      </c>
      <c r="C52" s="153" t="s">
        <v>1889</v>
      </c>
      <c r="D52" s="153">
        <v>48.0</v>
      </c>
      <c r="E52" s="153">
        <v>28.0</v>
      </c>
      <c r="F52" s="153">
        <v>21.0</v>
      </c>
      <c r="G52" s="153">
        <v>7.0</v>
      </c>
      <c r="H52" s="153">
        <v>1.0</v>
      </c>
      <c r="I52" s="153">
        <v>0.0</v>
      </c>
      <c r="J52" s="153">
        <v>1.0</v>
      </c>
      <c r="K52" s="153">
        <v>15.0</v>
      </c>
      <c r="L52" s="153">
        <v>3.0</v>
      </c>
      <c r="M52" s="154"/>
    </row>
    <row r="54">
      <c r="A54" s="155" t="s">
        <v>1890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28.5" customHeight="1">
      <c r="D56" s="3"/>
      <c r="E56" s="3"/>
      <c r="F56" s="3"/>
      <c r="G56" s="3"/>
      <c r="H56" s="3"/>
      <c r="I56" s="3"/>
      <c r="J56" s="3"/>
      <c r="K56" s="3"/>
      <c r="L56" s="3"/>
      <c r="M56" s="14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72" t="s">
        <v>5</v>
      </c>
      <c r="B59" s="72" t="s">
        <v>6</v>
      </c>
      <c r="C59" s="72" t="s">
        <v>7</v>
      </c>
      <c r="D59" s="74" t="s">
        <v>1891</v>
      </c>
      <c r="E59" s="74" t="s">
        <v>2</v>
      </c>
      <c r="F59" s="74" t="s">
        <v>3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56">
        <v>1.0</v>
      </c>
      <c r="B60" s="142" t="s">
        <v>366</v>
      </c>
      <c r="C60" s="142">
        <v>9.507689463E9</v>
      </c>
      <c r="D60" s="85" t="s">
        <v>23</v>
      </c>
      <c r="E60" s="86"/>
      <c r="F60" s="2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56">
        <v>2.0</v>
      </c>
      <c r="B61" s="142" t="s">
        <v>328</v>
      </c>
      <c r="C61" s="142">
        <v>8.434416844E9</v>
      </c>
      <c r="D61" s="85" t="s">
        <v>27</v>
      </c>
      <c r="E61" s="86"/>
      <c r="F61" s="2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56">
        <v>3.0</v>
      </c>
      <c r="B62" s="142" t="s">
        <v>373</v>
      </c>
      <c r="C62" s="142">
        <v>9.525643915E9</v>
      </c>
      <c r="D62" s="85" t="s">
        <v>27</v>
      </c>
      <c r="E62" s="86"/>
      <c r="F62" s="2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56">
        <v>4.0</v>
      </c>
      <c r="B63" s="142" t="s">
        <v>42</v>
      </c>
      <c r="C63" s="142">
        <v>8.051281222E9</v>
      </c>
      <c r="D63" s="85" t="s">
        <v>9</v>
      </c>
      <c r="E63" s="143" t="s">
        <v>1624</v>
      </c>
      <c r="F63" s="81" t="s">
        <v>1892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56">
        <v>5.0</v>
      </c>
      <c r="B64" s="142" t="s">
        <v>392</v>
      </c>
      <c r="C64" s="142">
        <v>7.37098171E9</v>
      </c>
      <c r="D64" s="85" t="s">
        <v>23</v>
      </c>
      <c r="E64" s="86"/>
      <c r="F64" s="2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56">
        <v>6.0</v>
      </c>
      <c r="B65" s="142" t="s">
        <v>394</v>
      </c>
      <c r="C65" s="142">
        <v>8.298316114E9</v>
      </c>
      <c r="D65" s="85" t="s">
        <v>9</v>
      </c>
      <c r="E65" s="143" t="s">
        <v>1623</v>
      </c>
      <c r="F65" s="2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56">
        <v>7.0</v>
      </c>
      <c r="B66" s="142" t="s">
        <v>328</v>
      </c>
      <c r="C66" s="142">
        <v>9.525930962E9</v>
      </c>
      <c r="D66" s="85" t="s">
        <v>9</v>
      </c>
      <c r="E66" s="143" t="s">
        <v>1623</v>
      </c>
      <c r="F66" s="2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56">
        <v>8.0</v>
      </c>
      <c r="B67" s="142" t="s">
        <v>176</v>
      </c>
      <c r="C67" s="142">
        <v>8.877335426E9</v>
      </c>
      <c r="D67" s="85" t="s">
        <v>9</v>
      </c>
      <c r="E67" s="143" t="s">
        <v>1623</v>
      </c>
      <c r="F67" s="2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56">
        <v>9.0</v>
      </c>
      <c r="B68" s="142" t="s">
        <v>434</v>
      </c>
      <c r="C68" s="142">
        <v>9.113570636E9</v>
      </c>
      <c r="D68" s="85" t="s">
        <v>27</v>
      </c>
      <c r="E68" s="86"/>
      <c r="F68" s="2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56">
        <v>10.0</v>
      </c>
      <c r="B69" s="142" t="s">
        <v>436</v>
      </c>
      <c r="C69" s="142">
        <v>8.217360257E9</v>
      </c>
      <c r="D69" s="85" t="s">
        <v>23</v>
      </c>
      <c r="E69" s="86"/>
      <c r="F69" s="2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56">
        <v>11.0</v>
      </c>
      <c r="B70" s="142" t="s">
        <v>440</v>
      </c>
      <c r="C70" s="142">
        <v>9.328409612E9</v>
      </c>
      <c r="D70" s="85" t="s">
        <v>27</v>
      </c>
      <c r="E70" s="86"/>
      <c r="F70" s="2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56">
        <v>12.0</v>
      </c>
      <c r="B71" s="142" t="s">
        <v>450</v>
      </c>
      <c r="C71" s="142">
        <v>9.931688723E9</v>
      </c>
      <c r="D71" s="85" t="s">
        <v>27</v>
      </c>
      <c r="E71" s="86"/>
      <c r="F71" s="2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56">
        <v>13.0</v>
      </c>
      <c r="B72" s="142" t="s">
        <v>453</v>
      </c>
      <c r="C72" s="142">
        <v>7.549354468E9</v>
      </c>
      <c r="D72" s="85" t="s">
        <v>9</v>
      </c>
      <c r="E72" s="143" t="s">
        <v>1623</v>
      </c>
      <c r="F72" s="2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56">
        <v>14.0</v>
      </c>
      <c r="B73" s="142" t="s">
        <v>460</v>
      </c>
      <c r="C73" s="142">
        <v>8.58192155E9</v>
      </c>
      <c r="D73" s="85" t="s">
        <v>9</v>
      </c>
      <c r="E73" s="143" t="s">
        <v>1623</v>
      </c>
      <c r="F73" s="2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56">
        <v>15.0</v>
      </c>
      <c r="B74" s="142" t="s">
        <v>465</v>
      </c>
      <c r="C74" s="142">
        <v>9.2949985E9</v>
      </c>
      <c r="D74" s="85" t="s">
        <v>9</v>
      </c>
      <c r="E74" s="143" t="s">
        <v>1623</v>
      </c>
      <c r="F74" s="2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56">
        <v>16.0</v>
      </c>
      <c r="B75" s="142" t="s">
        <v>53</v>
      </c>
      <c r="C75" s="142">
        <v>9.135100301E9</v>
      </c>
      <c r="D75" s="85" t="s">
        <v>27</v>
      </c>
      <c r="E75" s="86"/>
      <c r="F75" s="2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56">
        <v>17.0</v>
      </c>
      <c r="B76" s="142" t="s">
        <v>469</v>
      </c>
      <c r="C76" s="142">
        <v>9.570553836E9</v>
      </c>
      <c r="D76" s="85" t="s">
        <v>9</v>
      </c>
      <c r="E76" s="143" t="s">
        <v>1624</v>
      </c>
      <c r="F76" s="81" t="s">
        <v>602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56">
        <v>18.0</v>
      </c>
      <c r="B77" s="142" t="s">
        <v>471</v>
      </c>
      <c r="C77" s="142">
        <v>7.654176258E9</v>
      </c>
      <c r="D77" s="85" t="s">
        <v>9</v>
      </c>
      <c r="E77" s="143" t="s">
        <v>1623</v>
      </c>
      <c r="F77" s="2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56">
        <v>19.0</v>
      </c>
      <c r="B78" s="142" t="s">
        <v>50</v>
      </c>
      <c r="C78" s="142">
        <v>7.491049631E9</v>
      </c>
      <c r="D78" s="85" t="s">
        <v>27</v>
      </c>
      <c r="E78" s="86"/>
      <c r="F78" s="2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56">
        <v>20.0</v>
      </c>
      <c r="B79" s="142" t="s">
        <v>484</v>
      </c>
      <c r="C79" s="142">
        <v>8.80944358E9</v>
      </c>
      <c r="D79" s="85" t="s">
        <v>23</v>
      </c>
      <c r="E79" s="86"/>
      <c r="F79" s="2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56">
        <v>21.0</v>
      </c>
      <c r="B80" s="142" t="s">
        <v>490</v>
      </c>
      <c r="C80" s="142">
        <v>6.201760288E9</v>
      </c>
      <c r="D80" s="85" t="s">
        <v>27</v>
      </c>
      <c r="E80" s="86"/>
      <c r="F80" s="2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57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44" t="s">
        <v>339</v>
      </c>
      <c r="B82" s="11" t="s">
        <v>340</v>
      </c>
      <c r="C82" s="12" t="s">
        <v>341</v>
      </c>
      <c r="D82" s="11" t="s">
        <v>342</v>
      </c>
      <c r="E82" s="11" t="s">
        <v>343</v>
      </c>
      <c r="F82" s="11" t="s">
        <v>344</v>
      </c>
      <c r="G82" s="11" t="s">
        <v>345</v>
      </c>
      <c r="H82" s="11" t="s">
        <v>346</v>
      </c>
      <c r="I82" s="11" t="s">
        <v>347</v>
      </c>
      <c r="J82" s="12" t="s">
        <v>348</v>
      </c>
      <c r="K82" s="12" t="s">
        <v>349</v>
      </c>
      <c r="L82" s="11" t="s">
        <v>350</v>
      </c>
      <c r="M82" s="11" t="s">
        <v>351</v>
      </c>
      <c r="N82" s="11" t="s">
        <v>1</v>
      </c>
      <c r="O82" s="11" t="s">
        <v>352</v>
      </c>
      <c r="P82" s="11" t="s">
        <v>353</v>
      </c>
      <c r="Q82" s="11" t="s">
        <v>354</v>
      </c>
      <c r="R82" s="11" t="s">
        <v>355</v>
      </c>
      <c r="S82" s="11" t="s">
        <v>356</v>
      </c>
      <c r="T82" s="11" t="s">
        <v>357</v>
      </c>
      <c r="U82" s="11" t="s">
        <v>358</v>
      </c>
      <c r="V82" s="11" t="s">
        <v>359</v>
      </c>
      <c r="W82" s="11" t="s">
        <v>360</v>
      </c>
      <c r="X82" s="11" t="s">
        <v>361</v>
      </c>
      <c r="Y82" s="11" t="s">
        <v>362</v>
      </c>
      <c r="Z82" s="11" t="s">
        <v>363</v>
      </c>
      <c r="AA82" s="11" t="s">
        <v>364</v>
      </c>
      <c r="AB82" s="158" t="s">
        <v>3</v>
      </c>
      <c r="AC82" s="159"/>
      <c r="AD82" s="141"/>
    </row>
    <row r="83">
      <c r="A83" s="160" t="s">
        <v>365</v>
      </c>
      <c r="B83" s="149" t="s">
        <v>366</v>
      </c>
      <c r="C83" s="149">
        <v>9.507689463E9</v>
      </c>
      <c r="D83" s="161"/>
      <c r="E83" s="149" t="s">
        <v>367</v>
      </c>
      <c r="F83" s="149" t="s">
        <v>370</v>
      </c>
      <c r="G83" s="149" t="s">
        <v>371</v>
      </c>
      <c r="H83" s="161"/>
      <c r="I83" s="161"/>
      <c r="J83" s="149" t="s">
        <v>385</v>
      </c>
      <c r="K83" s="149" t="s">
        <v>368</v>
      </c>
      <c r="L83" s="149" t="s">
        <v>386</v>
      </c>
      <c r="M83" s="161"/>
      <c r="N83" s="149" t="s">
        <v>9</v>
      </c>
      <c r="O83" s="149" t="s">
        <v>4</v>
      </c>
      <c r="P83" s="149" t="s">
        <v>4</v>
      </c>
      <c r="Q83" s="149" t="s">
        <v>1875</v>
      </c>
      <c r="R83" s="149" t="s">
        <v>1876</v>
      </c>
      <c r="S83" s="149" t="s">
        <v>4</v>
      </c>
      <c r="T83" s="149" t="s">
        <v>1877</v>
      </c>
      <c r="U83" s="149" t="s">
        <v>4</v>
      </c>
      <c r="V83" s="149" t="s">
        <v>1878</v>
      </c>
      <c r="W83" s="149" t="s">
        <v>4</v>
      </c>
      <c r="X83" s="149" t="s">
        <v>4</v>
      </c>
      <c r="Y83" s="149" t="s">
        <v>4</v>
      </c>
      <c r="Z83" s="149" t="s">
        <v>4</v>
      </c>
      <c r="AA83" s="162" t="s">
        <v>391</v>
      </c>
      <c r="AB83" s="149" t="s">
        <v>1879</v>
      </c>
      <c r="AC83" s="161"/>
      <c r="AD83" s="161"/>
    </row>
    <row r="84">
      <c r="A84" s="25"/>
      <c r="B84" s="149" t="s">
        <v>328</v>
      </c>
      <c r="C84" s="149">
        <v>8.434416844E9</v>
      </c>
      <c r="D84" s="149">
        <v>23.0</v>
      </c>
      <c r="E84" s="149" t="s">
        <v>367</v>
      </c>
      <c r="F84" s="149" t="s">
        <v>370</v>
      </c>
      <c r="G84" s="149" t="s">
        <v>371</v>
      </c>
      <c r="H84" s="161"/>
      <c r="I84" s="161"/>
      <c r="J84" s="161"/>
      <c r="K84" s="149" t="s">
        <v>368</v>
      </c>
      <c r="L84" s="161"/>
      <c r="M84" s="161"/>
      <c r="N84" s="149" t="s">
        <v>9</v>
      </c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2" t="s">
        <v>391</v>
      </c>
      <c r="AB84" s="149" t="s">
        <v>1880</v>
      </c>
      <c r="AC84" s="161"/>
      <c r="AD84" s="161"/>
    </row>
    <row r="85">
      <c r="A85" s="25"/>
      <c r="B85" s="149" t="s">
        <v>373</v>
      </c>
      <c r="C85" s="149">
        <v>9.525643915E9</v>
      </c>
      <c r="D85" s="149">
        <v>25.0</v>
      </c>
      <c r="E85" s="149" t="s">
        <v>367</v>
      </c>
      <c r="F85" s="149" t="s">
        <v>374</v>
      </c>
      <c r="G85" s="149" t="s">
        <v>375</v>
      </c>
      <c r="H85" s="149" t="s">
        <v>376</v>
      </c>
      <c r="I85" s="149" t="s">
        <v>377</v>
      </c>
      <c r="J85" s="149" t="s">
        <v>378</v>
      </c>
      <c r="K85" s="149" t="s">
        <v>368</v>
      </c>
      <c r="L85" s="149" t="s">
        <v>379</v>
      </c>
      <c r="M85" s="161"/>
      <c r="N85" s="149" t="s">
        <v>9</v>
      </c>
      <c r="O85" s="149" t="s">
        <v>4</v>
      </c>
      <c r="P85" s="149" t="s">
        <v>380</v>
      </c>
      <c r="Q85" s="161"/>
      <c r="R85" s="161"/>
      <c r="S85" s="149" t="s">
        <v>380</v>
      </c>
      <c r="T85" s="161"/>
      <c r="U85" s="149" t="s">
        <v>380</v>
      </c>
      <c r="V85" s="161"/>
      <c r="W85" s="161"/>
      <c r="X85" s="161"/>
      <c r="Y85" s="161"/>
      <c r="Z85" s="161"/>
      <c r="AA85" s="162" t="s">
        <v>391</v>
      </c>
      <c r="AB85" s="161"/>
      <c r="AC85" s="161"/>
      <c r="AD85" s="161"/>
    </row>
    <row r="86">
      <c r="A86" s="25"/>
      <c r="B86" s="149" t="s">
        <v>42</v>
      </c>
      <c r="C86" s="149">
        <v>8.051281222E9</v>
      </c>
      <c r="D86" s="149">
        <v>25.0</v>
      </c>
      <c r="E86" s="149" t="s">
        <v>367</v>
      </c>
      <c r="F86" s="149" t="s">
        <v>382</v>
      </c>
      <c r="G86" s="149" t="s">
        <v>371</v>
      </c>
      <c r="H86" s="149" t="s">
        <v>383</v>
      </c>
      <c r="I86" s="149" t="s">
        <v>384</v>
      </c>
      <c r="J86" s="149" t="s">
        <v>385</v>
      </c>
      <c r="K86" s="149" t="s">
        <v>368</v>
      </c>
      <c r="L86" s="149" t="s">
        <v>386</v>
      </c>
      <c r="M86" s="149" t="s">
        <v>387</v>
      </c>
      <c r="N86" s="149" t="s">
        <v>9</v>
      </c>
      <c r="O86" s="149" t="s">
        <v>4</v>
      </c>
      <c r="P86" s="149" t="s">
        <v>4</v>
      </c>
      <c r="Q86" s="149" t="s">
        <v>388</v>
      </c>
      <c r="R86" s="161"/>
      <c r="S86" s="149" t="s">
        <v>4</v>
      </c>
      <c r="T86" s="149" t="s">
        <v>389</v>
      </c>
      <c r="U86" s="149" t="s">
        <v>4</v>
      </c>
      <c r="V86" s="149" t="s">
        <v>390</v>
      </c>
      <c r="W86" s="149" t="s">
        <v>4</v>
      </c>
      <c r="X86" s="149" t="s">
        <v>4</v>
      </c>
      <c r="Y86" s="149" t="s">
        <v>4</v>
      </c>
      <c r="Z86" s="149" t="s">
        <v>4</v>
      </c>
      <c r="AA86" s="162" t="s">
        <v>391</v>
      </c>
      <c r="AB86" s="161"/>
      <c r="AC86" s="161"/>
      <c r="AD86" s="161"/>
    </row>
    <row r="87">
      <c r="A87" s="25"/>
      <c r="B87" s="149" t="s">
        <v>392</v>
      </c>
      <c r="C87" s="149">
        <v>7.37098171E9</v>
      </c>
      <c r="D87" s="161"/>
      <c r="E87" s="149" t="s">
        <v>367</v>
      </c>
      <c r="F87" s="149" t="s">
        <v>370</v>
      </c>
      <c r="G87" s="149" t="s">
        <v>371</v>
      </c>
      <c r="H87" s="161"/>
      <c r="I87" s="161"/>
      <c r="J87" s="161"/>
      <c r="K87" s="149" t="s">
        <v>368</v>
      </c>
      <c r="L87" s="149" t="s">
        <v>395</v>
      </c>
      <c r="M87" s="149" t="s">
        <v>1881</v>
      </c>
      <c r="N87" s="149" t="s">
        <v>9</v>
      </c>
      <c r="O87" s="149" t="s">
        <v>4</v>
      </c>
      <c r="P87" s="149" t="s">
        <v>380</v>
      </c>
      <c r="Q87" s="161"/>
      <c r="R87" s="161"/>
      <c r="S87" s="149" t="s">
        <v>380</v>
      </c>
      <c r="T87" s="161"/>
      <c r="U87" s="149" t="s">
        <v>4</v>
      </c>
      <c r="V87" s="149" t="s">
        <v>1882</v>
      </c>
      <c r="W87" s="149" t="s">
        <v>4</v>
      </c>
      <c r="X87" s="161"/>
      <c r="Y87" s="161"/>
      <c r="Z87" s="161"/>
      <c r="AA87" s="162" t="s">
        <v>391</v>
      </c>
      <c r="AB87" s="161"/>
      <c r="AC87" s="161"/>
      <c r="AD87" s="161"/>
    </row>
    <row r="88">
      <c r="A88" s="25"/>
      <c r="B88" s="149" t="s">
        <v>394</v>
      </c>
      <c r="C88" s="149">
        <v>8.298316114E9</v>
      </c>
      <c r="D88" s="149">
        <v>25.0</v>
      </c>
      <c r="E88" s="149" t="s">
        <v>367</v>
      </c>
      <c r="F88" s="149" t="s">
        <v>370</v>
      </c>
      <c r="G88" s="149" t="s">
        <v>371</v>
      </c>
      <c r="H88" s="149" t="s">
        <v>383</v>
      </c>
      <c r="I88" s="149" t="s">
        <v>384</v>
      </c>
      <c r="J88" s="149" t="s">
        <v>385</v>
      </c>
      <c r="K88" s="149" t="s">
        <v>368</v>
      </c>
      <c r="L88" s="149" t="s">
        <v>395</v>
      </c>
      <c r="M88" s="149" t="s">
        <v>396</v>
      </c>
      <c r="N88" s="149" t="s">
        <v>9</v>
      </c>
      <c r="O88" s="149" t="s">
        <v>4</v>
      </c>
      <c r="P88" s="149" t="s">
        <v>380</v>
      </c>
      <c r="Q88" s="161"/>
      <c r="R88" s="161"/>
      <c r="S88" s="149" t="s">
        <v>380</v>
      </c>
      <c r="T88" s="161"/>
      <c r="U88" s="149" t="s">
        <v>380</v>
      </c>
      <c r="V88" s="161"/>
      <c r="W88" s="149" t="s">
        <v>4</v>
      </c>
      <c r="X88" s="149" t="s">
        <v>4</v>
      </c>
      <c r="Y88" s="149" t="s">
        <v>4</v>
      </c>
      <c r="Z88" s="149" t="s">
        <v>4</v>
      </c>
      <c r="AA88" s="162" t="s">
        <v>391</v>
      </c>
      <c r="AB88" s="161"/>
      <c r="AC88" s="161"/>
      <c r="AD88" s="149" t="s">
        <v>397</v>
      </c>
    </row>
    <row r="89">
      <c r="A89" s="25"/>
      <c r="B89" s="149" t="s">
        <v>328</v>
      </c>
      <c r="C89" s="149">
        <v>9.525930962E9</v>
      </c>
      <c r="D89" s="161"/>
      <c r="E89" s="149" t="s">
        <v>367</v>
      </c>
      <c r="F89" s="149" t="s">
        <v>370</v>
      </c>
      <c r="G89" s="149" t="s">
        <v>371</v>
      </c>
      <c r="H89" s="161"/>
      <c r="I89" s="161"/>
      <c r="J89" s="161"/>
      <c r="K89" s="149" t="s">
        <v>368</v>
      </c>
      <c r="L89" s="161"/>
      <c r="M89" s="161"/>
      <c r="N89" s="149" t="s">
        <v>9</v>
      </c>
      <c r="O89" s="149" t="s">
        <v>4</v>
      </c>
      <c r="P89" s="149" t="s">
        <v>380</v>
      </c>
      <c r="Q89" s="161"/>
      <c r="R89" s="161"/>
      <c r="S89" s="149" t="s">
        <v>380</v>
      </c>
      <c r="T89" s="161"/>
      <c r="U89" s="161"/>
      <c r="V89" s="161"/>
      <c r="W89" s="149" t="s">
        <v>4</v>
      </c>
      <c r="X89" s="161"/>
      <c r="Y89" s="161"/>
      <c r="Z89" s="161"/>
      <c r="AA89" s="162" t="s">
        <v>391</v>
      </c>
      <c r="AB89" s="161"/>
      <c r="AC89" s="149" t="s">
        <v>398</v>
      </c>
      <c r="AD89" s="149" t="s">
        <v>399</v>
      </c>
    </row>
    <row r="90">
      <c r="A90" s="25"/>
      <c r="B90" s="149" t="s">
        <v>176</v>
      </c>
      <c r="C90" s="149">
        <v>8.877335426E9</v>
      </c>
      <c r="D90" s="149">
        <v>28.0</v>
      </c>
      <c r="E90" s="149" t="s">
        <v>367</v>
      </c>
      <c r="F90" s="149" t="s">
        <v>382</v>
      </c>
      <c r="G90" s="149" t="s">
        <v>371</v>
      </c>
      <c r="H90" s="149" t="s">
        <v>383</v>
      </c>
      <c r="I90" s="149" t="s">
        <v>377</v>
      </c>
      <c r="J90" s="149" t="s">
        <v>378</v>
      </c>
      <c r="K90" s="149" t="s">
        <v>368</v>
      </c>
      <c r="L90" s="149" t="s">
        <v>386</v>
      </c>
      <c r="M90" s="149" t="s">
        <v>400</v>
      </c>
      <c r="N90" s="149" t="s">
        <v>9</v>
      </c>
      <c r="O90" s="149" t="s">
        <v>4</v>
      </c>
      <c r="P90" s="149" t="s">
        <v>380</v>
      </c>
      <c r="Q90" s="161"/>
      <c r="R90" s="161"/>
      <c r="S90" s="149" t="s">
        <v>380</v>
      </c>
      <c r="T90" s="161"/>
      <c r="U90" s="149" t="s">
        <v>380</v>
      </c>
      <c r="V90" s="161"/>
      <c r="W90" s="149" t="s">
        <v>4</v>
      </c>
      <c r="X90" s="149" t="s">
        <v>4</v>
      </c>
      <c r="Y90" s="149" t="s">
        <v>4</v>
      </c>
      <c r="Z90" s="149" t="s">
        <v>4</v>
      </c>
      <c r="AA90" s="162" t="s">
        <v>391</v>
      </c>
      <c r="AB90" s="149" t="s">
        <v>401</v>
      </c>
      <c r="AC90" s="161"/>
      <c r="AD90" s="161"/>
    </row>
    <row r="91">
      <c r="A91" s="25"/>
      <c r="B91" s="149" t="s">
        <v>434</v>
      </c>
      <c r="C91" s="149">
        <v>9.113570636E9</v>
      </c>
      <c r="D91" s="161"/>
      <c r="E91" s="149" t="s">
        <v>367</v>
      </c>
      <c r="F91" s="161"/>
      <c r="G91" s="161"/>
      <c r="H91" s="161"/>
      <c r="I91" s="161"/>
      <c r="J91" s="161"/>
      <c r="K91" s="149" t="s">
        <v>368</v>
      </c>
      <c r="L91" s="161"/>
      <c r="M91" s="161"/>
      <c r="N91" s="149" t="s">
        <v>9</v>
      </c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2" t="s">
        <v>391</v>
      </c>
      <c r="AB91" s="149" t="s">
        <v>435</v>
      </c>
      <c r="AC91" s="149" t="s">
        <v>446</v>
      </c>
      <c r="AD91" s="161"/>
    </row>
    <row r="92">
      <c r="A92" s="25"/>
      <c r="B92" s="149" t="s">
        <v>436</v>
      </c>
      <c r="C92" s="149">
        <v>8.217360257E9</v>
      </c>
      <c r="D92" s="149">
        <v>22.0</v>
      </c>
      <c r="E92" s="149" t="s">
        <v>367</v>
      </c>
      <c r="F92" s="149" t="s">
        <v>437</v>
      </c>
      <c r="G92" s="149" t="s">
        <v>375</v>
      </c>
      <c r="H92" s="149" t="s">
        <v>376</v>
      </c>
      <c r="I92" s="149" t="s">
        <v>377</v>
      </c>
      <c r="J92" s="149" t="s">
        <v>378</v>
      </c>
      <c r="K92" s="149" t="s">
        <v>368</v>
      </c>
      <c r="L92" s="149" t="s">
        <v>379</v>
      </c>
      <c r="M92" s="161"/>
      <c r="N92" s="149" t="s">
        <v>9</v>
      </c>
      <c r="O92" s="149" t="s">
        <v>4</v>
      </c>
      <c r="P92" s="149" t="s">
        <v>380</v>
      </c>
      <c r="Q92" s="161"/>
      <c r="R92" s="161"/>
      <c r="S92" s="149" t="s">
        <v>380</v>
      </c>
      <c r="T92" s="161"/>
      <c r="U92" s="149" t="s">
        <v>380</v>
      </c>
      <c r="V92" s="161"/>
      <c r="W92" s="149" t="s">
        <v>4</v>
      </c>
      <c r="X92" s="149" t="s">
        <v>4</v>
      </c>
      <c r="Y92" s="149" t="s">
        <v>4</v>
      </c>
      <c r="Z92" s="149" t="s">
        <v>4</v>
      </c>
      <c r="AA92" s="162" t="s">
        <v>391</v>
      </c>
      <c r="AB92" s="149" t="s">
        <v>438</v>
      </c>
      <c r="AC92" s="149" t="s">
        <v>439</v>
      </c>
      <c r="AD92" s="161"/>
    </row>
    <row r="93">
      <c r="A93" s="25"/>
      <c r="B93" s="149" t="s">
        <v>440</v>
      </c>
      <c r="C93" s="149">
        <v>9.328409612E9</v>
      </c>
      <c r="D93" s="149">
        <v>25.0</v>
      </c>
      <c r="E93" s="149" t="s">
        <v>367</v>
      </c>
      <c r="F93" s="149" t="s">
        <v>441</v>
      </c>
      <c r="G93" s="149" t="s">
        <v>375</v>
      </c>
      <c r="H93" s="149" t="s">
        <v>376</v>
      </c>
      <c r="I93" s="149" t="s">
        <v>377</v>
      </c>
      <c r="J93" s="149" t="s">
        <v>378</v>
      </c>
      <c r="K93" s="149" t="s">
        <v>368</v>
      </c>
      <c r="L93" s="149" t="s">
        <v>442</v>
      </c>
      <c r="M93" s="149" t="s">
        <v>443</v>
      </c>
      <c r="N93" s="149" t="s">
        <v>9</v>
      </c>
      <c r="O93" s="149" t="s">
        <v>4</v>
      </c>
      <c r="P93" s="149" t="s">
        <v>4</v>
      </c>
      <c r="Q93" s="149" t="s">
        <v>444</v>
      </c>
      <c r="R93" s="161"/>
      <c r="S93" s="149" t="s">
        <v>380</v>
      </c>
      <c r="T93" s="161"/>
      <c r="U93" s="149" t="s">
        <v>380</v>
      </c>
      <c r="V93" s="161"/>
      <c r="W93" s="149" t="s">
        <v>4</v>
      </c>
      <c r="X93" s="149" t="s">
        <v>4</v>
      </c>
      <c r="Y93" s="149" t="s">
        <v>4</v>
      </c>
      <c r="Z93" s="149" t="s">
        <v>4</v>
      </c>
      <c r="AA93" s="162" t="s">
        <v>391</v>
      </c>
      <c r="AB93" s="149" t="s">
        <v>445</v>
      </c>
      <c r="AC93" s="149" t="s">
        <v>446</v>
      </c>
      <c r="AD93" s="161"/>
    </row>
    <row r="94">
      <c r="A94" s="25"/>
      <c r="B94" s="149" t="s">
        <v>450</v>
      </c>
      <c r="C94" s="149">
        <v>9.931688723E9</v>
      </c>
      <c r="D94" s="149">
        <v>21.0</v>
      </c>
      <c r="E94" s="149" t="s">
        <v>367</v>
      </c>
      <c r="F94" s="149" t="s">
        <v>382</v>
      </c>
      <c r="G94" s="149" t="s">
        <v>371</v>
      </c>
      <c r="H94" s="149" t="s">
        <v>383</v>
      </c>
      <c r="I94" s="149" t="s">
        <v>451</v>
      </c>
      <c r="J94" s="149" t="s">
        <v>378</v>
      </c>
      <c r="K94" s="149" t="s">
        <v>368</v>
      </c>
      <c r="L94" s="149" t="s">
        <v>420</v>
      </c>
      <c r="M94" s="149" t="s">
        <v>400</v>
      </c>
      <c r="N94" s="149" t="s">
        <v>9</v>
      </c>
      <c r="O94" s="149" t="s">
        <v>380</v>
      </c>
      <c r="P94" s="149" t="s">
        <v>380</v>
      </c>
      <c r="Q94" s="161"/>
      <c r="R94" s="161"/>
      <c r="S94" s="149" t="s">
        <v>380</v>
      </c>
      <c r="T94" s="161"/>
      <c r="U94" s="149" t="s">
        <v>380</v>
      </c>
      <c r="V94" s="161"/>
      <c r="W94" s="149" t="s">
        <v>4</v>
      </c>
      <c r="X94" s="149" t="s">
        <v>4</v>
      </c>
      <c r="Y94" s="149" t="s">
        <v>380</v>
      </c>
      <c r="Z94" s="149" t="s">
        <v>380</v>
      </c>
      <c r="AA94" s="162" t="s">
        <v>391</v>
      </c>
      <c r="AB94" s="149" t="s">
        <v>452</v>
      </c>
      <c r="AC94" s="149" t="s">
        <v>1883</v>
      </c>
      <c r="AD94" s="161"/>
    </row>
    <row r="95">
      <c r="A95" s="25"/>
      <c r="B95" s="149" t="s">
        <v>453</v>
      </c>
      <c r="C95" s="149">
        <v>7.549354468E9</v>
      </c>
      <c r="D95" s="149">
        <v>27.0</v>
      </c>
      <c r="E95" s="149" t="s">
        <v>367</v>
      </c>
      <c r="F95" s="149" t="s">
        <v>454</v>
      </c>
      <c r="G95" s="149" t="s">
        <v>371</v>
      </c>
      <c r="H95" s="149" t="s">
        <v>430</v>
      </c>
      <c r="I95" s="149" t="s">
        <v>384</v>
      </c>
      <c r="J95" s="149" t="s">
        <v>378</v>
      </c>
      <c r="K95" s="149" t="s">
        <v>368</v>
      </c>
      <c r="L95" s="149" t="s">
        <v>386</v>
      </c>
      <c r="M95" s="149" t="s">
        <v>409</v>
      </c>
      <c r="N95" s="149" t="s">
        <v>9</v>
      </c>
      <c r="O95" s="149" t="s">
        <v>4</v>
      </c>
      <c r="P95" s="149" t="s">
        <v>380</v>
      </c>
      <c r="Q95" s="161"/>
      <c r="R95" s="161"/>
      <c r="S95" s="149" t="s">
        <v>380</v>
      </c>
      <c r="T95" s="161"/>
      <c r="U95" s="149" t="s">
        <v>380</v>
      </c>
      <c r="V95" s="161"/>
      <c r="W95" s="149" t="s">
        <v>4</v>
      </c>
      <c r="X95" s="149" t="s">
        <v>4</v>
      </c>
      <c r="Y95" s="149" t="s">
        <v>380</v>
      </c>
      <c r="Z95" s="149" t="s">
        <v>4</v>
      </c>
      <c r="AA95" s="162" t="s">
        <v>391</v>
      </c>
      <c r="AB95" s="149" t="s">
        <v>455</v>
      </c>
      <c r="AC95" s="161"/>
      <c r="AD95" s="161"/>
    </row>
    <row r="96">
      <c r="A96" s="25"/>
      <c r="B96" s="149" t="s">
        <v>460</v>
      </c>
      <c r="C96" s="149">
        <v>8.58192155E9</v>
      </c>
      <c r="D96" s="149">
        <v>24.0</v>
      </c>
      <c r="E96" s="149" t="s">
        <v>367</v>
      </c>
      <c r="F96" s="149" t="s">
        <v>382</v>
      </c>
      <c r="G96" s="149" t="s">
        <v>375</v>
      </c>
      <c r="H96" s="149" t="s">
        <v>376</v>
      </c>
      <c r="I96" s="149" t="s">
        <v>377</v>
      </c>
      <c r="J96" s="149" t="s">
        <v>378</v>
      </c>
      <c r="K96" s="149" t="s">
        <v>368</v>
      </c>
      <c r="L96" s="149" t="s">
        <v>420</v>
      </c>
      <c r="M96" s="149" t="s">
        <v>461</v>
      </c>
      <c r="N96" s="149" t="s">
        <v>9</v>
      </c>
      <c r="O96" s="149" t="s">
        <v>4</v>
      </c>
      <c r="P96" s="149" t="s">
        <v>4</v>
      </c>
      <c r="Q96" s="149" t="s">
        <v>444</v>
      </c>
      <c r="R96" s="161"/>
      <c r="S96" s="149" t="s">
        <v>4</v>
      </c>
      <c r="T96" s="161"/>
      <c r="U96" s="149" t="s">
        <v>4</v>
      </c>
      <c r="V96" s="149" t="s">
        <v>462</v>
      </c>
      <c r="W96" s="149" t="s">
        <v>4</v>
      </c>
      <c r="X96" s="149" t="s">
        <v>4</v>
      </c>
      <c r="Y96" s="149" t="s">
        <v>4</v>
      </c>
      <c r="Z96" s="149" t="s">
        <v>4</v>
      </c>
      <c r="AA96" s="162" t="s">
        <v>391</v>
      </c>
      <c r="AB96" s="149" t="s">
        <v>463</v>
      </c>
      <c r="AC96" s="149" t="s">
        <v>464</v>
      </c>
      <c r="AD96" s="161"/>
    </row>
    <row r="97">
      <c r="A97" s="25"/>
      <c r="B97" s="149" t="s">
        <v>465</v>
      </c>
      <c r="C97" s="149">
        <v>9.2949985E9</v>
      </c>
      <c r="D97" s="161"/>
      <c r="E97" s="161"/>
      <c r="F97" s="161"/>
      <c r="G97" s="161"/>
      <c r="H97" s="161"/>
      <c r="I97" s="161"/>
      <c r="J97" s="161"/>
      <c r="K97" s="149" t="s">
        <v>368</v>
      </c>
      <c r="L97" s="161"/>
      <c r="M97" s="161"/>
      <c r="N97" s="149" t="s">
        <v>9</v>
      </c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2" t="s">
        <v>391</v>
      </c>
      <c r="AB97" s="149" t="s">
        <v>466</v>
      </c>
      <c r="AC97" s="149" t="s">
        <v>464</v>
      </c>
      <c r="AD97" s="161"/>
    </row>
    <row r="98">
      <c r="A98" s="25"/>
      <c r="B98" s="149" t="s">
        <v>53</v>
      </c>
      <c r="C98" s="149">
        <v>9.135100301E9</v>
      </c>
      <c r="D98" s="161"/>
      <c r="E98" s="149" t="s">
        <v>367</v>
      </c>
      <c r="F98" s="161"/>
      <c r="G98" s="161"/>
      <c r="H98" s="161"/>
      <c r="I98" s="161"/>
      <c r="J98" s="161"/>
      <c r="K98" s="149" t="s">
        <v>368</v>
      </c>
      <c r="L98" s="161"/>
      <c r="M98" s="161"/>
      <c r="N98" s="149" t="s">
        <v>9</v>
      </c>
      <c r="O98" s="149" t="s">
        <v>4</v>
      </c>
      <c r="P98" s="149" t="s">
        <v>4</v>
      </c>
      <c r="Q98" s="149" t="s">
        <v>388</v>
      </c>
      <c r="R98" s="161"/>
      <c r="S98" s="149" t="s">
        <v>4</v>
      </c>
      <c r="T98" s="161"/>
      <c r="U98" s="149" t="s">
        <v>4</v>
      </c>
      <c r="V98" s="161"/>
      <c r="W98" s="149" t="s">
        <v>4</v>
      </c>
      <c r="X98" s="149" t="s">
        <v>4</v>
      </c>
      <c r="Y98" s="161"/>
      <c r="Z98" s="161"/>
      <c r="AA98" s="162" t="s">
        <v>391</v>
      </c>
      <c r="AB98" s="149" t="s">
        <v>468</v>
      </c>
      <c r="AC98" s="149" t="s">
        <v>1884</v>
      </c>
      <c r="AD98" s="161"/>
    </row>
    <row r="99">
      <c r="A99" s="25"/>
      <c r="B99" s="149" t="s">
        <v>469</v>
      </c>
      <c r="C99" s="149">
        <v>9.570553836E9</v>
      </c>
      <c r="D99" s="149">
        <v>19.0</v>
      </c>
      <c r="E99" s="149" t="s">
        <v>367</v>
      </c>
      <c r="F99" s="149" t="s">
        <v>382</v>
      </c>
      <c r="G99" s="149" t="s">
        <v>371</v>
      </c>
      <c r="H99" s="149" t="s">
        <v>383</v>
      </c>
      <c r="I99" s="149" t="s">
        <v>384</v>
      </c>
      <c r="J99" s="149" t="s">
        <v>378</v>
      </c>
      <c r="K99" s="149" t="s">
        <v>368</v>
      </c>
      <c r="L99" s="149" t="s">
        <v>470</v>
      </c>
      <c r="M99" s="149" t="s">
        <v>396</v>
      </c>
      <c r="N99" s="149" t="s">
        <v>9</v>
      </c>
      <c r="O99" s="149" t="s">
        <v>380</v>
      </c>
      <c r="P99" s="149" t="s">
        <v>380</v>
      </c>
      <c r="Q99" s="161"/>
      <c r="R99" s="161"/>
      <c r="S99" s="149" t="s">
        <v>380</v>
      </c>
      <c r="T99" s="161"/>
      <c r="U99" s="149" t="s">
        <v>380</v>
      </c>
      <c r="V99" s="161"/>
      <c r="W99" s="149" t="s">
        <v>380</v>
      </c>
      <c r="X99" s="149" t="s">
        <v>4</v>
      </c>
      <c r="Y99" s="149" t="s">
        <v>380</v>
      </c>
      <c r="Z99" s="149" t="s">
        <v>380</v>
      </c>
      <c r="AA99" s="162" t="s">
        <v>391</v>
      </c>
      <c r="AB99" s="149" t="s">
        <v>1885</v>
      </c>
      <c r="AC99" s="161"/>
      <c r="AD99" s="161"/>
    </row>
    <row r="100">
      <c r="A100" s="25"/>
      <c r="B100" s="149" t="s">
        <v>471</v>
      </c>
      <c r="C100" s="149">
        <v>7.654176258E9</v>
      </c>
      <c r="D100" s="149">
        <v>32.0</v>
      </c>
      <c r="E100" s="161"/>
      <c r="F100" s="149" t="s">
        <v>472</v>
      </c>
      <c r="G100" s="149" t="s">
        <v>371</v>
      </c>
      <c r="H100" s="149" t="s">
        <v>383</v>
      </c>
      <c r="I100" s="149" t="s">
        <v>384</v>
      </c>
      <c r="J100" s="149" t="s">
        <v>378</v>
      </c>
      <c r="K100" s="149" t="s">
        <v>368</v>
      </c>
      <c r="L100" s="149" t="s">
        <v>470</v>
      </c>
      <c r="M100" s="149" t="s">
        <v>396</v>
      </c>
      <c r="N100" s="149" t="s">
        <v>9</v>
      </c>
      <c r="O100" s="149" t="s">
        <v>4</v>
      </c>
      <c r="P100" s="149" t="s">
        <v>380</v>
      </c>
      <c r="Q100" s="161"/>
      <c r="R100" s="161"/>
      <c r="S100" s="149" t="s">
        <v>380</v>
      </c>
      <c r="T100" s="161"/>
      <c r="U100" s="149" t="s">
        <v>380</v>
      </c>
      <c r="V100" s="161"/>
      <c r="W100" s="149" t="s">
        <v>4</v>
      </c>
      <c r="X100" s="149" t="s">
        <v>4</v>
      </c>
      <c r="Y100" s="149" t="s">
        <v>380</v>
      </c>
      <c r="Z100" s="149" t="s">
        <v>380</v>
      </c>
      <c r="AA100" s="162" t="s">
        <v>391</v>
      </c>
      <c r="AB100" s="149" t="s">
        <v>473</v>
      </c>
      <c r="AC100" s="161"/>
      <c r="AD100" s="161"/>
    </row>
    <row r="101">
      <c r="A101" s="25"/>
      <c r="B101" s="149" t="s">
        <v>50</v>
      </c>
      <c r="C101" s="149">
        <v>7.491049631E9</v>
      </c>
      <c r="D101" s="161"/>
      <c r="E101" s="161"/>
      <c r="F101" s="161"/>
      <c r="G101" s="161"/>
      <c r="H101" s="161"/>
      <c r="I101" s="161"/>
      <c r="J101" s="161"/>
      <c r="K101" s="149" t="s">
        <v>368</v>
      </c>
      <c r="L101" s="161"/>
      <c r="M101" s="161"/>
      <c r="N101" s="149" t="s">
        <v>9</v>
      </c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2" t="s">
        <v>391</v>
      </c>
      <c r="AB101" s="149" t="s">
        <v>491</v>
      </c>
      <c r="AC101" s="149" t="s">
        <v>1886</v>
      </c>
      <c r="AD101" s="161"/>
    </row>
    <row r="102">
      <c r="A102" s="25"/>
      <c r="B102" s="149" t="s">
        <v>484</v>
      </c>
      <c r="C102" s="149">
        <v>8.80944358E9</v>
      </c>
      <c r="D102" s="161"/>
      <c r="E102" s="149" t="s">
        <v>405</v>
      </c>
      <c r="F102" s="161"/>
      <c r="G102" s="161"/>
      <c r="H102" s="161"/>
      <c r="I102" s="161"/>
      <c r="J102" s="161"/>
      <c r="K102" s="149" t="s">
        <v>368</v>
      </c>
      <c r="L102" s="161"/>
      <c r="M102" s="161"/>
      <c r="N102" s="149" t="s">
        <v>9</v>
      </c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2" t="s">
        <v>391</v>
      </c>
      <c r="AB102" s="149" t="s">
        <v>1887</v>
      </c>
      <c r="AC102" s="161"/>
      <c r="AD102" s="161"/>
    </row>
    <row r="103">
      <c r="A103" s="25"/>
      <c r="B103" s="149" t="s">
        <v>490</v>
      </c>
      <c r="C103" s="149">
        <v>6.201760288E9</v>
      </c>
      <c r="D103" s="161"/>
      <c r="E103" s="161"/>
      <c r="F103" s="161"/>
      <c r="G103" s="161"/>
      <c r="H103" s="161"/>
      <c r="I103" s="161"/>
      <c r="J103" s="161"/>
      <c r="K103" s="149" t="s">
        <v>368</v>
      </c>
      <c r="L103" s="161"/>
      <c r="M103" s="161"/>
      <c r="N103" s="149" t="s">
        <v>9</v>
      </c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2" t="s">
        <v>391</v>
      </c>
      <c r="AB103" s="149" t="s">
        <v>491</v>
      </c>
      <c r="AC103" s="149" t="s">
        <v>1888</v>
      </c>
      <c r="AD103" s="161"/>
    </row>
    <row r="104">
      <c r="A104" s="25"/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</row>
    <row r="105">
      <c r="A105" s="25"/>
      <c r="B105" s="163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</row>
    <row r="106">
      <c r="A106" s="25"/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</row>
    <row r="107">
      <c r="A107" s="25"/>
      <c r="B107" s="163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</row>
    <row r="108">
      <c r="A108" s="25"/>
      <c r="B108" s="163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</row>
    <row r="109">
      <c r="A109" s="25"/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</row>
    <row r="110">
      <c r="A110" s="25"/>
      <c r="B110" s="163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</row>
    <row r="111">
      <c r="A111" s="25"/>
      <c r="B111" s="163"/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</row>
    <row r="112">
      <c r="A112" s="25"/>
      <c r="B112" s="163"/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</row>
    <row r="113">
      <c r="A113" s="25"/>
      <c r="B113" s="163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</row>
    <row r="114">
      <c r="A114" s="25"/>
      <c r="B114" s="163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</row>
    <row r="115">
      <c r="A115" s="25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</row>
    <row r="116">
      <c r="A116" s="25"/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</row>
    <row r="117">
      <c r="A117" s="25"/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</row>
    <row r="118">
      <c r="A118" s="25"/>
      <c r="B118" s="163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</row>
    <row r="119">
      <c r="A119" s="25"/>
      <c r="B119" s="163"/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</row>
    <row r="120">
      <c r="A120" s="25"/>
      <c r="B120" s="163"/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</row>
    <row r="121">
      <c r="A121" s="25"/>
      <c r="B121" s="163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</row>
    <row r="122">
      <c r="A122" s="25"/>
      <c r="B122" s="163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</row>
    <row r="123">
      <c r="A123" s="25"/>
      <c r="B123" s="163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</row>
    <row r="124">
      <c r="A124" s="25"/>
      <c r="B124" s="163"/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</row>
    <row r="125">
      <c r="A125" s="25"/>
      <c r="B125" s="163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</row>
    <row r="126">
      <c r="A126" s="25"/>
      <c r="B126" s="163"/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</row>
    <row r="127">
      <c r="A127" s="25"/>
      <c r="B127" s="163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</row>
    <row r="128">
      <c r="A128" s="25"/>
      <c r="B128" s="163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</row>
    <row r="129">
      <c r="A129" s="25"/>
      <c r="B129" s="163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</row>
    <row r="130">
      <c r="A130" s="31"/>
      <c r="B130" s="163"/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</row>
    <row r="13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</row>
    <row r="132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</row>
    <row r="133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</row>
    <row r="134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</row>
    <row r="135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</row>
    <row r="136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</row>
    <row r="137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</row>
    <row r="138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</row>
    <row r="139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</row>
    <row r="140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</row>
    <row r="14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</row>
    <row r="142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</row>
    <row r="143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</row>
    <row r="144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</row>
    <row r="145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</row>
    <row r="146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</row>
    <row r="147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</row>
    <row r="148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</row>
    <row r="149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</row>
    <row r="150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</row>
    <row r="15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</row>
    <row r="152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</row>
    <row r="153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</row>
    <row r="154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</row>
    <row r="155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</row>
    <row r="156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</row>
    <row r="157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</row>
    <row r="158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</row>
    <row r="159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</row>
    <row r="160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</row>
    <row r="16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</row>
    <row r="162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</row>
    <row r="163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</row>
    <row r="164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</row>
    <row r="165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</row>
    <row r="166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</row>
    <row r="167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</row>
    <row r="168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</row>
    <row r="169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</row>
    <row r="170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</row>
    <row r="17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</row>
    <row r="172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</row>
    <row r="173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</row>
    <row r="174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</row>
    <row r="175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</row>
    <row r="176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</row>
    <row r="177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</row>
    <row r="178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</row>
    <row r="179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</row>
    <row r="180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</row>
    <row r="18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</row>
    <row r="182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</row>
    <row r="183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</row>
    <row r="184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</row>
    <row r="185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</row>
    <row r="186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</row>
    <row r="187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</row>
    <row r="188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</row>
    <row r="189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</row>
    <row r="190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</row>
    <row r="19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</row>
    <row r="192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</row>
    <row r="193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</row>
    <row r="194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</row>
    <row r="195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</row>
    <row r="196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</row>
    <row r="197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</row>
    <row r="198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</row>
    <row r="199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</row>
    <row r="200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</row>
    <row r="20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</row>
    <row r="202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</row>
    <row r="203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</row>
    <row r="204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</row>
    <row r="205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</row>
    <row r="206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</row>
    <row r="207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</row>
    <row r="208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</row>
    <row r="209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</row>
    <row r="210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</row>
    <row r="21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</row>
    <row r="212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</row>
    <row r="213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</row>
    <row r="214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</row>
    <row r="215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</row>
    <row r="216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</row>
    <row r="217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</row>
    <row r="218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</row>
    <row r="219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</row>
    <row r="220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</row>
    <row r="22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</row>
    <row r="222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</row>
    <row r="223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</row>
    <row r="224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</row>
    <row r="225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</row>
    <row r="226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</row>
    <row r="227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</row>
    <row r="228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</row>
    <row r="229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</row>
    <row r="230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</row>
    <row r="23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</row>
    <row r="232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</row>
    <row r="233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</row>
    <row r="234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</row>
    <row r="235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</row>
    <row r="236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</row>
    <row r="237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</row>
    <row r="238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</row>
    <row r="239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</row>
    <row r="240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</row>
    <row r="24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</row>
    <row r="242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</row>
    <row r="243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</row>
    <row r="244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</row>
    <row r="245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</row>
    <row r="246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</row>
    <row r="247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</row>
    <row r="248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</row>
    <row r="249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</row>
    <row r="250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</row>
    <row r="25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</row>
    <row r="252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</row>
    <row r="253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</row>
    <row r="254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</row>
    <row r="255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</row>
    <row r="256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</row>
    <row r="257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</row>
    <row r="258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</row>
    <row r="259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</row>
    <row r="260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</row>
    <row r="26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</row>
    <row r="262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</row>
    <row r="263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</row>
    <row r="264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</row>
    <row r="265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</row>
    <row r="266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</row>
    <row r="267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</row>
    <row r="268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</row>
    <row r="269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</row>
    <row r="270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</row>
    <row r="27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</row>
    <row r="272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</row>
    <row r="273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</row>
    <row r="274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</row>
    <row r="275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</row>
    <row r="276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</row>
    <row r="277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</row>
    <row r="278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</row>
    <row r="279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</row>
    <row r="280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</row>
    <row r="28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</row>
    <row r="282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</row>
    <row r="283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</row>
    <row r="284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</row>
    <row r="285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</row>
    <row r="286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</row>
    <row r="287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</row>
    <row r="288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</row>
    <row r="289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</row>
    <row r="290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</row>
    <row r="29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</row>
    <row r="292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</row>
    <row r="293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</row>
    <row r="294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</row>
    <row r="295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</row>
    <row r="296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</row>
    <row r="297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</row>
    <row r="298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</row>
    <row r="299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</row>
    <row r="300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</row>
    <row r="30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</row>
    <row r="302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</row>
    <row r="303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</row>
    <row r="304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</row>
    <row r="305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</row>
    <row r="306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</row>
    <row r="307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</row>
    <row r="308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</row>
    <row r="309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</row>
    <row r="310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</row>
    <row r="31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</row>
    <row r="312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</row>
    <row r="313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</row>
    <row r="314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</row>
    <row r="315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</row>
    <row r="316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</row>
    <row r="317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</row>
    <row r="318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</row>
    <row r="319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</row>
    <row r="320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</row>
    <row r="32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</row>
    <row r="322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</row>
    <row r="323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</row>
    <row r="324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</row>
    <row r="325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</row>
    <row r="326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</row>
    <row r="327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</row>
    <row r="328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</row>
    <row r="329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</row>
    <row r="330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</row>
    <row r="33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</row>
    <row r="332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</row>
    <row r="333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</row>
    <row r="334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</row>
    <row r="335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</row>
    <row r="336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</row>
    <row r="337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</row>
    <row r="338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</row>
    <row r="339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</row>
    <row r="340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</row>
    <row r="34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</row>
    <row r="342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</row>
    <row r="343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</row>
    <row r="344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</row>
    <row r="345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</row>
    <row r="346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</row>
    <row r="347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</row>
    <row r="348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</row>
    <row r="349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</row>
    <row r="350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</row>
    <row r="35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</row>
    <row r="352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</row>
    <row r="353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</row>
    <row r="354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</row>
    <row r="355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</row>
    <row r="356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</row>
    <row r="357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</row>
    <row r="358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</row>
    <row r="359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</row>
    <row r="360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</row>
    <row r="36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</row>
    <row r="362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</row>
    <row r="363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</row>
    <row r="364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</row>
    <row r="365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</row>
    <row r="366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</row>
    <row r="367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</row>
    <row r="368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</row>
    <row r="369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</row>
    <row r="370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</row>
    <row r="37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</row>
    <row r="372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</row>
    <row r="373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</row>
    <row r="374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</row>
    <row r="375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</row>
    <row r="376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</row>
    <row r="377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</row>
    <row r="378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</row>
    <row r="379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</row>
    <row r="380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</row>
    <row r="38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</row>
    <row r="382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</row>
    <row r="383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</row>
    <row r="384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</row>
    <row r="385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</row>
    <row r="386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</row>
    <row r="387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</row>
    <row r="388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</row>
    <row r="389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</row>
    <row r="390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</row>
    <row r="39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</row>
    <row r="392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</row>
    <row r="393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</row>
    <row r="394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</row>
    <row r="395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</row>
    <row r="396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</row>
    <row r="397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</row>
    <row r="398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</row>
    <row r="399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</row>
    <row r="400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</row>
    <row r="40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</row>
    <row r="402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</row>
    <row r="403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</row>
    <row r="404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</row>
    <row r="405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</row>
    <row r="406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</row>
    <row r="407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</row>
    <row r="408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</row>
    <row r="409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</row>
    <row r="410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</row>
    <row r="41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</row>
    <row r="412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</row>
    <row r="413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</row>
    <row r="414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</row>
    <row r="415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</row>
    <row r="416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</row>
    <row r="417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</row>
    <row r="418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</row>
    <row r="419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</row>
    <row r="420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</row>
    <row r="42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</row>
    <row r="422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</row>
    <row r="423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</row>
    <row r="424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</row>
    <row r="425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</row>
    <row r="426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</row>
    <row r="427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</row>
    <row r="428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</row>
    <row r="429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</row>
    <row r="430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</row>
    <row r="43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</row>
    <row r="432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</row>
    <row r="433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</row>
    <row r="434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</row>
    <row r="435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</row>
    <row r="436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</row>
    <row r="437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</row>
    <row r="438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</row>
    <row r="439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</row>
    <row r="440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</row>
    <row r="44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</row>
    <row r="442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</row>
    <row r="443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</row>
    <row r="444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</row>
    <row r="445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</row>
    <row r="446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</row>
    <row r="447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</row>
    <row r="448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</row>
    <row r="449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</row>
    <row r="450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</row>
    <row r="45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</row>
    <row r="452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</row>
    <row r="453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</row>
    <row r="454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</row>
    <row r="455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</row>
    <row r="456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</row>
    <row r="457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</row>
    <row r="458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</row>
    <row r="459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</row>
    <row r="460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</row>
    <row r="46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</row>
    <row r="462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</row>
    <row r="463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</row>
    <row r="464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</row>
    <row r="465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</row>
    <row r="466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</row>
    <row r="467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</row>
    <row r="468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</row>
    <row r="469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</row>
    <row r="470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</row>
    <row r="47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</row>
    <row r="472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</row>
    <row r="473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</row>
    <row r="474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</row>
    <row r="475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</row>
    <row r="476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</row>
    <row r="477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</row>
    <row r="478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</row>
    <row r="479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</row>
    <row r="480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</row>
    <row r="48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</row>
    <row r="482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</row>
    <row r="483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</row>
    <row r="484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</row>
    <row r="485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</row>
    <row r="486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</row>
    <row r="487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</row>
    <row r="488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</row>
    <row r="489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</row>
    <row r="490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</row>
    <row r="49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</row>
    <row r="492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</row>
    <row r="493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</row>
    <row r="494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</row>
    <row r="495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</row>
    <row r="496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</row>
    <row r="497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</row>
    <row r="498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</row>
    <row r="499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</row>
    <row r="500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</row>
    <row r="50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</row>
    <row r="502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</row>
    <row r="503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</row>
    <row r="504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</row>
    <row r="505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</row>
    <row r="506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</row>
    <row r="507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</row>
    <row r="508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</row>
    <row r="509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</row>
    <row r="510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</row>
    <row r="51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</row>
    <row r="512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</row>
    <row r="513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</row>
    <row r="514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</row>
    <row r="515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</row>
    <row r="516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</row>
    <row r="517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</row>
    <row r="518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</row>
    <row r="519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</row>
    <row r="520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</row>
    <row r="52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</row>
    <row r="522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</row>
    <row r="523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</row>
    <row r="524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</row>
    <row r="525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</row>
    <row r="526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</row>
    <row r="527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</row>
    <row r="528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</row>
    <row r="529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</row>
    <row r="530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</row>
    <row r="53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</row>
    <row r="532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</row>
    <row r="533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</row>
    <row r="534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</row>
    <row r="535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</row>
    <row r="536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</row>
    <row r="537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</row>
    <row r="538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</row>
    <row r="539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</row>
    <row r="540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</row>
    <row r="54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</row>
    <row r="542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</row>
    <row r="543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</row>
    <row r="544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</row>
    <row r="545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</row>
    <row r="546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</row>
    <row r="547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</row>
    <row r="548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</row>
    <row r="549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</row>
    <row r="550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</row>
    <row r="55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</row>
    <row r="552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</row>
    <row r="553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</row>
    <row r="554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</row>
    <row r="555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</row>
    <row r="556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</row>
    <row r="557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</row>
    <row r="558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</row>
    <row r="559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</row>
    <row r="560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</row>
    <row r="56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</row>
    <row r="562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</row>
    <row r="563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</row>
    <row r="564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</row>
    <row r="565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</row>
    <row r="566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</row>
    <row r="567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</row>
    <row r="568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</row>
    <row r="569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</row>
    <row r="570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</row>
    <row r="57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</row>
    <row r="572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</row>
    <row r="573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</row>
    <row r="574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</row>
    <row r="575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</row>
    <row r="576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</row>
    <row r="577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</row>
    <row r="578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</row>
    <row r="579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</row>
    <row r="580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</row>
    <row r="58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</row>
    <row r="582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</row>
    <row r="583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</row>
    <row r="584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</row>
    <row r="585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</row>
    <row r="586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</row>
    <row r="587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</row>
    <row r="588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</row>
    <row r="589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</row>
    <row r="590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</row>
    <row r="59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</row>
    <row r="592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</row>
    <row r="593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</row>
    <row r="594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</row>
    <row r="595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</row>
    <row r="596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</row>
    <row r="597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</row>
    <row r="598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</row>
    <row r="599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</row>
    <row r="600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</row>
    <row r="60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</row>
    <row r="602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</row>
    <row r="603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</row>
    <row r="604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</row>
    <row r="605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</row>
    <row r="606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</row>
    <row r="607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</row>
    <row r="608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</row>
    <row r="609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</row>
    <row r="610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</row>
    <row r="61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</row>
    <row r="612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</row>
    <row r="613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</row>
    <row r="614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</row>
    <row r="615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</row>
    <row r="616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</row>
    <row r="617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</row>
    <row r="618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</row>
    <row r="619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</row>
    <row r="620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</row>
    <row r="62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</row>
    <row r="622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</row>
    <row r="623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</row>
    <row r="624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</row>
    <row r="625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</row>
    <row r="626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</row>
    <row r="627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</row>
    <row r="628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</row>
    <row r="629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</row>
    <row r="630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</row>
    <row r="63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</row>
    <row r="632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</row>
    <row r="633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</row>
    <row r="634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</row>
    <row r="635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</row>
    <row r="636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</row>
    <row r="637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</row>
    <row r="638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</row>
    <row r="639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</row>
    <row r="640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</row>
    <row r="64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</row>
    <row r="642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</row>
    <row r="643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</row>
    <row r="644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</row>
    <row r="645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</row>
    <row r="646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</row>
    <row r="647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</row>
    <row r="648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</row>
    <row r="649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</row>
    <row r="650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</row>
    <row r="65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</row>
    <row r="652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</row>
    <row r="653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</row>
    <row r="654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</row>
    <row r="655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</row>
    <row r="656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</row>
    <row r="657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</row>
    <row r="658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</row>
    <row r="659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</row>
    <row r="660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</row>
    <row r="66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</row>
    <row r="662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</row>
    <row r="663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</row>
    <row r="664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</row>
    <row r="665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</row>
    <row r="666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</row>
    <row r="667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</row>
    <row r="668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</row>
    <row r="669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</row>
    <row r="670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</row>
    <row r="67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</row>
    <row r="672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</row>
    <row r="673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</row>
    <row r="674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</row>
    <row r="675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</row>
    <row r="676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</row>
    <row r="677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</row>
    <row r="678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</row>
    <row r="679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</row>
    <row r="680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</row>
    <row r="68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</row>
    <row r="682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</row>
    <row r="683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</row>
    <row r="684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</row>
    <row r="685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</row>
    <row r="686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</row>
    <row r="687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</row>
    <row r="688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</row>
    <row r="689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</row>
    <row r="690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</row>
    <row r="69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</row>
    <row r="692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</row>
    <row r="693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</row>
    <row r="694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</row>
    <row r="695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</row>
    <row r="696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</row>
    <row r="697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</row>
    <row r="698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</row>
    <row r="699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</row>
    <row r="700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</row>
    <row r="70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</row>
    <row r="702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</row>
    <row r="703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</row>
    <row r="704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</row>
    <row r="705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</row>
    <row r="706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</row>
    <row r="707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</row>
    <row r="708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</row>
    <row r="709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</row>
    <row r="710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</row>
    <row r="71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</row>
    <row r="712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</row>
    <row r="713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</row>
    <row r="714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</row>
    <row r="715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</row>
    <row r="716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</row>
    <row r="717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</row>
    <row r="718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</row>
    <row r="719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</row>
    <row r="720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</row>
    <row r="72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</row>
    <row r="722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</row>
    <row r="723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</row>
    <row r="724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</row>
    <row r="725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</row>
    <row r="726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</row>
    <row r="727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</row>
    <row r="728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</row>
    <row r="729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</row>
    <row r="730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</row>
    <row r="73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</row>
    <row r="732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</row>
    <row r="733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</row>
    <row r="734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</row>
    <row r="735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</row>
    <row r="736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</row>
    <row r="737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</row>
    <row r="738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</row>
    <row r="739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</row>
    <row r="740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</row>
    <row r="74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</row>
    <row r="742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</row>
    <row r="743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</row>
    <row r="744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</row>
    <row r="745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</row>
    <row r="746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</row>
    <row r="747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</row>
    <row r="748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</row>
    <row r="749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</row>
    <row r="750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</row>
    <row r="75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</row>
    <row r="752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</row>
    <row r="753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</row>
    <row r="754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</row>
    <row r="755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</row>
    <row r="756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</row>
    <row r="757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</row>
    <row r="758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</row>
    <row r="759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</row>
    <row r="760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</row>
    <row r="76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</row>
    <row r="762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</row>
    <row r="763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</row>
    <row r="764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</row>
    <row r="765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</row>
    <row r="766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</row>
    <row r="767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</row>
    <row r="768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</row>
    <row r="769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</row>
    <row r="770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</row>
    <row r="77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</row>
    <row r="772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</row>
    <row r="773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</row>
    <row r="774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</row>
    <row r="775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</row>
    <row r="776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</row>
    <row r="777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</row>
    <row r="778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</row>
    <row r="779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</row>
    <row r="780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</row>
    <row r="78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</row>
    <row r="782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</row>
    <row r="783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</row>
    <row r="784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</row>
    <row r="785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</row>
    <row r="786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</row>
    <row r="787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</row>
    <row r="788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</row>
    <row r="789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</row>
    <row r="790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</row>
    <row r="79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</row>
    <row r="792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</row>
    <row r="793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</row>
    <row r="794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</row>
    <row r="795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</row>
    <row r="796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</row>
    <row r="797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</row>
    <row r="798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</row>
    <row r="799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</row>
    <row r="800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</row>
    <row r="80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</row>
    <row r="802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</row>
    <row r="803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</row>
    <row r="804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</row>
    <row r="805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</row>
    <row r="806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</row>
    <row r="807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</row>
    <row r="808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</row>
    <row r="809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</row>
    <row r="810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</row>
    <row r="81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</row>
    <row r="812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</row>
    <row r="813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</row>
    <row r="814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</row>
    <row r="815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</row>
    <row r="816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</row>
    <row r="817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</row>
    <row r="818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</row>
    <row r="819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</row>
    <row r="820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</row>
    <row r="82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</row>
    <row r="822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</row>
    <row r="823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</row>
    <row r="824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</row>
    <row r="825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</row>
    <row r="826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</row>
    <row r="827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</row>
    <row r="828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</row>
    <row r="829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</row>
    <row r="830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</row>
    <row r="83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</row>
    <row r="832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</row>
    <row r="833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</row>
    <row r="834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</row>
    <row r="835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</row>
    <row r="836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</row>
    <row r="837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</row>
    <row r="838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</row>
    <row r="839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</row>
    <row r="840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</row>
    <row r="84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</row>
    <row r="842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</row>
    <row r="843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</row>
    <row r="844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</row>
    <row r="845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</row>
    <row r="846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</row>
    <row r="847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</row>
    <row r="848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</row>
    <row r="849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</row>
    <row r="850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</row>
    <row r="85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</row>
    <row r="852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</row>
    <row r="853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</row>
    <row r="854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</row>
    <row r="855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</row>
    <row r="856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</row>
    <row r="857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</row>
    <row r="858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</row>
    <row r="859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</row>
    <row r="860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</row>
    <row r="86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</row>
    <row r="862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</row>
    <row r="863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</row>
    <row r="864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</row>
    <row r="865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</row>
    <row r="866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</row>
    <row r="867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</row>
    <row r="868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</row>
    <row r="869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</row>
    <row r="870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</row>
    <row r="87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</row>
    <row r="872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</row>
    <row r="873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</row>
    <row r="874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</row>
    <row r="875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</row>
    <row r="876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</row>
    <row r="877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</row>
    <row r="878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</row>
    <row r="879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</row>
    <row r="880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</row>
    <row r="88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</row>
    <row r="882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</row>
    <row r="883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</row>
    <row r="884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</row>
    <row r="885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</row>
    <row r="886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</row>
    <row r="887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</row>
    <row r="888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</row>
    <row r="889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</row>
    <row r="890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</row>
    <row r="89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</row>
    <row r="892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</row>
    <row r="893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</row>
    <row r="894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</row>
    <row r="895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</row>
    <row r="896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</row>
    <row r="897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</row>
    <row r="898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</row>
    <row r="899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</row>
    <row r="900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</row>
    <row r="90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</row>
    <row r="902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</row>
    <row r="903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</row>
    <row r="904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</row>
    <row r="905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</row>
    <row r="906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</row>
    <row r="907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</row>
    <row r="908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</row>
    <row r="909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</row>
    <row r="910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</row>
    <row r="91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</row>
    <row r="912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</row>
    <row r="913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</row>
    <row r="914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</row>
    <row r="915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</row>
    <row r="916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</row>
    <row r="917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</row>
    <row r="918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</row>
    <row r="919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</row>
    <row r="920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</row>
    <row r="92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</row>
    <row r="922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</row>
    <row r="923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</row>
    <row r="924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</row>
    <row r="925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</row>
    <row r="926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</row>
    <row r="927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</row>
    <row r="928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</row>
    <row r="929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</row>
    <row r="930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</row>
    <row r="93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</row>
    <row r="932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</row>
    <row r="933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</row>
    <row r="934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</row>
    <row r="935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</row>
    <row r="936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</row>
    <row r="937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</row>
    <row r="938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</row>
    <row r="939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</row>
    <row r="940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</row>
    <row r="94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</row>
    <row r="942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</row>
    <row r="943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</row>
    <row r="944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</row>
    <row r="945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</row>
    <row r="946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</row>
    <row r="947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</row>
    <row r="948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</row>
    <row r="949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</row>
    <row r="950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</row>
    <row r="95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</row>
    <row r="952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</row>
    <row r="953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</row>
    <row r="954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</row>
    <row r="955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</row>
    <row r="956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</row>
    <row r="957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</row>
    <row r="958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</row>
    <row r="959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</row>
    <row r="960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</row>
    <row r="96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</row>
    <row r="962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</row>
    <row r="963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</row>
    <row r="964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</row>
    <row r="965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</row>
    <row r="966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</row>
    <row r="967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</row>
    <row r="968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</row>
    <row r="969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</row>
    <row r="970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</row>
    <row r="97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</row>
    <row r="972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</row>
    <row r="973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</row>
    <row r="974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</row>
    <row r="975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</row>
    <row r="976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</row>
    <row r="977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</row>
    <row r="978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</row>
    <row r="979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</row>
    <row r="980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</row>
    <row r="98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</row>
    <row r="982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</row>
    <row r="983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</row>
    <row r="984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</row>
    <row r="985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</row>
    <row r="986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</row>
    <row r="987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</row>
    <row r="988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</row>
    <row r="989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</row>
    <row r="990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</row>
    <row r="99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</row>
    <row r="992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</row>
    <row r="993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</row>
    <row r="994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</row>
    <row r="995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</row>
    <row r="996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</row>
    <row r="997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</row>
    <row r="998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</row>
    <row r="999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</row>
    <row r="1000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</row>
    <row r="1001">
      <c r="A1001" s="157"/>
      <c r="B1001" s="157"/>
      <c r="C1001" s="157"/>
      <c r="D1001" s="157"/>
      <c r="E1001" s="157"/>
      <c r="F1001" s="157"/>
      <c r="G1001" s="157"/>
      <c r="H1001" s="157"/>
      <c r="I1001" s="157"/>
      <c r="J1001" s="157"/>
      <c r="K1001" s="157"/>
      <c r="L1001" s="157"/>
      <c r="M1001" s="157"/>
      <c r="N1001" s="157"/>
      <c r="O1001" s="157"/>
      <c r="P1001" s="157"/>
      <c r="Q1001" s="157"/>
      <c r="R1001" s="157"/>
      <c r="S1001" s="157"/>
      <c r="T1001" s="157"/>
      <c r="U1001" s="157"/>
      <c r="V1001" s="157"/>
      <c r="W1001" s="157"/>
      <c r="X1001" s="157"/>
      <c r="Y1001" s="157"/>
      <c r="Z1001" s="157"/>
      <c r="AA1001" s="157"/>
      <c r="AB1001" s="157"/>
      <c r="AC1001" s="157"/>
      <c r="AD1001" s="157"/>
    </row>
    <row r="1002">
      <c r="A1002" s="157"/>
      <c r="B1002" s="157"/>
      <c r="C1002" s="157"/>
      <c r="D1002" s="157"/>
      <c r="E1002" s="157"/>
      <c r="F1002" s="157"/>
      <c r="G1002" s="157"/>
      <c r="H1002" s="157"/>
      <c r="I1002" s="157"/>
      <c r="J1002" s="157"/>
      <c r="K1002" s="157"/>
      <c r="L1002" s="157"/>
      <c r="M1002" s="157"/>
      <c r="N1002" s="157"/>
      <c r="O1002" s="157"/>
      <c r="P1002" s="157"/>
      <c r="Q1002" s="157"/>
      <c r="R1002" s="157"/>
      <c r="S1002" s="157"/>
      <c r="T1002" s="157"/>
      <c r="U1002" s="157"/>
      <c r="V1002" s="157"/>
      <c r="W1002" s="157"/>
      <c r="X1002" s="157"/>
      <c r="Y1002" s="157"/>
      <c r="Z1002" s="157"/>
      <c r="AA1002" s="157"/>
      <c r="AB1002" s="157"/>
      <c r="AC1002" s="157"/>
      <c r="AD1002" s="157"/>
    </row>
    <row r="1003">
      <c r="A1003" s="157"/>
      <c r="B1003" s="157"/>
      <c r="C1003" s="157"/>
      <c r="D1003" s="157"/>
      <c r="E1003" s="157"/>
      <c r="F1003" s="157"/>
      <c r="G1003" s="157"/>
      <c r="H1003" s="157"/>
      <c r="I1003" s="157"/>
      <c r="J1003" s="157"/>
      <c r="K1003" s="157"/>
      <c r="L1003" s="157"/>
      <c r="M1003" s="157"/>
      <c r="N1003" s="157"/>
      <c r="O1003" s="157"/>
      <c r="P1003" s="157"/>
      <c r="Q1003" s="157"/>
      <c r="R1003" s="157"/>
      <c r="S1003" s="157"/>
      <c r="T1003" s="157"/>
      <c r="U1003" s="157"/>
      <c r="V1003" s="157"/>
      <c r="W1003" s="157"/>
      <c r="X1003" s="157"/>
      <c r="Y1003" s="157"/>
      <c r="Z1003" s="157"/>
      <c r="AA1003" s="157"/>
      <c r="AB1003" s="157"/>
      <c r="AC1003" s="157"/>
      <c r="AD1003" s="157"/>
    </row>
    <row r="1004">
      <c r="A1004" s="157"/>
      <c r="B1004" s="157"/>
      <c r="C1004" s="157"/>
      <c r="D1004" s="157"/>
      <c r="E1004" s="157"/>
      <c r="F1004" s="157"/>
      <c r="G1004" s="157"/>
      <c r="H1004" s="157"/>
      <c r="I1004" s="157"/>
      <c r="J1004" s="157"/>
      <c r="K1004" s="157"/>
      <c r="L1004" s="157"/>
      <c r="M1004" s="157"/>
      <c r="N1004" s="157"/>
      <c r="O1004" s="157"/>
      <c r="P1004" s="157"/>
      <c r="Q1004" s="157"/>
      <c r="R1004" s="157"/>
      <c r="S1004" s="157"/>
      <c r="T1004" s="157"/>
      <c r="U1004" s="157"/>
      <c r="V1004" s="157"/>
      <c r="W1004" s="157"/>
      <c r="X1004" s="157"/>
      <c r="Y1004" s="157"/>
      <c r="Z1004" s="157"/>
      <c r="AA1004" s="157"/>
      <c r="AB1004" s="157"/>
      <c r="AC1004" s="157"/>
      <c r="AD1004" s="157"/>
    </row>
    <row r="1005">
      <c r="A1005" s="157"/>
      <c r="B1005" s="157"/>
      <c r="C1005" s="157"/>
      <c r="D1005" s="157"/>
      <c r="E1005" s="157"/>
      <c r="F1005" s="157"/>
      <c r="G1005" s="157"/>
      <c r="H1005" s="157"/>
      <c r="I1005" s="157"/>
      <c r="J1005" s="157"/>
      <c r="K1005" s="157"/>
      <c r="L1005" s="157"/>
      <c r="M1005" s="157"/>
      <c r="N1005" s="157"/>
      <c r="O1005" s="157"/>
      <c r="P1005" s="157"/>
      <c r="Q1005" s="157"/>
      <c r="R1005" s="157"/>
      <c r="S1005" s="157"/>
      <c r="T1005" s="157"/>
      <c r="U1005" s="157"/>
      <c r="V1005" s="157"/>
      <c r="W1005" s="157"/>
      <c r="X1005" s="157"/>
      <c r="Y1005" s="157"/>
      <c r="Z1005" s="157"/>
      <c r="AA1005" s="157"/>
      <c r="AB1005" s="157"/>
      <c r="AC1005" s="157"/>
      <c r="AD1005" s="157"/>
    </row>
    <row r="1006">
      <c r="A1006" s="157"/>
      <c r="B1006" s="157"/>
      <c r="C1006" s="157"/>
      <c r="D1006" s="157"/>
      <c r="E1006" s="157"/>
      <c r="F1006" s="157"/>
      <c r="G1006" s="157"/>
      <c r="H1006" s="157"/>
      <c r="I1006" s="157"/>
      <c r="J1006" s="157"/>
      <c r="K1006" s="157"/>
      <c r="L1006" s="157"/>
      <c r="M1006" s="157"/>
      <c r="N1006" s="157"/>
      <c r="O1006" s="157"/>
      <c r="P1006" s="157"/>
      <c r="Q1006" s="157"/>
      <c r="R1006" s="157"/>
      <c r="S1006" s="157"/>
      <c r="T1006" s="157"/>
      <c r="U1006" s="157"/>
      <c r="V1006" s="157"/>
      <c r="W1006" s="157"/>
      <c r="X1006" s="157"/>
      <c r="Y1006" s="157"/>
      <c r="Z1006" s="157"/>
      <c r="AA1006" s="157"/>
      <c r="AB1006" s="157"/>
      <c r="AC1006" s="157"/>
      <c r="AD1006" s="157"/>
    </row>
    <row r="1007">
      <c r="A1007" s="157"/>
      <c r="B1007" s="157"/>
      <c r="C1007" s="157"/>
      <c r="D1007" s="157"/>
      <c r="E1007" s="157"/>
      <c r="F1007" s="157"/>
      <c r="G1007" s="157"/>
      <c r="H1007" s="157"/>
      <c r="I1007" s="157"/>
      <c r="J1007" s="157"/>
      <c r="K1007" s="157"/>
      <c r="L1007" s="157"/>
      <c r="M1007" s="157"/>
      <c r="N1007" s="157"/>
      <c r="O1007" s="157"/>
      <c r="P1007" s="157"/>
      <c r="Q1007" s="157"/>
      <c r="R1007" s="157"/>
      <c r="S1007" s="157"/>
      <c r="T1007" s="157"/>
      <c r="U1007" s="157"/>
      <c r="V1007" s="157"/>
      <c r="W1007" s="157"/>
      <c r="X1007" s="157"/>
      <c r="Y1007" s="157"/>
      <c r="Z1007" s="157"/>
      <c r="AA1007" s="157"/>
      <c r="AB1007" s="157"/>
      <c r="AC1007" s="157"/>
      <c r="AD1007" s="157"/>
    </row>
    <row r="1008">
      <c r="A1008" s="157"/>
      <c r="B1008" s="157"/>
      <c r="C1008" s="157"/>
      <c r="D1008" s="157"/>
      <c r="E1008" s="157"/>
      <c r="F1008" s="157"/>
      <c r="G1008" s="157"/>
      <c r="H1008" s="157"/>
      <c r="I1008" s="157"/>
      <c r="J1008" s="157"/>
      <c r="K1008" s="157"/>
      <c r="L1008" s="157"/>
      <c r="M1008" s="157"/>
      <c r="N1008" s="157"/>
      <c r="O1008" s="157"/>
      <c r="P1008" s="157"/>
      <c r="Q1008" s="157"/>
      <c r="R1008" s="157"/>
      <c r="S1008" s="157"/>
      <c r="T1008" s="157"/>
      <c r="U1008" s="157"/>
      <c r="V1008" s="157"/>
      <c r="W1008" s="157"/>
      <c r="X1008" s="157"/>
      <c r="Y1008" s="157"/>
      <c r="Z1008" s="157"/>
      <c r="AA1008" s="157"/>
      <c r="AB1008" s="157"/>
      <c r="AC1008" s="157"/>
      <c r="AD1008" s="157"/>
    </row>
    <row r="1009">
      <c r="A1009" s="157"/>
      <c r="B1009" s="157"/>
      <c r="C1009" s="157"/>
      <c r="D1009" s="157"/>
      <c r="E1009" s="157"/>
      <c r="F1009" s="157"/>
      <c r="G1009" s="157"/>
      <c r="H1009" s="157"/>
      <c r="I1009" s="157"/>
      <c r="J1009" s="157"/>
      <c r="K1009" s="157"/>
      <c r="L1009" s="157"/>
      <c r="M1009" s="157"/>
      <c r="N1009" s="157"/>
      <c r="O1009" s="157"/>
      <c r="P1009" s="157"/>
      <c r="Q1009" s="157"/>
      <c r="R1009" s="157"/>
      <c r="S1009" s="157"/>
      <c r="T1009" s="157"/>
      <c r="U1009" s="157"/>
      <c r="V1009" s="157"/>
      <c r="W1009" s="157"/>
      <c r="X1009" s="157"/>
      <c r="Y1009" s="157"/>
      <c r="Z1009" s="157"/>
      <c r="AA1009" s="157"/>
      <c r="AB1009" s="157"/>
      <c r="AC1009" s="157"/>
      <c r="AD1009" s="157"/>
    </row>
    <row r="1010">
      <c r="A1010" s="157"/>
      <c r="B1010" s="157"/>
      <c r="C1010" s="157"/>
      <c r="D1010" s="157"/>
      <c r="E1010" s="157"/>
      <c r="F1010" s="157"/>
      <c r="G1010" s="157"/>
      <c r="H1010" s="157"/>
      <c r="I1010" s="157"/>
      <c r="J1010" s="157"/>
      <c r="K1010" s="157"/>
      <c r="L1010" s="157"/>
      <c r="M1010" s="157"/>
      <c r="N1010" s="157"/>
      <c r="O1010" s="157"/>
      <c r="P1010" s="157"/>
      <c r="Q1010" s="157"/>
      <c r="R1010" s="157"/>
      <c r="S1010" s="157"/>
      <c r="T1010" s="157"/>
      <c r="U1010" s="157"/>
      <c r="V1010" s="157"/>
      <c r="W1010" s="157"/>
      <c r="X1010" s="157"/>
      <c r="Y1010" s="157"/>
      <c r="Z1010" s="157"/>
      <c r="AA1010" s="157"/>
      <c r="AB1010" s="157"/>
      <c r="AC1010" s="157"/>
      <c r="AD1010" s="157"/>
    </row>
    <row r="1011">
      <c r="A1011" s="157"/>
      <c r="B1011" s="157"/>
      <c r="C1011" s="157"/>
      <c r="D1011" s="157"/>
      <c r="E1011" s="157"/>
      <c r="F1011" s="157"/>
      <c r="G1011" s="157"/>
      <c r="H1011" s="157"/>
      <c r="I1011" s="157"/>
      <c r="J1011" s="157"/>
      <c r="K1011" s="157"/>
      <c r="L1011" s="157"/>
      <c r="M1011" s="157"/>
      <c r="N1011" s="157"/>
      <c r="O1011" s="157"/>
      <c r="P1011" s="157"/>
      <c r="Q1011" s="157"/>
      <c r="R1011" s="157"/>
      <c r="S1011" s="157"/>
      <c r="T1011" s="157"/>
      <c r="U1011" s="157"/>
      <c r="V1011" s="157"/>
      <c r="W1011" s="157"/>
      <c r="X1011" s="157"/>
      <c r="Y1011" s="157"/>
      <c r="Z1011" s="157"/>
      <c r="AA1011" s="157"/>
      <c r="AB1011" s="157"/>
      <c r="AC1011" s="157"/>
      <c r="AD1011" s="157"/>
    </row>
    <row r="1012">
      <c r="A1012" s="157"/>
      <c r="B1012" s="157"/>
      <c r="C1012" s="157"/>
      <c r="D1012" s="157"/>
      <c r="E1012" s="157"/>
      <c r="F1012" s="157"/>
      <c r="G1012" s="157"/>
      <c r="H1012" s="157"/>
      <c r="I1012" s="157"/>
      <c r="J1012" s="157"/>
      <c r="K1012" s="157"/>
      <c r="L1012" s="157"/>
      <c r="M1012" s="157"/>
      <c r="N1012" s="157"/>
      <c r="O1012" s="157"/>
      <c r="P1012" s="157"/>
      <c r="Q1012" s="157"/>
      <c r="R1012" s="157"/>
      <c r="S1012" s="157"/>
      <c r="T1012" s="157"/>
      <c r="U1012" s="157"/>
      <c r="V1012" s="157"/>
      <c r="W1012" s="157"/>
      <c r="X1012" s="157"/>
      <c r="Y1012" s="157"/>
      <c r="Z1012" s="157"/>
      <c r="AA1012" s="157"/>
      <c r="AB1012" s="157"/>
      <c r="AC1012" s="157"/>
      <c r="AD1012" s="157"/>
    </row>
    <row r="1013">
      <c r="A1013" s="157"/>
      <c r="B1013" s="157"/>
      <c r="C1013" s="157"/>
      <c r="D1013" s="157"/>
      <c r="E1013" s="157"/>
      <c r="F1013" s="157"/>
      <c r="G1013" s="157"/>
      <c r="H1013" s="157"/>
      <c r="I1013" s="157"/>
      <c r="J1013" s="157"/>
      <c r="K1013" s="157"/>
      <c r="L1013" s="157"/>
      <c r="M1013" s="157"/>
      <c r="N1013" s="157"/>
      <c r="O1013" s="157"/>
      <c r="P1013" s="157"/>
      <c r="Q1013" s="157"/>
      <c r="R1013" s="157"/>
      <c r="S1013" s="157"/>
      <c r="T1013" s="157"/>
      <c r="U1013" s="157"/>
      <c r="V1013" s="157"/>
      <c r="W1013" s="157"/>
      <c r="X1013" s="157"/>
      <c r="Y1013" s="157"/>
      <c r="Z1013" s="157"/>
      <c r="AA1013" s="157"/>
      <c r="AB1013" s="157"/>
      <c r="AC1013" s="157"/>
      <c r="AD1013" s="157"/>
    </row>
    <row r="1014">
      <c r="A1014" s="157"/>
      <c r="B1014" s="157"/>
      <c r="C1014" s="157"/>
      <c r="D1014" s="157"/>
      <c r="E1014" s="157"/>
      <c r="F1014" s="157"/>
      <c r="G1014" s="157"/>
      <c r="H1014" s="157"/>
      <c r="I1014" s="157"/>
      <c r="J1014" s="157"/>
      <c r="K1014" s="157"/>
      <c r="L1014" s="157"/>
      <c r="M1014" s="157"/>
      <c r="N1014" s="157"/>
      <c r="O1014" s="157"/>
      <c r="P1014" s="157"/>
      <c r="Q1014" s="157"/>
      <c r="R1014" s="157"/>
      <c r="S1014" s="157"/>
      <c r="T1014" s="157"/>
      <c r="U1014" s="157"/>
      <c r="V1014" s="157"/>
      <c r="W1014" s="157"/>
      <c r="X1014" s="157"/>
      <c r="Y1014" s="157"/>
      <c r="Z1014" s="157"/>
      <c r="AA1014" s="157"/>
      <c r="AB1014" s="157"/>
      <c r="AC1014" s="157"/>
      <c r="AD1014" s="157"/>
    </row>
    <row r="1015">
      <c r="A1015" s="157"/>
      <c r="B1015" s="157"/>
      <c r="C1015" s="157"/>
      <c r="D1015" s="157"/>
      <c r="E1015" s="157"/>
      <c r="F1015" s="157"/>
      <c r="G1015" s="157"/>
      <c r="H1015" s="157"/>
      <c r="I1015" s="157"/>
      <c r="J1015" s="157"/>
      <c r="K1015" s="157"/>
      <c r="L1015" s="157"/>
      <c r="M1015" s="157"/>
      <c r="N1015" s="157"/>
      <c r="O1015" s="157"/>
      <c r="P1015" s="157"/>
      <c r="Q1015" s="157"/>
      <c r="R1015" s="157"/>
      <c r="S1015" s="157"/>
      <c r="T1015" s="157"/>
      <c r="U1015" s="157"/>
      <c r="V1015" s="157"/>
      <c r="W1015" s="157"/>
      <c r="X1015" s="157"/>
      <c r="Y1015" s="157"/>
      <c r="Z1015" s="157"/>
      <c r="AA1015" s="157"/>
      <c r="AB1015" s="157"/>
      <c r="AC1015" s="157"/>
      <c r="AD1015" s="157"/>
    </row>
    <row r="1016">
      <c r="A1016" s="157"/>
      <c r="B1016" s="157"/>
      <c r="C1016" s="157"/>
      <c r="D1016" s="157"/>
      <c r="E1016" s="157"/>
      <c r="F1016" s="157"/>
      <c r="G1016" s="157"/>
      <c r="H1016" s="157"/>
      <c r="I1016" s="157"/>
      <c r="J1016" s="157"/>
      <c r="K1016" s="157"/>
      <c r="L1016" s="157"/>
      <c r="M1016" s="157"/>
      <c r="N1016" s="157"/>
      <c r="O1016" s="157"/>
      <c r="P1016" s="157"/>
      <c r="Q1016" s="157"/>
      <c r="R1016" s="157"/>
      <c r="S1016" s="157"/>
      <c r="T1016" s="157"/>
      <c r="U1016" s="157"/>
      <c r="V1016" s="157"/>
      <c r="W1016" s="157"/>
      <c r="X1016" s="157"/>
      <c r="Y1016" s="157"/>
      <c r="Z1016" s="157"/>
      <c r="AA1016" s="157"/>
      <c r="AB1016" s="157"/>
      <c r="AC1016" s="157"/>
      <c r="AD1016" s="157"/>
    </row>
    <row r="1017">
      <c r="A1017" s="157"/>
      <c r="B1017" s="157"/>
      <c r="C1017" s="157"/>
      <c r="D1017" s="157"/>
      <c r="E1017" s="157"/>
      <c r="F1017" s="157"/>
      <c r="G1017" s="157"/>
      <c r="H1017" s="157"/>
      <c r="I1017" s="157"/>
      <c r="J1017" s="157"/>
      <c r="K1017" s="157"/>
      <c r="L1017" s="157"/>
      <c r="M1017" s="157"/>
      <c r="N1017" s="157"/>
      <c r="O1017" s="157"/>
      <c r="P1017" s="157"/>
      <c r="Q1017" s="157"/>
      <c r="R1017" s="157"/>
      <c r="S1017" s="157"/>
      <c r="T1017" s="157"/>
      <c r="U1017" s="157"/>
      <c r="V1017" s="157"/>
      <c r="W1017" s="157"/>
      <c r="X1017" s="157"/>
      <c r="Y1017" s="157"/>
      <c r="Z1017" s="157"/>
      <c r="AA1017" s="157"/>
      <c r="AB1017" s="157"/>
      <c r="AC1017" s="157"/>
      <c r="AD1017" s="157"/>
    </row>
    <row r="1018">
      <c r="A1018" s="157"/>
      <c r="B1018" s="157"/>
      <c r="C1018" s="157"/>
      <c r="D1018" s="157"/>
      <c r="E1018" s="157"/>
      <c r="F1018" s="157"/>
      <c r="G1018" s="157"/>
      <c r="H1018" s="157"/>
      <c r="I1018" s="157"/>
      <c r="J1018" s="157"/>
      <c r="K1018" s="157"/>
      <c r="L1018" s="157"/>
      <c r="M1018" s="157"/>
      <c r="N1018" s="157"/>
      <c r="O1018" s="157"/>
      <c r="P1018" s="157"/>
      <c r="Q1018" s="157"/>
      <c r="R1018" s="157"/>
      <c r="S1018" s="157"/>
      <c r="T1018" s="157"/>
      <c r="U1018" s="157"/>
      <c r="V1018" s="157"/>
      <c r="W1018" s="157"/>
      <c r="X1018" s="157"/>
      <c r="Y1018" s="157"/>
      <c r="Z1018" s="157"/>
      <c r="AA1018" s="157"/>
      <c r="AB1018" s="157"/>
      <c r="AC1018" s="157"/>
      <c r="AD1018" s="157"/>
    </row>
    <row r="1019">
      <c r="A1019" s="157"/>
      <c r="B1019" s="157"/>
      <c r="C1019" s="157"/>
      <c r="D1019" s="157"/>
      <c r="E1019" s="157"/>
      <c r="F1019" s="157"/>
      <c r="G1019" s="157"/>
      <c r="H1019" s="157"/>
      <c r="I1019" s="157"/>
      <c r="J1019" s="157"/>
      <c r="K1019" s="157"/>
      <c r="L1019" s="157"/>
      <c r="M1019" s="157"/>
      <c r="N1019" s="157"/>
      <c r="O1019" s="157"/>
      <c r="P1019" s="157"/>
      <c r="Q1019" s="157"/>
      <c r="R1019" s="157"/>
      <c r="S1019" s="157"/>
      <c r="T1019" s="157"/>
      <c r="U1019" s="157"/>
      <c r="V1019" s="157"/>
      <c r="W1019" s="157"/>
      <c r="X1019" s="157"/>
      <c r="Y1019" s="157"/>
      <c r="Z1019" s="157"/>
      <c r="AA1019" s="157"/>
      <c r="AB1019" s="157"/>
      <c r="AC1019" s="157"/>
      <c r="AD1019" s="157"/>
    </row>
    <row r="1020">
      <c r="A1020" s="157"/>
      <c r="B1020" s="157"/>
      <c r="C1020" s="157"/>
      <c r="D1020" s="157"/>
      <c r="E1020" s="157"/>
      <c r="F1020" s="157"/>
      <c r="G1020" s="157"/>
      <c r="H1020" s="157"/>
      <c r="I1020" s="157"/>
      <c r="J1020" s="157"/>
      <c r="K1020" s="157"/>
      <c r="L1020" s="157"/>
      <c r="M1020" s="157"/>
      <c r="N1020" s="157"/>
      <c r="O1020" s="157"/>
      <c r="P1020" s="157"/>
      <c r="Q1020" s="157"/>
      <c r="R1020" s="157"/>
      <c r="S1020" s="157"/>
      <c r="T1020" s="157"/>
      <c r="U1020" s="157"/>
      <c r="V1020" s="157"/>
      <c r="W1020" s="157"/>
      <c r="X1020" s="157"/>
      <c r="Y1020" s="157"/>
      <c r="Z1020" s="157"/>
      <c r="AA1020" s="157"/>
      <c r="AB1020" s="157"/>
      <c r="AC1020" s="157"/>
      <c r="AD1020" s="157"/>
    </row>
    <row r="1021">
      <c r="A1021" s="157"/>
      <c r="B1021" s="157"/>
      <c r="C1021" s="157"/>
      <c r="D1021" s="157"/>
      <c r="E1021" s="157"/>
      <c r="F1021" s="157"/>
      <c r="G1021" s="157"/>
      <c r="H1021" s="157"/>
      <c r="I1021" s="157"/>
      <c r="J1021" s="157"/>
      <c r="K1021" s="157"/>
      <c r="L1021" s="157"/>
      <c r="M1021" s="157"/>
      <c r="N1021" s="157"/>
      <c r="O1021" s="157"/>
      <c r="P1021" s="157"/>
      <c r="Q1021" s="157"/>
      <c r="R1021" s="157"/>
      <c r="S1021" s="157"/>
      <c r="T1021" s="157"/>
      <c r="U1021" s="157"/>
      <c r="V1021" s="157"/>
      <c r="W1021" s="157"/>
      <c r="X1021" s="157"/>
      <c r="Y1021" s="157"/>
      <c r="Z1021" s="157"/>
      <c r="AA1021" s="157"/>
      <c r="AB1021" s="157"/>
      <c r="AC1021" s="157"/>
      <c r="AD1021" s="157"/>
    </row>
    <row r="1022">
      <c r="A1022" s="157"/>
      <c r="B1022" s="157"/>
      <c r="C1022" s="157"/>
      <c r="D1022" s="157"/>
      <c r="E1022" s="157"/>
      <c r="F1022" s="157"/>
      <c r="G1022" s="157"/>
      <c r="H1022" s="157"/>
      <c r="I1022" s="157"/>
      <c r="J1022" s="157"/>
      <c r="K1022" s="157"/>
      <c r="L1022" s="157"/>
      <c r="M1022" s="157"/>
      <c r="N1022" s="157"/>
      <c r="O1022" s="157"/>
      <c r="P1022" s="157"/>
      <c r="Q1022" s="157"/>
      <c r="R1022" s="157"/>
      <c r="S1022" s="157"/>
      <c r="T1022" s="157"/>
      <c r="U1022" s="157"/>
      <c r="V1022" s="157"/>
      <c r="W1022" s="157"/>
      <c r="X1022" s="157"/>
      <c r="Y1022" s="157"/>
      <c r="Z1022" s="157"/>
      <c r="AA1022" s="157"/>
      <c r="AB1022" s="157"/>
      <c r="AC1022" s="157"/>
      <c r="AD1022" s="157"/>
    </row>
    <row r="1023">
      <c r="A1023" s="157"/>
      <c r="B1023" s="157"/>
      <c r="C1023" s="157"/>
      <c r="D1023" s="157"/>
      <c r="E1023" s="157"/>
      <c r="F1023" s="157"/>
      <c r="G1023" s="157"/>
      <c r="H1023" s="157"/>
      <c r="I1023" s="157"/>
      <c r="J1023" s="157"/>
      <c r="K1023" s="157"/>
      <c r="L1023" s="157"/>
      <c r="M1023" s="157"/>
      <c r="N1023" s="157"/>
      <c r="O1023" s="157"/>
      <c r="P1023" s="157"/>
      <c r="Q1023" s="157"/>
      <c r="R1023" s="157"/>
      <c r="S1023" s="157"/>
      <c r="T1023" s="157"/>
      <c r="U1023" s="157"/>
      <c r="V1023" s="157"/>
      <c r="W1023" s="157"/>
      <c r="X1023" s="157"/>
      <c r="Y1023" s="157"/>
      <c r="Z1023" s="157"/>
      <c r="AA1023" s="157"/>
      <c r="AB1023" s="157"/>
      <c r="AC1023" s="157"/>
      <c r="AD1023" s="157"/>
    </row>
    <row r="1024">
      <c r="A1024" s="157"/>
      <c r="B1024" s="157"/>
      <c r="C1024" s="157"/>
      <c r="D1024" s="157"/>
      <c r="E1024" s="157"/>
      <c r="F1024" s="157"/>
      <c r="G1024" s="157"/>
      <c r="H1024" s="157"/>
      <c r="I1024" s="157"/>
      <c r="J1024" s="157"/>
      <c r="K1024" s="157"/>
      <c r="L1024" s="157"/>
      <c r="M1024" s="157"/>
      <c r="N1024" s="157"/>
      <c r="O1024" s="157"/>
      <c r="P1024" s="157"/>
      <c r="Q1024" s="157"/>
      <c r="R1024" s="157"/>
      <c r="S1024" s="157"/>
      <c r="T1024" s="157"/>
      <c r="U1024" s="157"/>
      <c r="V1024" s="157"/>
      <c r="W1024" s="157"/>
      <c r="X1024" s="157"/>
      <c r="Y1024" s="157"/>
      <c r="Z1024" s="157"/>
      <c r="AA1024" s="157"/>
      <c r="AB1024" s="157"/>
      <c r="AC1024" s="157"/>
      <c r="AD1024" s="157"/>
    </row>
    <row r="1025">
      <c r="A1025" s="157"/>
      <c r="B1025" s="157"/>
      <c r="C1025" s="157"/>
      <c r="D1025" s="157"/>
      <c r="E1025" s="157"/>
      <c r="F1025" s="157"/>
      <c r="G1025" s="157"/>
      <c r="H1025" s="157"/>
      <c r="I1025" s="157"/>
      <c r="J1025" s="157"/>
      <c r="K1025" s="157"/>
      <c r="L1025" s="157"/>
      <c r="M1025" s="157"/>
      <c r="N1025" s="157"/>
      <c r="O1025" s="157"/>
      <c r="P1025" s="157"/>
      <c r="Q1025" s="157"/>
      <c r="R1025" s="157"/>
      <c r="S1025" s="157"/>
      <c r="T1025" s="157"/>
      <c r="U1025" s="157"/>
      <c r="V1025" s="157"/>
      <c r="W1025" s="157"/>
      <c r="X1025" s="157"/>
      <c r="Y1025" s="157"/>
      <c r="Z1025" s="157"/>
      <c r="AA1025" s="157"/>
      <c r="AB1025" s="157"/>
      <c r="AC1025" s="157"/>
      <c r="AD1025" s="157"/>
    </row>
    <row r="1026">
      <c r="A1026" s="157"/>
      <c r="B1026" s="157"/>
      <c r="C1026" s="157"/>
      <c r="D1026" s="157"/>
      <c r="E1026" s="157"/>
      <c r="F1026" s="157"/>
      <c r="G1026" s="157"/>
      <c r="H1026" s="157"/>
      <c r="I1026" s="157"/>
      <c r="J1026" s="157"/>
      <c r="K1026" s="157"/>
      <c r="L1026" s="157"/>
      <c r="M1026" s="157"/>
      <c r="N1026" s="157"/>
      <c r="O1026" s="157"/>
      <c r="P1026" s="157"/>
      <c r="Q1026" s="157"/>
      <c r="R1026" s="157"/>
      <c r="S1026" s="157"/>
      <c r="T1026" s="157"/>
      <c r="U1026" s="157"/>
      <c r="V1026" s="157"/>
      <c r="W1026" s="157"/>
      <c r="X1026" s="157"/>
      <c r="Y1026" s="157"/>
      <c r="Z1026" s="157"/>
      <c r="AA1026" s="157"/>
      <c r="AB1026" s="157"/>
      <c r="AC1026" s="157"/>
      <c r="AD1026" s="157"/>
    </row>
    <row r="1027">
      <c r="A1027" s="157"/>
      <c r="B1027" s="157"/>
      <c r="C1027" s="157"/>
      <c r="D1027" s="157"/>
      <c r="E1027" s="157"/>
      <c r="F1027" s="157"/>
      <c r="G1027" s="157"/>
      <c r="H1027" s="157"/>
      <c r="I1027" s="157"/>
      <c r="J1027" s="157"/>
      <c r="K1027" s="157"/>
      <c r="L1027" s="157"/>
      <c r="M1027" s="157"/>
      <c r="N1027" s="157"/>
      <c r="O1027" s="157"/>
      <c r="P1027" s="157"/>
      <c r="Q1027" s="157"/>
      <c r="R1027" s="157"/>
      <c r="S1027" s="157"/>
      <c r="T1027" s="157"/>
      <c r="U1027" s="157"/>
      <c r="V1027" s="157"/>
      <c r="W1027" s="157"/>
      <c r="X1027" s="157"/>
      <c r="Y1027" s="157"/>
      <c r="Z1027" s="157"/>
      <c r="AA1027" s="157"/>
      <c r="AB1027" s="157"/>
      <c r="AC1027" s="157"/>
      <c r="AD1027" s="157"/>
    </row>
    <row r="1028">
      <c r="A1028" s="157"/>
      <c r="B1028" s="157"/>
      <c r="C1028" s="157"/>
      <c r="D1028" s="157"/>
      <c r="E1028" s="157"/>
      <c r="F1028" s="157"/>
      <c r="G1028" s="157"/>
      <c r="H1028" s="157"/>
      <c r="I1028" s="157"/>
      <c r="J1028" s="157"/>
      <c r="K1028" s="157"/>
      <c r="L1028" s="157"/>
      <c r="M1028" s="157"/>
      <c r="N1028" s="157"/>
      <c r="O1028" s="157"/>
      <c r="P1028" s="157"/>
      <c r="Q1028" s="157"/>
      <c r="R1028" s="157"/>
      <c r="S1028" s="157"/>
      <c r="T1028" s="157"/>
      <c r="U1028" s="157"/>
      <c r="V1028" s="157"/>
      <c r="W1028" s="157"/>
      <c r="X1028" s="157"/>
      <c r="Y1028" s="157"/>
      <c r="Z1028" s="157"/>
      <c r="AA1028" s="157"/>
      <c r="AB1028" s="157"/>
      <c r="AC1028" s="157"/>
      <c r="AD1028" s="157"/>
    </row>
    <row r="1029">
      <c r="A1029" s="157"/>
      <c r="B1029" s="157"/>
      <c r="C1029" s="157"/>
      <c r="D1029" s="157"/>
      <c r="E1029" s="157"/>
      <c r="F1029" s="157"/>
      <c r="G1029" s="157"/>
      <c r="H1029" s="157"/>
      <c r="I1029" s="157"/>
      <c r="J1029" s="157"/>
      <c r="K1029" s="157"/>
      <c r="L1029" s="157"/>
      <c r="M1029" s="157"/>
      <c r="N1029" s="157"/>
      <c r="O1029" s="157"/>
      <c r="P1029" s="157"/>
      <c r="Q1029" s="157"/>
      <c r="R1029" s="157"/>
      <c r="S1029" s="157"/>
      <c r="T1029" s="157"/>
      <c r="U1029" s="157"/>
      <c r="V1029" s="157"/>
      <c r="W1029" s="157"/>
      <c r="X1029" s="157"/>
      <c r="Y1029" s="157"/>
      <c r="Z1029" s="157"/>
      <c r="AA1029" s="157"/>
      <c r="AB1029" s="157"/>
      <c r="AC1029" s="157"/>
      <c r="AD1029" s="157"/>
    </row>
    <row r="1030">
      <c r="A1030" s="157"/>
      <c r="B1030" s="157"/>
      <c r="C1030" s="157"/>
      <c r="D1030" s="157"/>
      <c r="E1030" s="157"/>
      <c r="F1030" s="157"/>
      <c r="G1030" s="157"/>
      <c r="H1030" s="157"/>
      <c r="I1030" s="157"/>
      <c r="J1030" s="157"/>
      <c r="K1030" s="157"/>
      <c r="L1030" s="157"/>
      <c r="M1030" s="157"/>
      <c r="N1030" s="157"/>
      <c r="O1030" s="157"/>
      <c r="P1030" s="157"/>
      <c r="Q1030" s="157"/>
      <c r="R1030" s="157"/>
      <c r="S1030" s="157"/>
      <c r="T1030" s="157"/>
      <c r="U1030" s="157"/>
      <c r="V1030" s="157"/>
      <c r="W1030" s="157"/>
      <c r="X1030" s="157"/>
      <c r="Y1030" s="157"/>
      <c r="Z1030" s="157"/>
      <c r="AA1030" s="157"/>
      <c r="AB1030" s="157"/>
      <c r="AC1030" s="157"/>
      <c r="AD1030" s="157"/>
    </row>
    <row r="1031">
      <c r="A1031" s="157"/>
      <c r="B1031" s="157"/>
      <c r="C1031" s="157"/>
      <c r="D1031" s="157"/>
      <c r="E1031" s="157"/>
      <c r="F1031" s="157"/>
      <c r="G1031" s="157"/>
      <c r="H1031" s="157"/>
      <c r="I1031" s="157"/>
      <c r="J1031" s="157"/>
      <c r="K1031" s="157"/>
      <c r="L1031" s="157"/>
      <c r="M1031" s="157"/>
      <c r="N1031" s="157"/>
      <c r="O1031" s="157"/>
      <c r="P1031" s="157"/>
      <c r="Q1031" s="157"/>
      <c r="R1031" s="157"/>
      <c r="S1031" s="157"/>
      <c r="T1031" s="157"/>
      <c r="U1031" s="157"/>
      <c r="V1031" s="157"/>
      <c r="W1031" s="157"/>
      <c r="X1031" s="157"/>
      <c r="Y1031" s="157"/>
      <c r="Z1031" s="157"/>
      <c r="AA1031" s="157"/>
      <c r="AB1031" s="157"/>
      <c r="AC1031" s="157"/>
      <c r="AD1031" s="157"/>
    </row>
    <row r="1032">
      <c r="A1032" s="157"/>
      <c r="B1032" s="157"/>
      <c r="C1032" s="157"/>
      <c r="D1032" s="157"/>
      <c r="E1032" s="157"/>
      <c r="F1032" s="157"/>
      <c r="G1032" s="157"/>
      <c r="H1032" s="157"/>
      <c r="I1032" s="157"/>
      <c r="J1032" s="157"/>
      <c r="K1032" s="157"/>
      <c r="L1032" s="157"/>
      <c r="M1032" s="157"/>
      <c r="N1032" s="157"/>
      <c r="O1032" s="157"/>
      <c r="P1032" s="157"/>
      <c r="Q1032" s="157"/>
      <c r="R1032" s="157"/>
      <c r="S1032" s="157"/>
      <c r="T1032" s="157"/>
      <c r="U1032" s="157"/>
      <c r="V1032" s="157"/>
      <c r="W1032" s="157"/>
      <c r="X1032" s="157"/>
      <c r="Y1032" s="157"/>
      <c r="Z1032" s="157"/>
      <c r="AA1032" s="157"/>
      <c r="AB1032" s="157"/>
      <c r="AC1032" s="157"/>
      <c r="AD1032" s="157"/>
    </row>
    <row r="1033">
      <c r="A1033" s="157"/>
      <c r="B1033" s="157"/>
      <c r="C1033" s="157"/>
      <c r="D1033" s="157"/>
      <c r="E1033" s="157"/>
      <c r="F1033" s="157"/>
      <c r="G1033" s="157"/>
      <c r="H1033" s="157"/>
      <c r="I1033" s="157"/>
      <c r="J1033" s="157"/>
      <c r="K1033" s="157"/>
      <c r="L1033" s="157"/>
      <c r="M1033" s="157"/>
      <c r="N1033" s="157"/>
      <c r="O1033" s="157"/>
      <c r="P1033" s="157"/>
      <c r="Q1033" s="157"/>
      <c r="R1033" s="157"/>
      <c r="S1033" s="157"/>
      <c r="T1033" s="157"/>
      <c r="U1033" s="157"/>
      <c r="V1033" s="157"/>
      <c r="W1033" s="157"/>
      <c r="X1033" s="157"/>
      <c r="Y1033" s="157"/>
      <c r="Z1033" s="157"/>
      <c r="AA1033" s="157"/>
      <c r="AB1033" s="157"/>
      <c r="AC1033" s="157"/>
      <c r="AD1033" s="157"/>
    </row>
    <row r="1034">
      <c r="A1034" s="157"/>
      <c r="B1034" s="157"/>
      <c r="C1034" s="157"/>
      <c r="D1034" s="157"/>
      <c r="E1034" s="157"/>
      <c r="F1034" s="157"/>
      <c r="G1034" s="157"/>
      <c r="H1034" s="157"/>
      <c r="I1034" s="157"/>
      <c r="J1034" s="157"/>
      <c r="K1034" s="157"/>
      <c r="L1034" s="157"/>
      <c r="M1034" s="157"/>
      <c r="N1034" s="157"/>
      <c r="O1034" s="157"/>
      <c r="P1034" s="157"/>
      <c r="Q1034" s="157"/>
      <c r="R1034" s="157"/>
      <c r="S1034" s="157"/>
      <c r="T1034" s="157"/>
      <c r="U1034" s="157"/>
      <c r="V1034" s="157"/>
      <c r="W1034" s="157"/>
      <c r="X1034" s="157"/>
      <c r="Y1034" s="157"/>
      <c r="Z1034" s="157"/>
      <c r="AA1034" s="157"/>
      <c r="AB1034" s="157"/>
      <c r="AC1034" s="157"/>
      <c r="AD1034" s="157"/>
    </row>
    <row r="1035">
      <c r="A1035" s="157"/>
      <c r="B1035" s="157"/>
      <c r="C1035" s="157"/>
      <c r="D1035" s="157"/>
      <c r="E1035" s="157"/>
      <c r="F1035" s="157"/>
      <c r="G1035" s="157"/>
      <c r="H1035" s="157"/>
      <c r="I1035" s="157"/>
      <c r="J1035" s="157"/>
      <c r="K1035" s="157"/>
      <c r="L1035" s="157"/>
      <c r="M1035" s="157"/>
      <c r="N1035" s="157"/>
      <c r="O1035" s="157"/>
      <c r="P1035" s="157"/>
      <c r="Q1035" s="157"/>
      <c r="R1035" s="157"/>
      <c r="S1035" s="157"/>
      <c r="T1035" s="157"/>
      <c r="U1035" s="157"/>
      <c r="V1035" s="157"/>
      <c r="W1035" s="157"/>
      <c r="X1035" s="157"/>
      <c r="Y1035" s="157"/>
      <c r="Z1035" s="157"/>
      <c r="AA1035" s="157"/>
      <c r="AB1035" s="157"/>
      <c r="AC1035" s="157"/>
      <c r="AD1035" s="157"/>
    </row>
    <row r="1036">
      <c r="A1036" s="157"/>
      <c r="B1036" s="157"/>
      <c r="C1036" s="157"/>
      <c r="D1036" s="157"/>
      <c r="E1036" s="157"/>
      <c r="F1036" s="157"/>
      <c r="G1036" s="157"/>
      <c r="H1036" s="157"/>
      <c r="I1036" s="157"/>
      <c r="J1036" s="157"/>
      <c r="K1036" s="157"/>
      <c r="L1036" s="157"/>
      <c r="M1036" s="157"/>
      <c r="N1036" s="157"/>
      <c r="O1036" s="157"/>
      <c r="P1036" s="157"/>
      <c r="Q1036" s="157"/>
      <c r="R1036" s="157"/>
      <c r="S1036" s="157"/>
      <c r="T1036" s="157"/>
      <c r="U1036" s="157"/>
      <c r="V1036" s="157"/>
      <c r="W1036" s="157"/>
      <c r="X1036" s="157"/>
      <c r="Y1036" s="157"/>
      <c r="Z1036" s="157"/>
      <c r="AA1036" s="157"/>
      <c r="AB1036" s="157"/>
      <c r="AC1036" s="157"/>
      <c r="AD1036" s="157"/>
    </row>
    <row r="1037">
      <c r="A1037" s="157"/>
      <c r="B1037" s="157"/>
      <c r="C1037" s="157"/>
      <c r="D1037" s="157"/>
      <c r="E1037" s="157"/>
      <c r="F1037" s="157"/>
      <c r="G1037" s="157"/>
      <c r="H1037" s="157"/>
      <c r="I1037" s="157"/>
      <c r="J1037" s="157"/>
      <c r="K1037" s="157"/>
      <c r="L1037" s="157"/>
      <c r="M1037" s="157"/>
      <c r="N1037" s="157"/>
      <c r="O1037" s="157"/>
      <c r="P1037" s="157"/>
      <c r="Q1037" s="157"/>
      <c r="R1037" s="157"/>
      <c r="S1037" s="157"/>
      <c r="T1037" s="157"/>
      <c r="U1037" s="157"/>
      <c r="V1037" s="157"/>
      <c r="W1037" s="157"/>
      <c r="X1037" s="157"/>
      <c r="Y1037" s="157"/>
      <c r="Z1037" s="157"/>
      <c r="AA1037" s="157"/>
      <c r="AB1037" s="157"/>
      <c r="AC1037" s="157"/>
      <c r="AD1037" s="157"/>
    </row>
    <row r="1038">
      <c r="A1038" s="157"/>
      <c r="B1038" s="157"/>
      <c r="C1038" s="157"/>
      <c r="D1038" s="157"/>
      <c r="E1038" s="157"/>
      <c r="F1038" s="157"/>
      <c r="G1038" s="157"/>
      <c r="H1038" s="157"/>
      <c r="I1038" s="157"/>
      <c r="J1038" s="157"/>
      <c r="K1038" s="157"/>
      <c r="L1038" s="157"/>
      <c r="M1038" s="157"/>
      <c r="N1038" s="157"/>
      <c r="O1038" s="157"/>
      <c r="P1038" s="157"/>
      <c r="Q1038" s="157"/>
      <c r="R1038" s="157"/>
      <c r="S1038" s="157"/>
      <c r="T1038" s="157"/>
      <c r="U1038" s="157"/>
      <c r="V1038" s="157"/>
      <c r="W1038" s="157"/>
      <c r="X1038" s="157"/>
      <c r="Y1038" s="157"/>
      <c r="Z1038" s="157"/>
      <c r="AA1038" s="157"/>
      <c r="AB1038" s="157"/>
      <c r="AC1038" s="157"/>
      <c r="AD1038" s="157"/>
    </row>
    <row r="1039">
      <c r="A1039" s="157"/>
      <c r="B1039" s="157"/>
      <c r="C1039" s="157"/>
      <c r="D1039" s="157"/>
      <c r="E1039" s="157"/>
      <c r="F1039" s="157"/>
      <c r="G1039" s="157"/>
      <c r="H1039" s="157"/>
      <c r="I1039" s="157"/>
      <c r="J1039" s="157"/>
      <c r="K1039" s="157"/>
      <c r="L1039" s="157"/>
      <c r="M1039" s="157"/>
      <c r="N1039" s="157"/>
      <c r="O1039" s="157"/>
      <c r="P1039" s="157"/>
      <c r="Q1039" s="157"/>
      <c r="R1039" s="157"/>
      <c r="S1039" s="157"/>
      <c r="T1039" s="157"/>
      <c r="U1039" s="157"/>
      <c r="V1039" s="157"/>
      <c r="W1039" s="157"/>
      <c r="X1039" s="157"/>
      <c r="Y1039" s="157"/>
      <c r="Z1039" s="157"/>
      <c r="AA1039" s="157"/>
      <c r="AB1039" s="157"/>
      <c r="AC1039" s="157"/>
      <c r="AD1039" s="157"/>
    </row>
    <row r="1040">
      <c r="A1040" s="157"/>
      <c r="B1040" s="157"/>
      <c r="C1040" s="157"/>
      <c r="D1040" s="157"/>
      <c r="E1040" s="157"/>
      <c r="F1040" s="157"/>
      <c r="G1040" s="157"/>
      <c r="H1040" s="157"/>
      <c r="I1040" s="157"/>
      <c r="J1040" s="157"/>
      <c r="K1040" s="157"/>
      <c r="L1040" s="157"/>
      <c r="M1040" s="157"/>
      <c r="N1040" s="157"/>
      <c r="O1040" s="157"/>
      <c r="P1040" s="157"/>
      <c r="Q1040" s="157"/>
      <c r="R1040" s="157"/>
      <c r="S1040" s="157"/>
      <c r="T1040" s="157"/>
      <c r="U1040" s="157"/>
      <c r="V1040" s="157"/>
      <c r="W1040" s="157"/>
      <c r="X1040" s="157"/>
      <c r="Y1040" s="157"/>
      <c r="Z1040" s="157"/>
      <c r="AA1040" s="157"/>
      <c r="AB1040" s="157"/>
      <c r="AC1040" s="157"/>
      <c r="AD1040" s="157"/>
    </row>
    <row r="1041">
      <c r="A1041" s="157"/>
      <c r="B1041" s="157"/>
      <c r="C1041" s="157"/>
      <c r="D1041" s="157"/>
      <c r="E1041" s="157"/>
      <c r="F1041" s="157"/>
      <c r="G1041" s="157"/>
      <c r="H1041" s="157"/>
      <c r="I1041" s="157"/>
      <c r="J1041" s="157"/>
      <c r="K1041" s="157"/>
      <c r="L1041" s="157"/>
      <c r="M1041" s="157"/>
      <c r="N1041" s="157"/>
      <c r="O1041" s="157"/>
      <c r="P1041" s="157"/>
      <c r="Q1041" s="157"/>
      <c r="R1041" s="157"/>
      <c r="S1041" s="157"/>
      <c r="T1041" s="157"/>
      <c r="U1041" s="157"/>
      <c r="V1041" s="157"/>
      <c r="W1041" s="157"/>
      <c r="X1041" s="157"/>
      <c r="Y1041" s="157"/>
      <c r="Z1041" s="157"/>
      <c r="AA1041" s="157"/>
      <c r="AB1041" s="157"/>
      <c r="AC1041" s="157"/>
      <c r="AD1041" s="157"/>
    </row>
    <row r="1042">
      <c r="A1042" s="157"/>
      <c r="B1042" s="157"/>
      <c r="C1042" s="157"/>
      <c r="D1042" s="157"/>
      <c r="E1042" s="157"/>
      <c r="F1042" s="157"/>
      <c r="G1042" s="157"/>
      <c r="H1042" s="157"/>
      <c r="I1042" s="157"/>
      <c r="J1042" s="157"/>
      <c r="K1042" s="157"/>
      <c r="L1042" s="157"/>
      <c r="M1042" s="157"/>
      <c r="N1042" s="157"/>
      <c r="O1042" s="157"/>
      <c r="P1042" s="157"/>
      <c r="Q1042" s="157"/>
      <c r="R1042" s="157"/>
      <c r="S1042" s="157"/>
      <c r="T1042" s="157"/>
      <c r="U1042" s="157"/>
      <c r="V1042" s="157"/>
      <c r="W1042" s="157"/>
      <c r="X1042" s="157"/>
      <c r="Y1042" s="157"/>
      <c r="Z1042" s="157"/>
      <c r="AA1042" s="157"/>
      <c r="AB1042" s="157"/>
      <c r="AC1042" s="157"/>
      <c r="AD1042" s="157"/>
    </row>
    <row r="1043">
      <c r="A1043" s="157"/>
      <c r="B1043" s="157"/>
      <c r="C1043" s="157"/>
      <c r="D1043" s="157"/>
      <c r="E1043" s="157"/>
      <c r="F1043" s="157"/>
      <c r="G1043" s="157"/>
      <c r="H1043" s="157"/>
      <c r="I1043" s="157"/>
      <c r="J1043" s="157"/>
      <c r="K1043" s="157"/>
      <c r="L1043" s="157"/>
      <c r="M1043" s="157"/>
      <c r="N1043" s="157"/>
      <c r="O1043" s="157"/>
      <c r="P1043" s="157"/>
      <c r="Q1043" s="157"/>
      <c r="R1043" s="157"/>
      <c r="S1043" s="157"/>
      <c r="T1043" s="157"/>
      <c r="U1043" s="157"/>
      <c r="V1043" s="157"/>
      <c r="W1043" s="157"/>
      <c r="X1043" s="157"/>
      <c r="Y1043" s="157"/>
      <c r="Z1043" s="157"/>
      <c r="AA1043" s="157"/>
      <c r="AB1043" s="157"/>
      <c r="AC1043" s="157"/>
      <c r="AD1043" s="157"/>
    </row>
    <row r="1044">
      <c r="A1044" s="157"/>
      <c r="B1044" s="157"/>
      <c r="C1044" s="157"/>
      <c r="D1044" s="157"/>
      <c r="E1044" s="157"/>
      <c r="F1044" s="157"/>
      <c r="G1044" s="157"/>
      <c r="H1044" s="157"/>
      <c r="I1044" s="157"/>
      <c r="J1044" s="157"/>
      <c r="K1044" s="157"/>
      <c r="L1044" s="157"/>
      <c r="M1044" s="157"/>
      <c r="N1044" s="157"/>
      <c r="O1044" s="157"/>
      <c r="P1044" s="157"/>
      <c r="Q1044" s="157"/>
      <c r="R1044" s="157"/>
      <c r="S1044" s="157"/>
      <c r="T1044" s="157"/>
      <c r="U1044" s="157"/>
      <c r="V1044" s="157"/>
      <c r="W1044" s="157"/>
      <c r="X1044" s="157"/>
      <c r="Y1044" s="157"/>
      <c r="Z1044" s="157"/>
      <c r="AA1044" s="157"/>
      <c r="AB1044" s="157"/>
      <c r="AC1044" s="157"/>
      <c r="AD1044" s="157"/>
    </row>
    <row r="1045">
      <c r="A1045" s="157"/>
      <c r="B1045" s="157"/>
      <c r="C1045" s="157"/>
      <c r="D1045" s="157"/>
      <c r="E1045" s="157"/>
      <c r="F1045" s="157"/>
      <c r="G1045" s="157"/>
      <c r="H1045" s="157"/>
      <c r="I1045" s="157"/>
      <c r="J1045" s="157"/>
      <c r="K1045" s="157"/>
      <c r="L1045" s="157"/>
      <c r="M1045" s="157"/>
      <c r="N1045" s="157"/>
      <c r="O1045" s="157"/>
      <c r="P1045" s="157"/>
      <c r="Q1045" s="157"/>
      <c r="R1045" s="157"/>
      <c r="S1045" s="157"/>
      <c r="T1045" s="157"/>
      <c r="U1045" s="157"/>
      <c r="V1045" s="157"/>
      <c r="W1045" s="157"/>
      <c r="X1045" s="157"/>
      <c r="Y1045" s="157"/>
      <c r="Z1045" s="157"/>
      <c r="AA1045" s="157"/>
      <c r="AB1045" s="157"/>
      <c r="AC1045" s="157"/>
      <c r="AD1045" s="157"/>
    </row>
    <row r="1046">
      <c r="A1046" s="157"/>
      <c r="B1046" s="157"/>
      <c r="C1046" s="157"/>
      <c r="D1046" s="157"/>
      <c r="E1046" s="157"/>
      <c r="F1046" s="157"/>
      <c r="G1046" s="157"/>
      <c r="H1046" s="157"/>
      <c r="I1046" s="157"/>
      <c r="J1046" s="157"/>
      <c r="K1046" s="157"/>
      <c r="L1046" s="157"/>
      <c r="M1046" s="157"/>
      <c r="N1046" s="157"/>
      <c r="O1046" s="157"/>
      <c r="P1046" s="157"/>
      <c r="Q1046" s="157"/>
      <c r="R1046" s="157"/>
      <c r="S1046" s="157"/>
      <c r="T1046" s="157"/>
      <c r="U1046" s="157"/>
      <c r="V1046" s="157"/>
      <c r="W1046" s="157"/>
      <c r="X1046" s="157"/>
      <c r="Y1046" s="157"/>
      <c r="Z1046" s="157"/>
      <c r="AA1046" s="157"/>
      <c r="AB1046" s="157"/>
      <c r="AC1046" s="157"/>
      <c r="AD1046" s="157"/>
    </row>
    <row r="1047">
      <c r="A1047" s="157"/>
      <c r="B1047" s="157"/>
      <c r="C1047" s="157"/>
      <c r="D1047" s="157"/>
      <c r="E1047" s="157"/>
      <c r="F1047" s="157"/>
      <c r="G1047" s="157"/>
      <c r="H1047" s="157"/>
      <c r="I1047" s="157"/>
      <c r="J1047" s="157"/>
      <c r="K1047" s="157"/>
      <c r="L1047" s="157"/>
      <c r="M1047" s="157"/>
      <c r="N1047" s="157"/>
      <c r="O1047" s="157"/>
      <c r="P1047" s="157"/>
      <c r="Q1047" s="157"/>
      <c r="R1047" s="157"/>
      <c r="S1047" s="157"/>
      <c r="T1047" s="157"/>
      <c r="U1047" s="157"/>
      <c r="V1047" s="157"/>
      <c r="W1047" s="157"/>
      <c r="X1047" s="157"/>
      <c r="Y1047" s="157"/>
      <c r="Z1047" s="157"/>
      <c r="AA1047" s="157"/>
      <c r="AB1047" s="157"/>
      <c r="AC1047" s="157"/>
      <c r="AD1047" s="157"/>
    </row>
    <row r="1048">
      <c r="A1048" s="157"/>
      <c r="B1048" s="157"/>
      <c r="C1048" s="157"/>
      <c r="D1048" s="157"/>
      <c r="E1048" s="157"/>
      <c r="F1048" s="157"/>
      <c r="G1048" s="157"/>
      <c r="H1048" s="157"/>
      <c r="I1048" s="157"/>
      <c r="J1048" s="157"/>
      <c r="K1048" s="157"/>
      <c r="L1048" s="157"/>
      <c r="M1048" s="157"/>
      <c r="N1048" s="157"/>
      <c r="O1048" s="157"/>
      <c r="P1048" s="157"/>
      <c r="Q1048" s="157"/>
      <c r="R1048" s="157"/>
      <c r="S1048" s="157"/>
      <c r="T1048" s="157"/>
      <c r="U1048" s="157"/>
      <c r="V1048" s="157"/>
      <c r="W1048" s="157"/>
      <c r="X1048" s="157"/>
      <c r="Y1048" s="157"/>
      <c r="Z1048" s="157"/>
      <c r="AA1048" s="157"/>
      <c r="AB1048" s="157"/>
      <c r="AC1048" s="157"/>
      <c r="AD1048" s="157"/>
    </row>
    <row r="1049">
      <c r="A1049" s="157"/>
      <c r="B1049" s="157"/>
      <c r="C1049" s="157"/>
      <c r="D1049" s="157"/>
      <c r="E1049" s="157"/>
      <c r="F1049" s="157"/>
      <c r="G1049" s="157"/>
      <c r="H1049" s="157"/>
      <c r="I1049" s="157"/>
      <c r="J1049" s="157"/>
      <c r="K1049" s="157"/>
      <c r="L1049" s="157"/>
      <c r="M1049" s="157"/>
      <c r="N1049" s="157"/>
      <c r="O1049" s="157"/>
      <c r="P1049" s="157"/>
      <c r="Q1049" s="157"/>
      <c r="R1049" s="157"/>
      <c r="S1049" s="157"/>
      <c r="T1049" s="157"/>
      <c r="U1049" s="157"/>
      <c r="V1049" s="157"/>
      <c r="W1049" s="157"/>
      <c r="X1049" s="157"/>
      <c r="Y1049" s="157"/>
      <c r="Z1049" s="157"/>
      <c r="AA1049" s="157"/>
      <c r="AB1049" s="157"/>
      <c r="AC1049" s="157"/>
      <c r="AD1049" s="157"/>
    </row>
    <row r="1050">
      <c r="A1050" s="157"/>
      <c r="B1050" s="157"/>
      <c r="C1050" s="157"/>
      <c r="D1050" s="157"/>
      <c r="E1050" s="157"/>
      <c r="F1050" s="157"/>
      <c r="G1050" s="157"/>
      <c r="H1050" s="157"/>
      <c r="I1050" s="157"/>
      <c r="J1050" s="157"/>
      <c r="K1050" s="157"/>
      <c r="L1050" s="157"/>
      <c r="M1050" s="157"/>
      <c r="N1050" s="157"/>
      <c r="O1050" s="157"/>
      <c r="P1050" s="157"/>
      <c r="Q1050" s="157"/>
      <c r="R1050" s="157"/>
      <c r="S1050" s="157"/>
      <c r="T1050" s="157"/>
      <c r="U1050" s="157"/>
      <c r="V1050" s="157"/>
      <c r="W1050" s="157"/>
      <c r="X1050" s="157"/>
      <c r="Y1050" s="157"/>
      <c r="Z1050" s="157"/>
      <c r="AA1050" s="157"/>
      <c r="AB1050" s="157"/>
      <c r="AC1050" s="157"/>
      <c r="AD1050" s="157"/>
    </row>
    <row r="1051">
      <c r="A1051" s="157"/>
      <c r="B1051" s="157"/>
      <c r="C1051" s="157"/>
      <c r="D1051" s="157"/>
      <c r="E1051" s="157"/>
      <c r="F1051" s="157"/>
      <c r="G1051" s="157"/>
      <c r="H1051" s="157"/>
      <c r="I1051" s="157"/>
      <c r="J1051" s="157"/>
      <c r="K1051" s="157"/>
      <c r="L1051" s="157"/>
      <c r="M1051" s="157"/>
      <c r="N1051" s="157"/>
      <c r="O1051" s="157"/>
      <c r="P1051" s="157"/>
      <c r="Q1051" s="157"/>
      <c r="R1051" s="157"/>
      <c r="S1051" s="157"/>
      <c r="T1051" s="157"/>
      <c r="U1051" s="157"/>
      <c r="V1051" s="157"/>
      <c r="W1051" s="157"/>
      <c r="X1051" s="157"/>
      <c r="Y1051" s="157"/>
      <c r="Z1051" s="157"/>
      <c r="AA1051" s="157"/>
      <c r="AB1051" s="157"/>
      <c r="AC1051" s="157"/>
      <c r="AD1051" s="157"/>
    </row>
    <row r="1052">
      <c r="A1052" s="157"/>
      <c r="B1052" s="157"/>
      <c r="C1052" s="157"/>
      <c r="D1052" s="157"/>
      <c r="E1052" s="157"/>
      <c r="F1052" s="157"/>
      <c r="G1052" s="157"/>
      <c r="H1052" s="157"/>
      <c r="I1052" s="157"/>
      <c r="J1052" s="157"/>
      <c r="K1052" s="157"/>
      <c r="L1052" s="157"/>
      <c r="M1052" s="157"/>
      <c r="N1052" s="157"/>
      <c r="O1052" s="157"/>
      <c r="P1052" s="157"/>
      <c r="Q1052" s="157"/>
      <c r="R1052" s="157"/>
      <c r="S1052" s="157"/>
      <c r="T1052" s="157"/>
      <c r="U1052" s="157"/>
      <c r="V1052" s="157"/>
      <c r="W1052" s="157"/>
      <c r="X1052" s="157"/>
      <c r="Y1052" s="157"/>
      <c r="Z1052" s="157"/>
      <c r="AA1052" s="157"/>
      <c r="AB1052" s="157"/>
      <c r="AC1052" s="157"/>
      <c r="AD1052" s="157"/>
    </row>
    <row r="1053">
      <c r="A1053" s="157"/>
      <c r="B1053" s="157"/>
      <c r="C1053" s="157"/>
      <c r="D1053" s="157"/>
      <c r="E1053" s="157"/>
      <c r="F1053" s="157"/>
      <c r="G1053" s="157"/>
      <c r="H1053" s="157"/>
      <c r="I1053" s="157"/>
      <c r="J1053" s="157"/>
      <c r="K1053" s="157"/>
      <c r="L1053" s="157"/>
      <c r="M1053" s="157"/>
      <c r="N1053" s="157"/>
      <c r="O1053" s="157"/>
      <c r="P1053" s="157"/>
      <c r="Q1053" s="157"/>
      <c r="R1053" s="157"/>
      <c r="S1053" s="157"/>
      <c r="T1053" s="157"/>
      <c r="U1053" s="157"/>
      <c r="V1053" s="157"/>
      <c r="W1053" s="157"/>
      <c r="X1053" s="157"/>
      <c r="Y1053" s="157"/>
      <c r="Z1053" s="157"/>
      <c r="AA1053" s="157"/>
      <c r="AB1053" s="157"/>
      <c r="AC1053" s="157"/>
      <c r="AD1053" s="157"/>
    </row>
    <row r="1054">
      <c r="A1054" s="157"/>
      <c r="B1054" s="157"/>
      <c r="C1054" s="157"/>
      <c r="D1054" s="157"/>
      <c r="E1054" s="157"/>
      <c r="F1054" s="157"/>
      <c r="G1054" s="157"/>
      <c r="H1054" s="157"/>
      <c r="I1054" s="157"/>
      <c r="J1054" s="157"/>
      <c r="K1054" s="157"/>
      <c r="L1054" s="157"/>
      <c r="M1054" s="157"/>
      <c r="N1054" s="157"/>
      <c r="O1054" s="157"/>
      <c r="P1054" s="157"/>
      <c r="Q1054" s="157"/>
      <c r="R1054" s="157"/>
      <c r="S1054" s="157"/>
      <c r="T1054" s="157"/>
      <c r="U1054" s="157"/>
      <c r="V1054" s="157"/>
      <c r="W1054" s="157"/>
      <c r="X1054" s="157"/>
      <c r="Y1054" s="157"/>
      <c r="Z1054" s="157"/>
      <c r="AA1054" s="157"/>
      <c r="AB1054" s="157"/>
      <c r="AC1054" s="157"/>
      <c r="AD1054" s="157"/>
    </row>
    <row r="1055">
      <c r="A1055" s="157"/>
      <c r="B1055" s="157"/>
      <c r="C1055" s="157"/>
      <c r="D1055" s="157"/>
      <c r="E1055" s="157"/>
      <c r="F1055" s="157"/>
      <c r="G1055" s="157"/>
      <c r="H1055" s="157"/>
      <c r="I1055" s="157"/>
      <c r="J1055" s="157"/>
      <c r="K1055" s="157"/>
      <c r="L1055" s="157"/>
      <c r="M1055" s="157"/>
      <c r="N1055" s="157"/>
      <c r="O1055" s="157"/>
      <c r="P1055" s="157"/>
      <c r="Q1055" s="157"/>
      <c r="R1055" s="157"/>
      <c r="S1055" s="157"/>
      <c r="T1055" s="157"/>
      <c r="U1055" s="157"/>
      <c r="V1055" s="157"/>
      <c r="W1055" s="157"/>
      <c r="X1055" s="157"/>
      <c r="Y1055" s="157"/>
      <c r="Z1055" s="157"/>
      <c r="AA1055" s="157"/>
      <c r="AB1055" s="157"/>
      <c r="AC1055" s="157"/>
      <c r="AD1055" s="157"/>
    </row>
    <row r="1056">
      <c r="A1056" s="157"/>
      <c r="B1056" s="157"/>
      <c r="C1056" s="157"/>
      <c r="D1056" s="157"/>
      <c r="E1056" s="157"/>
      <c r="F1056" s="157"/>
      <c r="G1056" s="157"/>
      <c r="H1056" s="157"/>
      <c r="I1056" s="157"/>
      <c r="J1056" s="157"/>
      <c r="K1056" s="157"/>
      <c r="L1056" s="157"/>
      <c r="M1056" s="157"/>
      <c r="N1056" s="157"/>
      <c r="O1056" s="157"/>
      <c r="P1056" s="157"/>
      <c r="Q1056" s="157"/>
      <c r="R1056" s="157"/>
      <c r="S1056" s="157"/>
      <c r="T1056" s="157"/>
      <c r="U1056" s="157"/>
      <c r="V1056" s="157"/>
      <c r="W1056" s="157"/>
      <c r="X1056" s="157"/>
      <c r="Y1056" s="157"/>
      <c r="Z1056" s="157"/>
      <c r="AA1056" s="157"/>
      <c r="AB1056" s="157"/>
      <c r="AC1056" s="157"/>
      <c r="AD1056" s="157"/>
    </row>
    <row r="1057">
      <c r="A1057" s="157"/>
      <c r="B1057" s="157"/>
      <c r="C1057" s="157"/>
      <c r="D1057" s="157"/>
      <c r="E1057" s="157"/>
      <c r="F1057" s="157"/>
      <c r="G1057" s="157"/>
      <c r="H1057" s="157"/>
      <c r="I1057" s="157"/>
      <c r="J1057" s="157"/>
      <c r="K1057" s="157"/>
      <c r="L1057" s="157"/>
      <c r="M1057" s="157"/>
      <c r="N1057" s="157"/>
      <c r="O1057" s="157"/>
      <c r="P1057" s="157"/>
      <c r="Q1057" s="157"/>
      <c r="R1057" s="157"/>
      <c r="S1057" s="157"/>
      <c r="T1057" s="157"/>
      <c r="U1057" s="157"/>
      <c r="V1057" s="157"/>
      <c r="W1057" s="157"/>
      <c r="X1057" s="157"/>
      <c r="Y1057" s="157"/>
      <c r="Z1057" s="157"/>
      <c r="AA1057" s="157"/>
      <c r="AB1057" s="157"/>
      <c r="AC1057" s="157"/>
      <c r="AD1057" s="157"/>
    </row>
    <row r="1058">
      <c r="A1058" s="157"/>
      <c r="B1058" s="157"/>
      <c r="C1058" s="157"/>
      <c r="D1058" s="157"/>
      <c r="E1058" s="157"/>
      <c r="F1058" s="157"/>
      <c r="G1058" s="157"/>
      <c r="H1058" s="157"/>
      <c r="I1058" s="157"/>
      <c r="J1058" s="157"/>
      <c r="K1058" s="157"/>
      <c r="L1058" s="157"/>
      <c r="M1058" s="157"/>
      <c r="N1058" s="157"/>
      <c r="O1058" s="157"/>
      <c r="P1058" s="157"/>
      <c r="Q1058" s="157"/>
      <c r="R1058" s="157"/>
      <c r="S1058" s="157"/>
      <c r="T1058" s="157"/>
      <c r="U1058" s="157"/>
      <c r="V1058" s="157"/>
      <c r="W1058" s="157"/>
      <c r="X1058" s="157"/>
      <c r="Y1058" s="157"/>
      <c r="Z1058" s="157"/>
      <c r="AA1058" s="157"/>
      <c r="AB1058" s="157"/>
      <c r="AC1058" s="157"/>
      <c r="AD1058" s="157"/>
    </row>
    <row r="1059">
      <c r="A1059" s="157"/>
      <c r="B1059" s="157"/>
      <c r="C1059" s="157"/>
      <c r="D1059" s="157"/>
      <c r="E1059" s="157"/>
      <c r="F1059" s="157"/>
      <c r="G1059" s="157"/>
      <c r="H1059" s="157"/>
      <c r="I1059" s="157"/>
      <c r="J1059" s="157"/>
      <c r="K1059" s="157"/>
      <c r="L1059" s="157"/>
      <c r="M1059" s="157"/>
      <c r="N1059" s="157"/>
      <c r="O1059" s="157"/>
      <c r="P1059" s="157"/>
      <c r="Q1059" s="157"/>
      <c r="R1059" s="157"/>
      <c r="S1059" s="157"/>
      <c r="T1059" s="157"/>
      <c r="U1059" s="157"/>
      <c r="V1059" s="157"/>
      <c r="W1059" s="157"/>
      <c r="X1059" s="157"/>
      <c r="Y1059" s="157"/>
      <c r="Z1059" s="157"/>
      <c r="AA1059" s="157"/>
      <c r="AB1059" s="157"/>
      <c r="AC1059" s="157"/>
      <c r="AD1059" s="157"/>
    </row>
    <row r="1060">
      <c r="A1060" s="157"/>
      <c r="B1060" s="157"/>
      <c r="C1060" s="157"/>
      <c r="D1060" s="157"/>
      <c r="E1060" s="157"/>
      <c r="F1060" s="157"/>
      <c r="G1060" s="157"/>
      <c r="H1060" s="157"/>
      <c r="I1060" s="157"/>
      <c r="J1060" s="157"/>
      <c r="K1060" s="157"/>
      <c r="L1060" s="157"/>
      <c r="M1060" s="157"/>
      <c r="N1060" s="157"/>
      <c r="O1060" s="157"/>
      <c r="P1060" s="157"/>
      <c r="Q1060" s="157"/>
      <c r="R1060" s="157"/>
      <c r="S1060" s="157"/>
      <c r="T1060" s="157"/>
      <c r="U1060" s="157"/>
      <c r="V1060" s="157"/>
      <c r="W1060" s="157"/>
      <c r="X1060" s="157"/>
      <c r="Y1060" s="157"/>
      <c r="Z1060" s="157"/>
      <c r="AA1060" s="157"/>
      <c r="AB1060" s="157"/>
      <c r="AC1060" s="157"/>
      <c r="AD1060" s="157"/>
    </row>
    <row r="1061">
      <c r="A1061" s="157"/>
      <c r="B1061" s="157"/>
      <c r="C1061" s="157"/>
      <c r="D1061" s="157"/>
      <c r="E1061" s="157"/>
      <c r="F1061" s="157"/>
      <c r="G1061" s="157"/>
      <c r="H1061" s="157"/>
      <c r="I1061" s="157"/>
      <c r="J1061" s="157"/>
      <c r="K1061" s="157"/>
      <c r="L1061" s="157"/>
      <c r="M1061" s="157"/>
      <c r="N1061" s="157"/>
      <c r="O1061" s="157"/>
      <c r="P1061" s="157"/>
      <c r="Q1061" s="157"/>
      <c r="R1061" s="157"/>
      <c r="S1061" s="157"/>
      <c r="T1061" s="157"/>
      <c r="U1061" s="157"/>
      <c r="V1061" s="157"/>
      <c r="W1061" s="157"/>
      <c r="X1061" s="157"/>
      <c r="Y1061" s="157"/>
      <c r="Z1061" s="157"/>
      <c r="AA1061" s="157"/>
      <c r="AB1061" s="157"/>
      <c r="AC1061" s="157"/>
      <c r="AD1061" s="157"/>
    </row>
    <row r="1062">
      <c r="A1062" s="157"/>
      <c r="B1062" s="157"/>
      <c r="C1062" s="157"/>
      <c r="D1062" s="157"/>
      <c r="E1062" s="157"/>
      <c r="F1062" s="157"/>
      <c r="G1062" s="157"/>
      <c r="H1062" s="157"/>
      <c r="I1062" s="157"/>
      <c r="J1062" s="157"/>
      <c r="K1062" s="157"/>
      <c r="L1062" s="157"/>
      <c r="M1062" s="157"/>
      <c r="N1062" s="157"/>
      <c r="O1062" s="157"/>
      <c r="P1062" s="157"/>
      <c r="Q1062" s="157"/>
      <c r="R1062" s="157"/>
      <c r="S1062" s="157"/>
      <c r="T1062" s="157"/>
      <c r="U1062" s="157"/>
      <c r="V1062" s="157"/>
      <c r="W1062" s="157"/>
      <c r="X1062" s="157"/>
      <c r="Y1062" s="157"/>
      <c r="Z1062" s="157"/>
      <c r="AA1062" s="157"/>
      <c r="AB1062" s="157"/>
      <c r="AC1062" s="157"/>
      <c r="AD1062" s="157"/>
    </row>
    <row r="1063">
      <c r="A1063" s="157"/>
      <c r="B1063" s="157"/>
      <c r="C1063" s="157"/>
      <c r="D1063" s="157"/>
      <c r="E1063" s="157"/>
      <c r="F1063" s="157"/>
      <c r="G1063" s="157"/>
      <c r="H1063" s="157"/>
      <c r="I1063" s="157"/>
      <c r="J1063" s="157"/>
      <c r="K1063" s="157"/>
      <c r="L1063" s="157"/>
      <c r="M1063" s="157"/>
      <c r="N1063" s="157"/>
      <c r="O1063" s="157"/>
      <c r="P1063" s="157"/>
      <c r="Q1063" s="157"/>
      <c r="R1063" s="157"/>
      <c r="S1063" s="157"/>
      <c r="T1063" s="157"/>
      <c r="U1063" s="157"/>
      <c r="V1063" s="157"/>
      <c r="W1063" s="157"/>
      <c r="X1063" s="157"/>
      <c r="Y1063" s="157"/>
      <c r="Z1063" s="157"/>
      <c r="AA1063" s="157"/>
      <c r="AB1063" s="157"/>
      <c r="AC1063" s="157"/>
      <c r="AD1063" s="157"/>
    </row>
    <row r="1064">
      <c r="A1064" s="157"/>
      <c r="B1064" s="157"/>
      <c r="C1064" s="157"/>
      <c r="D1064" s="157"/>
      <c r="E1064" s="157"/>
      <c r="F1064" s="157"/>
      <c r="G1064" s="157"/>
      <c r="H1064" s="157"/>
      <c r="I1064" s="157"/>
      <c r="J1064" s="157"/>
      <c r="K1064" s="157"/>
      <c r="L1064" s="157"/>
      <c r="M1064" s="157"/>
      <c r="N1064" s="157"/>
      <c r="O1064" s="157"/>
      <c r="P1064" s="157"/>
      <c r="Q1064" s="157"/>
      <c r="R1064" s="157"/>
      <c r="S1064" s="157"/>
      <c r="T1064" s="157"/>
      <c r="U1064" s="157"/>
      <c r="V1064" s="157"/>
      <c r="W1064" s="157"/>
      <c r="X1064" s="157"/>
      <c r="Y1064" s="157"/>
      <c r="Z1064" s="157"/>
      <c r="AA1064" s="157"/>
      <c r="AB1064" s="157"/>
      <c r="AC1064" s="157"/>
      <c r="AD1064" s="157"/>
    </row>
    <row r="1065">
      <c r="A1065" s="157"/>
      <c r="B1065" s="157"/>
      <c r="C1065" s="157"/>
      <c r="D1065" s="157"/>
      <c r="E1065" s="157"/>
      <c r="F1065" s="157"/>
      <c r="G1065" s="157"/>
      <c r="H1065" s="157"/>
      <c r="I1065" s="157"/>
      <c r="J1065" s="157"/>
      <c r="K1065" s="157"/>
      <c r="L1065" s="157"/>
      <c r="M1065" s="157"/>
      <c r="N1065" s="157"/>
      <c r="O1065" s="157"/>
      <c r="P1065" s="157"/>
      <c r="Q1065" s="157"/>
      <c r="R1065" s="157"/>
      <c r="S1065" s="157"/>
      <c r="T1065" s="157"/>
      <c r="U1065" s="157"/>
      <c r="V1065" s="157"/>
      <c r="W1065" s="157"/>
      <c r="X1065" s="157"/>
      <c r="Y1065" s="157"/>
      <c r="Z1065" s="157"/>
      <c r="AA1065" s="157"/>
      <c r="AB1065" s="157"/>
      <c r="AC1065" s="157"/>
      <c r="AD1065" s="157"/>
    </row>
    <row r="1066">
      <c r="A1066" s="157"/>
      <c r="B1066" s="157"/>
      <c r="C1066" s="157"/>
      <c r="D1066" s="157"/>
      <c r="E1066" s="157"/>
      <c r="F1066" s="157"/>
      <c r="G1066" s="157"/>
      <c r="H1066" s="157"/>
      <c r="I1066" s="157"/>
      <c r="J1066" s="157"/>
      <c r="K1066" s="157"/>
      <c r="L1066" s="157"/>
      <c r="M1066" s="157"/>
      <c r="N1066" s="157"/>
      <c r="O1066" s="157"/>
      <c r="P1066" s="157"/>
      <c r="Q1066" s="157"/>
      <c r="R1066" s="157"/>
      <c r="S1066" s="157"/>
      <c r="T1066" s="157"/>
      <c r="U1066" s="157"/>
      <c r="V1066" s="157"/>
      <c r="W1066" s="157"/>
      <c r="X1066" s="157"/>
      <c r="Y1066" s="157"/>
      <c r="Z1066" s="157"/>
      <c r="AA1066" s="157"/>
      <c r="AB1066" s="157"/>
      <c r="AC1066" s="157"/>
      <c r="AD1066" s="157"/>
    </row>
    <row r="1067">
      <c r="A1067" s="157"/>
      <c r="B1067" s="157"/>
      <c r="C1067" s="157"/>
      <c r="D1067" s="157"/>
      <c r="E1067" s="157"/>
      <c r="F1067" s="157"/>
      <c r="G1067" s="157"/>
      <c r="H1067" s="157"/>
      <c r="I1067" s="157"/>
      <c r="J1067" s="157"/>
      <c r="K1067" s="157"/>
      <c r="L1067" s="157"/>
      <c r="M1067" s="157"/>
      <c r="N1067" s="157"/>
      <c r="O1067" s="157"/>
      <c r="P1067" s="157"/>
      <c r="Q1067" s="157"/>
      <c r="R1067" s="157"/>
      <c r="S1067" s="157"/>
      <c r="T1067" s="157"/>
      <c r="U1067" s="157"/>
      <c r="V1067" s="157"/>
      <c r="W1067" s="157"/>
      <c r="X1067" s="157"/>
      <c r="Y1067" s="157"/>
      <c r="Z1067" s="157"/>
      <c r="AA1067" s="157"/>
      <c r="AB1067" s="157"/>
      <c r="AC1067" s="157"/>
      <c r="AD1067" s="157"/>
    </row>
    <row r="1068">
      <c r="A1068" s="157"/>
      <c r="B1068" s="157"/>
      <c r="C1068" s="157"/>
      <c r="D1068" s="157"/>
      <c r="E1068" s="157"/>
      <c r="F1068" s="157"/>
      <c r="G1068" s="157"/>
      <c r="H1068" s="157"/>
      <c r="I1068" s="157"/>
      <c r="J1068" s="157"/>
      <c r="K1068" s="157"/>
      <c r="L1068" s="157"/>
      <c r="M1068" s="157"/>
      <c r="N1068" s="157"/>
      <c r="O1068" s="157"/>
      <c r="P1068" s="157"/>
      <c r="Q1068" s="157"/>
      <c r="R1068" s="157"/>
      <c r="S1068" s="157"/>
      <c r="T1068" s="157"/>
      <c r="U1068" s="157"/>
      <c r="V1068" s="157"/>
      <c r="W1068" s="157"/>
      <c r="X1068" s="157"/>
      <c r="Y1068" s="157"/>
      <c r="Z1068" s="157"/>
      <c r="AA1068" s="157"/>
      <c r="AB1068" s="157"/>
      <c r="AC1068" s="157"/>
      <c r="AD1068" s="157"/>
    </row>
    <row r="1069">
      <c r="A1069" s="157"/>
      <c r="B1069" s="157"/>
      <c r="C1069" s="157"/>
      <c r="D1069" s="157"/>
      <c r="E1069" s="157"/>
      <c r="F1069" s="157"/>
      <c r="G1069" s="157"/>
      <c r="H1069" s="157"/>
      <c r="I1069" s="157"/>
      <c r="J1069" s="157"/>
      <c r="K1069" s="157"/>
      <c r="L1069" s="157"/>
      <c r="M1069" s="157"/>
      <c r="N1069" s="157"/>
      <c r="O1069" s="157"/>
      <c r="P1069" s="157"/>
      <c r="Q1069" s="157"/>
      <c r="R1069" s="157"/>
      <c r="S1069" s="157"/>
      <c r="T1069" s="157"/>
      <c r="U1069" s="157"/>
      <c r="V1069" s="157"/>
      <c r="W1069" s="157"/>
      <c r="X1069" s="157"/>
      <c r="Y1069" s="157"/>
      <c r="Z1069" s="157"/>
      <c r="AA1069" s="157"/>
      <c r="AB1069" s="157"/>
      <c r="AC1069" s="157"/>
      <c r="AD1069" s="157"/>
    </row>
    <row r="1070">
      <c r="A1070" s="157"/>
      <c r="B1070" s="157"/>
      <c r="C1070" s="157"/>
      <c r="D1070" s="157"/>
      <c r="E1070" s="157"/>
      <c r="F1070" s="157"/>
      <c r="G1070" s="157"/>
      <c r="H1070" s="157"/>
      <c r="I1070" s="157"/>
      <c r="J1070" s="157"/>
      <c r="K1070" s="157"/>
      <c r="L1070" s="157"/>
      <c r="M1070" s="157"/>
      <c r="N1070" s="157"/>
      <c r="O1070" s="157"/>
      <c r="P1070" s="157"/>
      <c r="Q1070" s="157"/>
      <c r="R1070" s="157"/>
      <c r="S1070" s="157"/>
      <c r="T1070" s="157"/>
      <c r="U1070" s="157"/>
      <c r="V1070" s="157"/>
      <c r="W1070" s="157"/>
      <c r="X1070" s="157"/>
      <c r="Y1070" s="157"/>
      <c r="Z1070" s="157"/>
      <c r="AA1070" s="157"/>
      <c r="AB1070" s="157"/>
      <c r="AC1070" s="157"/>
      <c r="AD1070" s="157"/>
    </row>
    <row r="1071">
      <c r="A1071" s="157"/>
      <c r="B1071" s="157"/>
      <c r="C1071" s="157"/>
      <c r="D1071" s="157"/>
      <c r="E1071" s="157"/>
      <c r="F1071" s="157"/>
      <c r="G1071" s="157"/>
      <c r="H1071" s="157"/>
      <c r="I1071" s="157"/>
      <c r="J1071" s="157"/>
      <c r="K1071" s="157"/>
      <c r="L1071" s="157"/>
      <c r="M1071" s="157"/>
      <c r="N1071" s="157"/>
      <c r="O1071" s="157"/>
      <c r="P1071" s="157"/>
      <c r="Q1071" s="157"/>
      <c r="R1071" s="157"/>
      <c r="S1071" s="157"/>
      <c r="T1071" s="157"/>
      <c r="U1071" s="157"/>
      <c r="V1071" s="157"/>
      <c r="W1071" s="157"/>
      <c r="X1071" s="157"/>
      <c r="Y1071" s="157"/>
      <c r="Z1071" s="157"/>
      <c r="AA1071" s="157"/>
      <c r="AB1071" s="157"/>
      <c r="AC1071" s="157"/>
      <c r="AD1071" s="157"/>
    </row>
    <row r="1072">
      <c r="A1072" s="157"/>
      <c r="B1072" s="157"/>
      <c r="C1072" s="157"/>
      <c r="D1072" s="157"/>
      <c r="E1072" s="157"/>
      <c r="F1072" s="157"/>
      <c r="G1072" s="157"/>
      <c r="H1072" s="157"/>
      <c r="I1072" s="157"/>
      <c r="J1072" s="157"/>
      <c r="K1072" s="157"/>
      <c r="L1072" s="157"/>
      <c r="M1072" s="157"/>
      <c r="N1072" s="157"/>
      <c r="O1072" s="157"/>
      <c r="P1072" s="157"/>
      <c r="Q1072" s="157"/>
      <c r="R1072" s="157"/>
      <c r="S1072" s="157"/>
      <c r="T1072" s="157"/>
      <c r="U1072" s="157"/>
      <c r="V1072" s="157"/>
      <c r="W1072" s="157"/>
      <c r="X1072" s="157"/>
      <c r="Y1072" s="157"/>
      <c r="Z1072" s="157"/>
      <c r="AA1072" s="157"/>
      <c r="AB1072" s="157"/>
      <c r="AC1072" s="157"/>
      <c r="AD1072" s="157"/>
    </row>
    <row r="1073">
      <c r="A1073" s="157"/>
      <c r="B1073" s="157"/>
      <c r="C1073" s="157"/>
      <c r="D1073" s="157"/>
      <c r="E1073" s="157"/>
      <c r="F1073" s="157"/>
      <c r="G1073" s="157"/>
      <c r="H1073" s="157"/>
      <c r="I1073" s="157"/>
      <c r="J1073" s="157"/>
      <c r="K1073" s="157"/>
      <c r="L1073" s="157"/>
      <c r="M1073" s="157"/>
      <c r="N1073" s="157"/>
      <c r="O1073" s="157"/>
      <c r="P1073" s="157"/>
      <c r="Q1073" s="157"/>
      <c r="R1073" s="157"/>
      <c r="S1073" s="157"/>
      <c r="T1073" s="157"/>
      <c r="U1073" s="157"/>
      <c r="V1073" s="157"/>
      <c r="W1073" s="157"/>
      <c r="X1073" s="157"/>
      <c r="Y1073" s="157"/>
      <c r="Z1073" s="157"/>
      <c r="AA1073" s="157"/>
      <c r="AB1073" s="157"/>
      <c r="AC1073" s="157"/>
      <c r="AD1073" s="157"/>
    </row>
    <row r="1074">
      <c r="A1074" s="157"/>
      <c r="B1074" s="157"/>
      <c r="C1074" s="157"/>
      <c r="D1074" s="157"/>
      <c r="E1074" s="157"/>
      <c r="F1074" s="157"/>
      <c r="G1074" s="157"/>
      <c r="H1074" s="157"/>
      <c r="I1074" s="157"/>
      <c r="J1074" s="157"/>
      <c r="K1074" s="157"/>
      <c r="L1074" s="157"/>
      <c r="M1074" s="157"/>
      <c r="N1074" s="157"/>
      <c r="O1074" s="157"/>
      <c r="P1074" s="157"/>
      <c r="Q1074" s="157"/>
      <c r="R1074" s="157"/>
      <c r="S1074" s="157"/>
      <c r="T1074" s="157"/>
      <c r="U1074" s="157"/>
      <c r="V1074" s="157"/>
      <c r="W1074" s="157"/>
      <c r="X1074" s="157"/>
      <c r="Y1074" s="157"/>
      <c r="Z1074" s="157"/>
      <c r="AA1074" s="157"/>
      <c r="AB1074" s="157"/>
      <c r="AC1074" s="157"/>
      <c r="AD1074" s="157"/>
    </row>
    <row r="1075">
      <c r="A1075" s="157"/>
      <c r="B1075" s="157"/>
      <c r="C1075" s="157"/>
      <c r="D1075" s="157"/>
      <c r="E1075" s="157"/>
      <c r="F1075" s="157"/>
      <c r="G1075" s="157"/>
      <c r="H1075" s="157"/>
      <c r="I1075" s="157"/>
      <c r="J1075" s="157"/>
      <c r="K1075" s="157"/>
      <c r="L1075" s="157"/>
      <c r="M1075" s="157"/>
      <c r="N1075" s="157"/>
      <c r="O1075" s="157"/>
      <c r="P1075" s="157"/>
      <c r="Q1075" s="157"/>
      <c r="R1075" s="157"/>
      <c r="S1075" s="157"/>
      <c r="T1075" s="157"/>
      <c r="U1075" s="157"/>
      <c r="V1075" s="157"/>
      <c r="W1075" s="157"/>
      <c r="X1075" s="157"/>
      <c r="Y1075" s="157"/>
      <c r="Z1075" s="157"/>
      <c r="AA1075" s="157"/>
      <c r="AB1075" s="157"/>
      <c r="AC1075" s="157"/>
      <c r="AD1075" s="157"/>
    </row>
    <row r="1076">
      <c r="A1076" s="157"/>
      <c r="B1076" s="157"/>
      <c r="C1076" s="157"/>
      <c r="D1076" s="157"/>
      <c r="E1076" s="157"/>
      <c r="F1076" s="157"/>
      <c r="G1076" s="157"/>
      <c r="H1076" s="157"/>
      <c r="I1076" s="157"/>
      <c r="J1076" s="157"/>
      <c r="K1076" s="157"/>
      <c r="L1076" s="157"/>
      <c r="M1076" s="157"/>
      <c r="N1076" s="157"/>
      <c r="O1076" s="157"/>
      <c r="P1076" s="157"/>
      <c r="Q1076" s="157"/>
      <c r="R1076" s="157"/>
      <c r="S1076" s="157"/>
      <c r="T1076" s="157"/>
      <c r="U1076" s="157"/>
      <c r="V1076" s="157"/>
      <c r="W1076" s="157"/>
      <c r="X1076" s="157"/>
      <c r="Y1076" s="157"/>
      <c r="Z1076" s="157"/>
      <c r="AA1076" s="157"/>
      <c r="AB1076" s="157"/>
      <c r="AC1076" s="157"/>
      <c r="AD1076" s="157"/>
    </row>
    <row r="1077">
      <c r="A1077" s="157"/>
      <c r="B1077" s="157"/>
      <c r="C1077" s="157"/>
      <c r="D1077" s="157"/>
      <c r="E1077" s="157"/>
      <c r="F1077" s="157"/>
      <c r="G1077" s="157"/>
      <c r="H1077" s="157"/>
      <c r="I1077" s="157"/>
      <c r="J1077" s="157"/>
      <c r="K1077" s="157"/>
      <c r="L1077" s="157"/>
      <c r="M1077" s="157"/>
      <c r="N1077" s="157"/>
      <c r="O1077" s="157"/>
      <c r="P1077" s="157"/>
      <c r="Q1077" s="157"/>
      <c r="R1077" s="157"/>
      <c r="S1077" s="157"/>
      <c r="T1077" s="157"/>
      <c r="U1077" s="157"/>
      <c r="V1077" s="157"/>
      <c r="W1077" s="157"/>
      <c r="X1077" s="157"/>
      <c r="Y1077" s="157"/>
      <c r="Z1077" s="157"/>
      <c r="AA1077" s="157"/>
      <c r="AB1077" s="157"/>
      <c r="AC1077" s="157"/>
      <c r="AD1077" s="157"/>
    </row>
    <row r="1078">
      <c r="A1078" s="157"/>
      <c r="B1078" s="157"/>
      <c r="C1078" s="157"/>
      <c r="D1078" s="157"/>
      <c r="E1078" s="157"/>
      <c r="F1078" s="157"/>
      <c r="G1078" s="157"/>
      <c r="H1078" s="157"/>
      <c r="I1078" s="157"/>
      <c r="J1078" s="157"/>
      <c r="K1078" s="157"/>
      <c r="L1078" s="157"/>
      <c r="M1078" s="157"/>
      <c r="N1078" s="157"/>
      <c r="O1078" s="157"/>
      <c r="P1078" s="157"/>
      <c r="Q1078" s="157"/>
      <c r="R1078" s="157"/>
      <c r="S1078" s="157"/>
      <c r="T1078" s="157"/>
      <c r="U1078" s="157"/>
      <c r="V1078" s="157"/>
      <c r="W1078" s="157"/>
      <c r="X1078" s="157"/>
      <c r="Y1078" s="157"/>
      <c r="Z1078" s="157"/>
      <c r="AA1078" s="157"/>
      <c r="AB1078" s="157"/>
      <c r="AC1078" s="157"/>
      <c r="AD1078" s="157"/>
    </row>
    <row r="1079">
      <c r="A1079" s="157"/>
      <c r="B1079" s="157"/>
      <c r="C1079" s="157"/>
      <c r="D1079" s="157"/>
      <c r="E1079" s="157"/>
      <c r="F1079" s="157"/>
      <c r="G1079" s="157"/>
      <c r="H1079" s="157"/>
      <c r="I1079" s="157"/>
      <c r="J1079" s="157"/>
      <c r="K1079" s="157"/>
      <c r="L1079" s="157"/>
      <c r="M1079" s="157"/>
      <c r="N1079" s="157"/>
      <c r="O1079" s="157"/>
      <c r="P1079" s="157"/>
      <c r="Q1079" s="157"/>
      <c r="R1079" s="157"/>
      <c r="S1079" s="157"/>
      <c r="T1079" s="157"/>
      <c r="U1079" s="157"/>
      <c r="V1079" s="157"/>
      <c r="W1079" s="157"/>
      <c r="X1079" s="157"/>
      <c r="Y1079" s="157"/>
      <c r="Z1079" s="157"/>
      <c r="AA1079" s="157"/>
      <c r="AB1079" s="157"/>
      <c r="AC1079" s="157"/>
      <c r="AD1079" s="157"/>
    </row>
    <row r="1080">
      <c r="A1080" s="157"/>
      <c r="B1080" s="157"/>
      <c r="C1080" s="157"/>
      <c r="D1080" s="157"/>
      <c r="E1080" s="157"/>
      <c r="F1080" s="157"/>
      <c r="G1080" s="157"/>
      <c r="H1080" s="157"/>
      <c r="I1080" s="157"/>
      <c r="J1080" s="157"/>
      <c r="K1080" s="157"/>
      <c r="L1080" s="157"/>
      <c r="M1080" s="157"/>
      <c r="N1080" s="157"/>
      <c r="O1080" s="157"/>
      <c r="P1080" s="157"/>
      <c r="Q1080" s="157"/>
      <c r="R1080" s="157"/>
      <c r="S1080" s="157"/>
      <c r="T1080" s="157"/>
      <c r="U1080" s="157"/>
      <c r="V1080" s="157"/>
      <c r="W1080" s="157"/>
      <c r="X1080" s="157"/>
      <c r="Y1080" s="157"/>
      <c r="Z1080" s="157"/>
      <c r="AA1080" s="157"/>
      <c r="AB1080" s="157"/>
      <c r="AC1080" s="157"/>
      <c r="AD1080" s="157"/>
    </row>
    <row r="1081">
      <c r="A1081" s="157"/>
      <c r="B1081" s="157"/>
      <c r="C1081" s="157"/>
      <c r="D1081" s="157"/>
      <c r="E1081" s="157"/>
      <c r="F1081" s="157"/>
      <c r="G1081" s="157"/>
      <c r="H1081" s="157"/>
      <c r="I1081" s="157"/>
      <c r="J1081" s="157"/>
      <c r="K1081" s="157"/>
      <c r="L1081" s="157"/>
      <c r="M1081" s="157"/>
      <c r="N1081" s="157"/>
      <c r="O1081" s="157"/>
      <c r="P1081" s="157"/>
      <c r="Q1081" s="157"/>
      <c r="R1081" s="157"/>
      <c r="S1081" s="157"/>
      <c r="T1081" s="157"/>
      <c r="U1081" s="157"/>
      <c r="V1081" s="157"/>
      <c r="W1081" s="157"/>
      <c r="X1081" s="157"/>
      <c r="Y1081" s="157"/>
      <c r="Z1081" s="157"/>
      <c r="AA1081" s="157"/>
      <c r="AB1081" s="157"/>
      <c r="AC1081" s="157"/>
      <c r="AD1081" s="157"/>
    </row>
  </sheetData>
  <mergeCells count="4">
    <mergeCell ref="A2:A49"/>
    <mergeCell ref="A54:C58"/>
    <mergeCell ref="AB82:AD82"/>
    <mergeCell ref="A83:A130"/>
  </mergeCells>
  <dataValidations>
    <dataValidation type="list" allowBlank="1" showErrorMessage="1" sqref="O2:P49 S2:S49 U2:U49 W2:Z49 O83:P103 S83:S103 U83:U103 W83:Z103">
      <formula1>"Yes,NO"</formula1>
    </dataValidation>
    <dataValidation type="list" allowBlank="1" showErrorMessage="1" sqref="E2:E49 E83:E103">
      <formula1>"Male,Female"</formula1>
    </dataValidation>
    <dataValidation type="list" allowBlank="1" showErrorMessage="1" sqref="N2:N49 D60:D80 N83:N103">
      <formula1>"Connected,Call Back Later,Busy,Switch off,Not Received,Wrong No."</formula1>
    </dataValidation>
    <dataValidation type="list" allowBlank="1" showErrorMessage="1" sqref="E60:E80">
      <formula1>"CONFIRMED,NOT CONFIRMED"</formula1>
    </dataValidation>
    <dataValidation type="list" allowBlank="1" showErrorMessage="1" sqref="AA2:AA49 AA83:AA103">
      <formula1>"Verified,Not Verified"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14.38"/>
    <col customWidth="1" min="6" max="6" width="14.25"/>
    <col customWidth="1" min="7" max="7" width="13.75"/>
  </cols>
  <sheetData>
    <row r="1">
      <c r="A1" s="68" t="s">
        <v>1893</v>
      </c>
      <c r="D1" s="3"/>
      <c r="E1" s="3"/>
      <c r="F1" s="3"/>
    </row>
    <row r="2">
      <c r="D2" s="3"/>
      <c r="E2" s="3"/>
      <c r="F2" s="3"/>
    </row>
    <row r="3">
      <c r="D3" s="3"/>
      <c r="E3" s="3"/>
      <c r="F3" s="3"/>
    </row>
    <row r="4" ht="18.0" customHeight="1">
      <c r="D4" s="3"/>
      <c r="E4" s="3"/>
      <c r="F4" s="3"/>
    </row>
    <row r="5" ht="57.0" customHeight="1">
      <c r="D5" s="3"/>
      <c r="E5" s="3"/>
      <c r="F5" s="3"/>
    </row>
    <row r="6">
      <c r="A6" s="72" t="s">
        <v>5</v>
      </c>
      <c r="B6" s="72" t="s">
        <v>6</v>
      </c>
      <c r="C6" s="72" t="s">
        <v>7</v>
      </c>
      <c r="D6" s="73" t="s">
        <v>1862</v>
      </c>
      <c r="E6" s="74" t="s">
        <v>2</v>
      </c>
      <c r="F6" s="91" t="s">
        <v>3</v>
      </c>
      <c r="G6" s="73" t="s">
        <v>1894</v>
      </c>
      <c r="H6" s="74" t="s">
        <v>2</v>
      </c>
      <c r="I6" s="91" t="s">
        <v>3</v>
      </c>
    </row>
    <row r="7">
      <c r="A7" s="18">
        <v>1.0</v>
      </c>
      <c r="B7" s="17" t="s">
        <v>1257</v>
      </c>
      <c r="C7" s="17">
        <v>7.488727175E9</v>
      </c>
      <c r="D7" s="79" t="s">
        <v>54</v>
      </c>
      <c r="E7" s="80"/>
      <c r="F7" s="19"/>
      <c r="G7" s="79" t="s">
        <v>9</v>
      </c>
      <c r="H7" s="80" t="s">
        <v>1623</v>
      </c>
      <c r="I7" s="19"/>
    </row>
    <row r="8">
      <c r="A8" s="18">
        <v>2.0</v>
      </c>
      <c r="B8" s="17" t="s">
        <v>1270</v>
      </c>
      <c r="C8" s="17">
        <v>8.809630892E9</v>
      </c>
      <c r="D8" s="79" t="s">
        <v>9</v>
      </c>
      <c r="E8" s="80" t="s">
        <v>1623</v>
      </c>
      <c r="F8" s="19"/>
      <c r="G8" s="79" t="s">
        <v>23</v>
      </c>
      <c r="H8" s="80"/>
      <c r="I8" s="19"/>
    </row>
    <row r="9">
      <c r="A9" s="18">
        <v>3.0</v>
      </c>
      <c r="B9" s="17" t="s">
        <v>188</v>
      </c>
      <c r="C9" s="17">
        <v>7.488513884E9</v>
      </c>
      <c r="D9" s="79" t="s">
        <v>9</v>
      </c>
      <c r="E9" s="80" t="s">
        <v>1623</v>
      </c>
      <c r="F9" s="19"/>
      <c r="G9" s="79" t="s">
        <v>9</v>
      </c>
      <c r="H9" s="80" t="s">
        <v>1623</v>
      </c>
      <c r="I9" s="19"/>
    </row>
    <row r="10">
      <c r="A10" s="18">
        <v>4.0</v>
      </c>
      <c r="B10" s="17" t="s">
        <v>1279</v>
      </c>
      <c r="C10" s="17">
        <v>8.409826137E9</v>
      </c>
      <c r="D10" s="79" t="s">
        <v>9</v>
      </c>
      <c r="E10" s="80" t="s">
        <v>1623</v>
      </c>
      <c r="F10" s="19"/>
      <c r="G10" s="79" t="s">
        <v>23</v>
      </c>
      <c r="H10" s="80"/>
      <c r="I10" s="19"/>
    </row>
    <row r="11">
      <c r="A11" s="18">
        <v>5.0</v>
      </c>
      <c r="B11" s="17" t="s">
        <v>1284</v>
      </c>
      <c r="C11" s="17">
        <v>9.006234655E9</v>
      </c>
      <c r="D11" s="79" t="s">
        <v>23</v>
      </c>
      <c r="E11" s="80"/>
      <c r="F11" s="19"/>
      <c r="G11" s="79" t="s">
        <v>27</v>
      </c>
      <c r="H11" s="80"/>
      <c r="I11" s="19"/>
    </row>
    <row r="12">
      <c r="A12" s="18">
        <v>6.0</v>
      </c>
      <c r="B12" s="17" t="s">
        <v>1895</v>
      </c>
      <c r="C12" s="17">
        <v>7.091923787E9</v>
      </c>
      <c r="D12" s="79" t="s">
        <v>9</v>
      </c>
      <c r="E12" s="80"/>
      <c r="F12" s="26" t="s">
        <v>1626</v>
      </c>
      <c r="G12" s="79" t="s">
        <v>9</v>
      </c>
      <c r="H12" s="80" t="s">
        <v>1624</v>
      </c>
      <c r="I12" s="19"/>
    </row>
    <row r="13">
      <c r="A13" s="18">
        <v>7.0</v>
      </c>
      <c r="B13" s="17" t="s">
        <v>1284</v>
      </c>
      <c r="C13" s="17">
        <v>8.12471461E9</v>
      </c>
      <c r="D13" s="79" t="s">
        <v>9</v>
      </c>
      <c r="E13" s="80" t="s">
        <v>1623</v>
      </c>
      <c r="F13" s="19"/>
      <c r="G13" s="79" t="s">
        <v>9</v>
      </c>
      <c r="H13" s="80" t="s">
        <v>1623</v>
      </c>
      <c r="I13" s="19"/>
    </row>
    <row r="14">
      <c r="A14" s="18">
        <v>8.0</v>
      </c>
      <c r="B14" s="17" t="s">
        <v>1295</v>
      </c>
      <c r="C14" s="17">
        <v>7.00452548E9</v>
      </c>
      <c r="D14" s="79" t="s">
        <v>9</v>
      </c>
      <c r="E14" s="80" t="s">
        <v>1623</v>
      </c>
      <c r="F14" s="19"/>
      <c r="G14" s="79" t="s">
        <v>9</v>
      </c>
      <c r="H14" s="80" t="s">
        <v>1623</v>
      </c>
      <c r="I14" s="19"/>
    </row>
    <row r="15">
      <c r="A15" s="18">
        <v>9.0</v>
      </c>
      <c r="B15" s="17" t="s">
        <v>1297</v>
      </c>
      <c r="C15" s="17">
        <v>9.835497527E9</v>
      </c>
      <c r="D15" s="79" t="s">
        <v>9</v>
      </c>
      <c r="E15" s="80" t="s">
        <v>1623</v>
      </c>
      <c r="F15" s="19"/>
      <c r="G15" s="79" t="s">
        <v>23</v>
      </c>
      <c r="H15" s="80"/>
      <c r="I15" s="19"/>
    </row>
    <row r="16">
      <c r="A16" s="18">
        <v>10.0</v>
      </c>
      <c r="B16" s="17" t="s">
        <v>1299</v>
      </c>
      <c r="C16" s="17">
        <v>8.271750772E9</v>
      </c>
      <c r="D16" s="79" t="s">
        <v>9</v>
      </c>
      <c r="E16" s="80" t="s">
        <v>1623</v>
      </c>
      <c r="F16" s="19"/>
      <c r="G16" s="79" t="s">
        <v>9</v>
      </c>
      <c r="H16" s="80" t="s">
        <v>1623</v>
      </c>
      <c r="I16" s="19"/>
    </row>
    <row r="17">
      <c r="A17" s="18">
        <v>11.0</v>
      </c>
      <c r="B17" s="17" t="s">
        <v>1303</v>
      </c>
      <c r="C17" s="17">
        <v>8.409777247E9</v>
      </c>
      <c r="D17" s="79" t="s">
        <v>9</v>
      </c>
      <c r="E17" s="80" t="s">
        <v>1623</v>
      </c>
      <c r="F17" s="19"/>
      <c r="G17" s="79" t="s">
        <v>9</v>
      </c>
      <c r="H17" s="80" t="s">
        <v>1623</v>
      </c>
      <c r="I17" s="19"/>
    </row>
    <row r="18">
      <c r="A18" s="18">
        <v>12.0</v>
      </c>
      <c r="B18" s="17" t="s">
        <v>465</v>
      </c>
      <c r="C18" s="17">
        <v>9.199348446E9</v>
      </c>
      <c r="D18" s="79" t="s">
        <v>9</v>
      </c>
      <c r="E18" s="80" t="s">
        <v>1623</v>
      </c>
      <c r="F18" s="19"/>
      <c r="G18" s="79" t="s">
        <v>9</v>
      </c>
      <c r="H18" s="80" t="s">
        <v>1623</v>
      </c>
      <c r="I18" s="19"/>
    </row>
    <row r="19">
      <c r="A19" s="18">
        <v>13.0</v>
      </c>
      <c r="B19" s="17" t="s">
        <v>1306</v>
      </c>
      <c r="C19" s="17">
        <v>7.549393163E9</v>
      </c>
      <c r="D19" s="79" t="s">
        <v>9</v>
      </c>
      <c r="E19" s="80" t="s">
        <v>1623</v>
      </c>
      <c r="F19" s="19"/>
      <c r="G19" s="79" t="s">
        <v>27</v>
      </c>
      <c r="H19" s="80"/>
      <c r="I19" s="19"/>
    </row>
    <row r="20">
      <c r="A20" s="18">
        <v>14.0</v>
      </c>
      <c r="B20" s="17" t="s">
        <v>1282</v>
      </c>
      <c r="C20" s="17">
        <v>8.862814222E9</v>
      </c>
      <c r="D20" s="79" t="s">
        <v>54</v>
      </c>
      <c r="E20" s="80"/>
      <c r="F20" s="19"/>
      <c r="G20" s="79" t="s">
        <v>9</v>
      </c>
      <c r="H20" s="80" t="s">
        <v>1623</v>
      </c>
      <c r="I20" s="19"/>
    </row>
    <row r="21">
      <c r="A21" s="18">
        <v>15.0</v>
      </c>
      <c r="B21" s="17" t="s">
        <v>1313</v>
      </c>
      <c r="C21" s="17">
        <v>7.90339847E9</v>
      </c>
      <c r="D21" s="79" t="s">
        <v>23</v>
      </c>
      <c r="E21" s="80"/>
      <c r="F21" s="19"/>
      <c r="G21" s="79" t="s">
        <v>9</v>
      </c>
      <c r="H21" s="80" t="s">
        <v>1623</v>
      </c>
      <c r="I21" s="19"/>
    </row>
    <row r="22">
      <c r="A22" s="18">
        <v>16.0</v>
      </c>
      <c r="B22" s="17" t="s">
        <v>412</v>
      </c>
      <c r="C22" s="17">
        <v>8.34073961E9</v>
      </c>
      <c r="D22" s="79" t="s">
        <v>9</v>
      </c>
      <c r="E22" s="80" t="s">
        <v>1623</v>
      </c>
      <c r="F22" s="19"/>
      <c r="G22" s="79" t="s">
        <v>13</v>
      </c>
      <c r="H22" s="80"/>
      <c r="I22" s="19"/>
    </row>
    <row r="23">
      <c r="A23" s="18">
        <v>17.0</v>
      </c>
      <c r="B23" s="17" t="s">
        <v>653</v>
      </c>
      <c r="C23" s="17">
        <v>7.992242754E9</v>
      </c>
      <c r="D23" s="79" t="s">
        <v>23</v>
      </c>
      <c r="E23" s="80"/>
      <c r="F23" s="19"/>
      <c r="G23" s="79" t="s">
        <v>9</v>
      </c>
      <c r="H23" s="80" t="s">
        <v>1623</v>
      </c>
      <c r="I23" s="19"/>
    </row>
    <row r="24">
      <c r="A24" s="18">
        <v>18.0</v>
      </c>
      <c r="B24" s="17" t="s">
        <v>1318</v>
      </c>
      <c r="C24" s="17">
        <v>9.76633185E9</v>
      </c>
      <c r="D24" s="79" t="s">
        <v>9</v>
      </c>
      <c r="E24" s="80" t="s">
        <v>1623</v>
      </c>
      <c r="F24" s="19"/>
      <c r="G24" s="79" t="s">
        <v>9</v>
      </c>
      <c r="H24" s="80" t="s">
        <v>1623</v>
      </c>
      <c r="I24" s="19"/>
    </row>
    <row r="25">
      <c r="A25" s="18">
        <v>19.0</v>
      </c>
      <c r="B25" s="17" t="s">
        <v>1080</v>
      </c>
      <c r="C25" s="17">
        <v>6.205372009E9</v>
      </c>
      <c r="D25" s="79" t="s">
        <v>9</v>
      </c>
      <c r="E25" s="80" t="s">
        <v>1623</v>
      </c>
      <c r="F25" s="19"/>
      <c r="G25" s="79" t="s">
        <v>9</v>
      </c>
      <c r="H25" s="80" t="s">
        <v>1623</v>
      </c>
      <c r="I25" s="19"/>
    </row>
    <row r="26">
      <c r="A26" s="18">
        <v>20.0</v>
      </c>
      <c r="B26" s="17" t="s">
        <v>1328</v>
      </c>
      <c r="C26" s="17">
        <v>6.201785701E9</v>
      </c>
      <c r="D26" s="79" t="s">
        <v>9</v>
      </c>
      <c r="E26" s="80" t="s">
        <v>1623</v>
      </c>
      <c r="F26" s="19"/>
      <c r="G26" s="79" t="s">
        <v>9</v>
      </c>
      <c r="H26" s="80" t="s">
        <v>1623</v>
      </c>
      <c r="I26" s="19"/>
    </row>
    <row r="27">
      <c r="A27" s="18">
        <v>21.0</v>
      </c>
      <c r="B27" s="17" t="s">
        <v>629</v>
      </c>
      <c r="C27" s="17">
        <v>9.60886355E9</v>
      </c>
      <c r="D27" s="79" t="s">
        <v>9</v>
      </c>
      <c r="E27" s="80" t="s">
        <v>1623</v>
      </c>
      <c r="F27" s="19"/>
      <c r="G27" s="79" t="s">
        <v>9</v>
      </c>
      <c r="H27" s="80" t="s">
        <v>1623</v>
      </c>
      <c r="I27" s="19"/>
    </row>
    <row r="28">
      <c r="A28" s="18">
        <v>22.0</v>
      </c>
      <c r="B28" s="17" t="s">
        <v>1335</v>
      </c>
      <c r="C28" s="17">
        <v>9.128468615E9</v>
      </c>
      <c r="D28" s="79" t="s">
        <v>9</v>
      </c>
      <c r="E28" s="80" t="s">
        <v>1623</v>
      </c>
      <c r="F28" s="19"/>
      <c r="G28" s="79" t="s">
        <v>9</v>
      </c>
      <c r="H28" s="80" t="s">
        <v>1623</v>
      </c>
      <c r="I28" s="19"/>
    </row>
    <row r="29">
      <c r="A29" s="18">
        <v>23.0</v>
      </c>
      <c r="B29" s="17" t="s">
        <v>1336</v>
      </c>
      <c r="C29" s="17">
        <v>7.320820657E9</v>
      </c>
      <c r="D29" s="79" t="s">
        <v>9</v>
      </c>
      <c r="E29" s="80" t="s">
        <v>1623</v>
      </c>
      <c r="F29" s="19"/>
      <c r="G29" s="79" t="s">
        <v>9</v>
      </c>
      <c r="H29" s="80" t="s">
        <v>1623</v>
      </c>
      <c r="I29" s="19"/>
    </row>
    <row r="30">
      <c r="A30" s="18">
        <v>24.0</v>
      </c>
      <c r="B30" s="17" t="s">
        <v>111</v>
      </c>
      <c r="C30" s="17">
        <v>7.979077358E9</v>
      </c>
      <c r="D30" s="79" t="s">
        <v>23</v>
      </c>
      <c r="E30" s="80"/>
      <c r="F30" s="19"/>
      <c r="G30" s="79" t="s">
        <v>9</v>
      </c>
      <c r="H30" s="80" t="s">
        <v>1623</v>
      </c>
      <c r="I30" s="19"/>
    </row>
    <row r="31">
      <c r="A31" s="18">
        <v>25.0</v>
      </c>
      <c r="B31" s="17" t="s">
        <v>1339</v>
      </c>
      <c r="C31" s="17">
        <v>6.203748494E9</v>
      </c>
      <c r="D31" s="79" t="s">
        <v>9</v>
      </c>
      <c r="E31" s="80" t="s">
        <v>1623</v>
      </c>
      <c r="F31" s="19"/>
      <c r="G31" s="79" t="s">
        <v>9</v>
      </c>
      <c r="H31" s="80" t="s">
        <v>1623</v>
      </c>
      <c r="I31" s="19"/>
    </row>
    <row r="32">
      <c r="A32" s="18">
        <v>26.0</v>
      </c>
      <c r="B32" s="17" t="s">
        <v>1340</v>
      </c>
      <c r="C32" s="17">
        <v>6.206650407E9</v>
      </c>
      <c r="D32" s="79" t="s">
        <v>9</v>
      </c>
      <c r="E32" s="80" t="s">
        <v>1623</v>
      </c>
      <c r="F32" s="19"/>
      <c r="G32" s="79" t="s">
        <v>9</v>
      </c>
      <c r="H32" s="80" t="s">
        <v>1623</v>
      </c>
      <c r="I32" s="19"/>
    </row>
    <row r="33">
      <c r="A33" s="18">
        <v>27.0</v>
      </c>
      <c r="B33" s="17" t="s">
        <v>1341</v>
      </c>
      <c r="C33" s="17">
        <v>7.322942937E9</v>
      </c>
      <c r="D33" s="79" t="s">
        <v>9</v>
      </c>
      <c r="E33" s="80" t="s">
        <v>1623</v>
      </c>
      <c r="F33" s="19"/>
      <c r="G33" s="79" t="s">
        <v>9</v>
      </c>
      <c r="H33" s="80" t="s">
        <v>1623</v>
      </c>
      <c r="I33" s="19"/>
    </row>
    <row r="34">
      <c r="A34" s="18">
        <v>28.0</v>
      </c>
      <c r="B34" s="17" t="s">
        <v>1344</v>
      </c>
      <c r="C34" s="17">
        <v>7.294022932E9</v>
      </c>
      <c r="D34" s="79" t="s">
        <v>9</v>
      </c>
      <c r="E34" s="80" t="s">
        <v>1623</v>
      </c>
      <c r="F34" s="19"/>
      <c r="G34" s="79" t="s">
        <v>9</v>
      </c>
      <c r="H34" s="80" t="s">
        <v>1623</v>
      </c>
      <c r="I34" s="19"/>
    </row>
    <row r="35">
      <c r="A35" s="18">
        <v>29.0</v>
      </c>
      <c r="B35" s="17" t="s">
        <v>1282</v>
      </c>
      <c r="C35" s="17">
        <v>6.201630344E9</v>
      </c>
      <c r="D35" s="79" t="s">
        <v>23</v>
      </c>
      <c r="E35" s="80"/>
      <c r="F35" s="19"/>
      <c r="G35" s="79" t="s">
        <v>9</v>
      </c>
      <c r="H35" s="80" t="s">
        <v>1623</v>
      </c>
      <c r="I35" s="19"/>
    </row>
    <row r="36">
      <c r="A36" s="18">
        <v>30.0</v>
      </c>
      <c r="B36" s="17" t="s">
        <v>1324</v>
      </c>
      <c r="C36" s="17">
        <v>9.122256623E9</v>
      </c>
      <c r="D36" s="79" t="s">
        <v>9</v>
      </c>
      <c r="E36" s="80" t="s">
        <v>1623</v>
      </c>
      <c r="F36" s="19"/>
      <c r="G36" s="79" t="s">
        <v>9</v>
      </c>
      <c r="H36" s="80" t="s">
        <v>1623</v>
      </c>
      <c r="I36" s="19"/>
    </row>
    <row r="37">
      <c r="A37" s="18">
        <v>31.0</v>
      </c>
      <c r="B37" s="17" t="s">
        <v>1352</v>
      </c>
      <c r="C37" s="17">
        <v>9.572808661E9</v>
      </c>
      <c r="D37" s="79" t="s">
        <v>9</v>
      </c>
      <c r="E37" s="80" t="s">
        <v>1623</v>
      </c>
      <c r="F37" s="19"/>
      <c r="G37" s="79" t="s">
        <v>9</v>
      </c>
      <c r="H37" s="80" t="s">
        <v>1623</v>
      </c>
      <c r="I37" s="19"/>
    </row>
    <row r="38">
      <c r="A38" s="18">
        <v>32.0</v>
      </c>
      <c r="B38" s="17" t="s">
        <v>1354</v>
      </c>
      <c r="C38" s="17">
        <v>8.603739297E9</v>
      </c>
      <c r="D38" s="79" t="s">
        <v>9</v>
      </c>
      <c r="E38" s="80" t="s">
        <v>1623</v>
      </c>
      <c r="F38" s="19"/>
      <c r="G38" s="79" t="s">
        <v>9</v>
      </c>
      <c r="H38" s="80" t="s">
        <v>1623</v>
      </c>
      <c r="I38" s="19"/>
    </row>
    <row r="39">
      <c r="A39" s="18">
        <v>33.0</v>
      </c>
      <c r="B39" s="142" t="s">
        <v>1123</v>
      </c>
      <c r="C39" s="142">
        <v>8.226834984E9</v>
      </c>
    </row>
    <row r="40">
      <c r="A40" s="18">
        <v>34.0</v>
      </c>
      <c r="B40" s="142" t="s">
        <v>1274</v>
      </c>
      <c r="C40" s="142">
        <v>6.203886623E9</v>
      </c>
    </row>
    <row r="41">
      <c r="A41" s="18">
        <v>35.0</v>
      </c>
      <c r="B41" s="142" t="s">
        <v>1282</v>
      </c>
      <c r="C41" s="142">
        <v>6.2048621E9</v>
      </c>
    </row>
    <row r="42">
      <c r="A42" s="18">
        <v>36.0</v>
      </c>
      <c r="B42" s="142" t="s">
        <v>1287</v>
      </c>
      <c r="C42" s="142">
        <v>9.304402581E9</v>
      </c>
    </row>
    <row r="43">
      <c r="A43" s="18">
        <v>37.0</v>
      </c>
      <c r="B43" s="142" t="s">
        <v>1293</v>
      </c>
      <c r="C43" s="142">
        <v>6.299849892E9</v>
      </c>
    </row>
    <row r="44">
      <c r="A44" s="18">
        <v>38.0</v>
      </c>
      <c r="B44" s="142" t="s">
        <v>1321</v>
      </c>
      <c r="C44" s="142">
        <v>8.294986386E9</v>
      </c>
    </row>
    <row r="45">
      <c r="A45" s="18">
        <v>39.0</v>
      </c>
      <c r="B45" s="142" t="s">
        <v>1324</v>
      </c>
      <c r="C45" s="142">
        <v>9.033161595E9</v>
      </c>
    </row>
    <row r="46">
      <c r="A46" s="18">
        <v>40.0</v>
      </c>
      <c r="B46" s="142" t="s">
        <v>1348</v>
      </c>
      <c r="C46" s="142">
        <v>9.905115387E9</v>
      </c>
    </row>
    <row r="47">
      <c r="A47" s="18">
        <v>41.0</v>
      </c>
      <c r="B47" s="142" t="s">
        <v>1357</v>
      </c>
      <c r="C47" s="142">
        <v>8.862826474E9</v>
      </c>
    </row>
    <row r="48">
      <c r="A48" s="18">
        <v>42.0</v>
      </c>
      <c r="B48" s="142" t="s">
        <v>1360</v>
      </c>
      <c r="C48" s="142">
        <v>7.667723682E9</v>
      </c>
    </row>
    <row r="51" ht="84.75" customHeight="1">
      <c r="A51" s="10" t="s">
        <v>339</v>
      </c>
      <c r="B51" s="11" t="s">
        <v>340</v>
      </c>
      <c r="C51" s="12" t="s">
        <v>341</v>
      </c>
      <c r="D51" s="11" t="s">
        <v>342</v>
      </c>
      <c r="E51" s="11" t="s">
        <v>343</v>
      </c>
      <c r="F51" s="11" t="s">
        <v>344</v>
      </c>
      <c r="G51" s="11" t="s">
        <v>345</v>
      </c>
      <c r="H51" s="11" t="s">
        <v>346</v>
      </c>
      <c r="I51" s="11" t="s">
        <v>347</v>
      </c>
      <c r="J51" s="12" t="s">
        <v>348</v>
      </c>
      <c r="K51" s="12" t="s">
        <v>349</v>
      </c>
      <c r="L51" s="11" t="s">
        <v>350</v>
      </c>
      <c r="M51" s="11" t="s">
        <v>351</v>
      </c>
      <c r="N51" s="11" t="s">
        <v>1</v>
      </c>
      <c r="O51" s="11" t="s">
        <v>352</v>
      </c>
      <c r="P51" s="11" t="s">
        <v>353</v>
      </c>
      <c r="Q51" s="11" t="s">
        <v>354</v>
      </c>
      <c r="R51" s="11" t="s">
        <v>355</v>
      </c>
      <c r="S51" s="11" t="s">
        <v>356</v>
      </c>
      <c r="T51" s="11" t="s">
        <v>357</v>
      </c>
      <c r="U51" s="11" t="s">
        <v>358</v>
      </c>
      <c r="V51" s="11" t="s">
        <v>359</v>
      </c>
      <c r="W51" s="11" t="s">
        <v>360</v>
      </c>
      <c r="X51" s="11" t="s">
        <v>361</v>
      </c>
      <c r="Y51" s="11" t="s">
        <v>362</v>
      </c>
      <c r="Z51" s="11" t="s">
        <v>363</v>
      </c>
      <c r="AA51" s="13" t="s">
        <v>364</v>
      </c>
      <c r="AB51" s="14" t="s">
        <v>3</v>
      </c>
      <c r="AC51" s="15"/>
      <c r="AD51" s="15"/>
    </row>
    <row r="52" ht="84.75" customHeight="1">
      <c r="A52" s="61" t="s">
        <v>1256</v>
      </c>
      <c r="B52" s="17" t="s">
        <v>1257</v>
      </c>
      <c r="C52" s="17">
        <v>7.488727175E9</v>
      </c>
      <c r="D52" s="26">
        <v>37.0</v>
      </c>
      <c r="E52" s="20" t="s">
        <v>367</v>
      </c>
      <c r="F52" s="26" t="s">
        <v>437</v>
      </c>
      <c r="G52" s="26" t="s">
        <v>375</v>
      </c>
      <c r="H52" s="17" t="s">
        <v>1233</v>
      </c>
      <c r="I52" s="17" t="s">
        <v>1258</v>
      </c>
      <c r="J52" s="26" t="s">
        <v>1259</v>
      </c>
      <c r="K52" s="18" t="s">
        <v>1260</v>
      </c>
      <c r="L52" s="17" t="s">
        <v>1261</v>
      </c>
      <c r="M52" s="17" t="s">
        <v>1262</v>
      </c>
      <c r="N52" s="21" t="s">
        <v>9</v>
      </c>
      <c r="O52" s="20" t="s">
        <v>4</v>
      </c>
      <c r="P52" s="20" t="s">
        <v>4</v>
      </c>
      <c r="Q52" s="26" t="s">
        <v>1263</v>
      </c>
      <c r="R52" s="26" t="s">
        <v>1264</v>
      </c>
      <c r="S52" s="20" t="s">
        <v>4</v>
      </c>
      <c r="T52" s="26" t="s">
        <v>1265</v>
      </c>
      <c r="U52" s="20" t="s">
        <v>4</v>
      </c>
      <c r="V52" s="26" t="s">
        <v>757</v>
      </c>
      <c r="W52" s="26" t="s">
        <v>616</v>
      </c>
      <c r="X52" s="20" t="s">
        <v>4</v>
      </c>
      <c r="Y52" s="20" t="s">
        <v>4</v>
      </c>
      <c r="Z52" s="20" t="s">
        <v>4</v>
      </c>
      <c r="AA52" s="26" t="s">
        <v>391</v>
      </c>
      <c r="AB52" s="19"/>
    </row>
    <row r="53">
      <c r="A53" s="25"/>
      <c r="B53" s="17" t="s">
        <v>1123</v>
      </c>
      <c r="C53" s="17">
        <v>8.226834984E9</v>
      </c>
      <c r="D53" s="19"/>
      <c r="E53" s="22"/>
      <c r="F53" s="19"/>
      <c r="G53" s="19"/>
      <c r="H53" s="17" t="s">
        <v>1266</v>
      </c>
      <c r="I53" s="17" t="s">
        <v>1267</v>
      </c>
      <c r="J53" s="19"/>
      <c r="K53" s="18" t="s">
        <v>1260</v>
      </c>
      <c r="L53" s="17" t="s">
        <v>1268</v>
      </c>
      <c r="M53" s="17" t="s">
        <v>1269</v>
      </c>
      <c r="N53" s="21" t="s">
        <v>23</v>
      </c>
      <c r="O53" s="22"/>
      <c r="P53" s="22"/>
      <c r="Q53" s="19"/>
      <c r="R53" s="19"/>
      <c r="S53" s="22"/>
      <c r="T53" s="19"/>
      <c r="U53" s="22"/>
      <c r="V53" s="19"/>
      <c r="W53" s="19"/>
      <c r="X53" s="22"/>
      <c r="Y53" s="22"/>
      <c r="Z53" s="22"/>
      <c r="AA53" s="19"/>
      <c r="AB53" s="19"/>
    </row>
    <row r="54">
      <c r="A54" s="25"/>
      <c r="B54" s="17" t="s">
        <v>1270</v>
      </c>
      <c r="C54" s="17">
        <v>8.809630892E9</v>
      </c>
      <c r="D54" s="26">
        <v>28.0</v>
      </c>
      <c r="E54" s="20" t="s">
        <v>367</v>
      </c>
      <c r="F54" s="26" t="s">
        <v>374</v>
      </c>
      <c r="G54" s="26" t="s">
        <v>375</v>
      </c>
      <c r="H54" s="17" t="s">
        <v>1266</v>
      </c>
      <c r="I54" s="17" t="s">
        <v>1271</v>
      </c>
      <c r="J54" s="26" t="s">
        <v>1272</v>
      </c>
      <c r="K54" s="18" t="s">
        <v>1260</v>
      </c>
      <c r="L54" s="17" t="s">
        <v>1268</v>
      </c>
      <c r="M54" s="17" t="s">
        <v>1269</v>
      </c>
      <c r="N54" s="21" t="s">
        <v>9</v>
      </c>
      <c r="O54" s="20" t="s">
        <v>4</v>
      </c>
      <c r="P54" s="20" t="s">
        <v>380</v>
      </c>
      <c r="Q54" s="19"/>
      <c r="R54" s="19"/>
      <c r="S54" s="20" t="s">
        <v>4</v>
      </c>
      <c r="T54" s="19"/>
      <c r="U54" s="20" t="s">
        <v>4</v>
      </c>
      <c r="V54" s="26" t="s">
        <v>1273</v>
      </c>
      <c r="W54" s="26" t="s">
        <v>616</v>
      </c>
      <c r="X54" s="20" t="s">
        <v>4</v>
      </c>
      <c r="Y54" s="20" t="s">
        <v>4</v>
      </c>
      <c r="Z54" s="20" t="s">
        <v>4</v>
      </c>
      <c r="AA54" s="26" t="s">
        <v>391</v>
      </c>
      <c r="AB54" s="19"/>
    </row>
    <row r="55">
      <c r="A55" s="25"/>
      <c r="B55" s="17" t="s">
        <v>1274</v>
      </c>
      <c r="C55" s="17">
        <v>6.203886623E9</v>
      </c>
      <c r="D55" s="19"/>
      <c r="E55" s="22"/>
      <c r="F55" s="19"/>
      <c r="G55" s="19"/>
      <c r="H55" s="17" t="s">
        <v>1266</v>
      </c>
      <c r="I55" s="17" t="s">
        <v>1275</v>
      </c>
      <c r="J55" s="19"/>
      <c r="K55" s="18" t="s">
        <v>1260</v>
      </c>
      <c r="L55" s="17" t="s">
        <v>1276</v>
      </c>
      <c r="M55" s="17" t="s">
        <v>1277</v>
      </c>
      <c r="N55" s="21" t="s">
        <v>27</v>
      </c>
      <c r="O55" s="22"/>
      <c r="P55" s="22"/>
      <c r="Q55" s="19"/>
      <c r="R55" s="19"/>
      <c r="S55" s="22"/>
      <c r="T55" s="19"/>
      <c r="U55" s="22"/>
      <c r="V55" s="19"/>
      <c r="W55" s="19"/>
      <c r="X55" s="22"/>
      <c r="Y55" s="22"/>
      <c r="Z55" s="22"/>
      <c r="AA55" s="19"/>
      <c r="AB55" s="19"/>
    </row>
    <row r="56">
      <c r="A56" s="25"/>
      <c r="B56" s="17" t="s">
        <v>188</v>
      </c>
      <c r="C56" s="17">
        <v>7.488513884E9</v>
      </c>
      <c r="D56" s="26">
        <v>25.0</v>
      </c>
      <c r="E56" s="20" t="s">
        <v>367</v>
      </c>
      <c r="F56" s="26" t="s">
        <v>1278</v>
      </c>
      <c r="G56" s="26" t="s">
        <v>375</v>
      </c>
      <c r="H56" s="17" t="s">
        <v>1266</v>
      </c>
      <c r="I56" s="17" t="s">
        <v>1267</v>
      </c>
      <c r="J56" s="26" t="s">
        <v>1272</v>
      </c>
      <c r="K56" s="18" t="s">
        <v>1260</v>
      </c>
      <c r="L56" s="17" t="s">
        <v>1276</v>
      </c>
      <c r="M56" s="17" t="s">
        <v>1277</v>
      </c>
      <c r="N56" s="21" t="s">
        <v>9</v>
      </c>
      <c r="O56" s="20" t="s">
        <v>4</v>
      </c>
      <c r="P56" s="20" t="s">
        <v>380</v>
      </c>
      <c r="Q56" s="19"/>
      <c r="R56" s="19"/>
      <c r="S56" s="20" t="s">
        <v>4</v>
      </c>
      <c r="T56" s="26" t="s">
        <v>756</v>
      </c>
      <c r="U56" s="20" t="s">
        <v>4</v>
      </c>
      <c r="V56" s="26" t="s">
        <v>642</v>
      </c>
      <c r="W56" s="26" t="s">
        <v>616</v>
      </c>
      <c r="X56" s="20" t="s">
        <v>4</v>
      </c>
      <c r="Y56" s="20" t="s">
        <v>4</v>
      </c>
      <c r="Z56" s="20" t="s">
        <v>4</v>
      </c>
      <c r="AA56" s="26" t="s">
        <v>391</v>
      </c>
      <c r="AB56" s="19"/>
    </row>
    <row r="57">
      <c r="A57" s="25"/>
      <c r="B57" s="17" t="s">
        <v>1279</v>
      </c>
      <c r="C57" s="17">
        <v>8.409826137E9</v>
      </c>
      <c r="D57" s="26">
        <v>24.0</v>
      </c>
      <c r="E57" s="20" t="s">
        <v>367</v>
      </c>
      <c r="F57" s="26" t="s">
        <v>382</v>
      </c>
      <c r="G57" s="26" t="s">
        <v>375</v>
      </c>
      <c r="H57" s="17" t="s">
        <v>1233</v>
      </c>
      <c r="I57" s="17" t="s">
        <v>1280</v>
      </c>
      <c r="J57" s="26" t="s">
        <v>1272</v>
      </c>
      <c r="K57" s="18" t="s">
        <v>1260</v>
      </c>
      <c r="L57" s="17" t="s">
        <v>1276</v>
      </c>
      <c r="M57" s="17" t="s">
        <v>1277</v>
      </c>
      <c r="N57" s="21" t="s">
        <v>9</v>
      </c>
      <c r="O57" s="20" t="s">
        <v>4</v>
      </c>
      <c r="P57" s="20" t="s">
        <v>380</v>
      </c>
      <c r="Q57" s="19"/>
      <c r="R57" s="19"/>
      <c r="S57" s="20" t="s">
        <v>380</v>
      </c>
      <c r="T57" s="19"/>
      <c r="U57" s="20" t="s">
        <v>4</v>
      </c>
      <c r="V57" s="26" t="s">
        <v>1281</v>
      </c>
      <c r="W57" s="26" t="s">
        <v>616</v>
      </c>
      <c r="X57" s="20" t="s">
        <v>4</v>
      </c>
      <c r="Y57" s="20" t="s">
        <v>4</v>
      </c>
      <c r="Z57" s="20" t="s">
        <v>4</v>
      </c>
      <c r="AA57" s="26" t="s">
        <v>391</v>
      </c>
      <c r="AB57" s="19"/>
    </row>
    <row r="58">
      <c r="A58" s="25"/>
      <c r="B58" s="17" t="s">
        <v>1282</v>
      </c>
      <c r="C58" s="17">
        <v>6.2048621E9</v>
      </c>
      <c r="D58" s="19"/>
      <c r="E58" s="22"/>
      <c r="F58" s="19"/>
      <c r="G58" s="19"/>
      <c r="H58" s="17" t="s">
        <v>422</v>
      </c>
      <c r="I58" s="17" t="s">
        <v>1283</v>
      </c>
      <c r="J58" s="19"/>
      <c r="K58" s="18" t="s">
        <v>1260</v>
      </c>
      <c r="L58" s="17" t="s">
        <v>1276</v>
      </c>
      <c r="M58" s="17" t="s">
        <v>1277</v>
      </c>
      <c r="N58" s="21" t="s">
        <v>23</v>
      </c>
      <c r="O58" s="22"/>
      <c r="P58" s="22"/>
      <c r="Q58" s="19"/>
      <c r="R58" s="19"/>
      <c r="S58" s="22"/>
      <c r="T58" s="19"/>
      <c r="U58" s="22"/>
      <c r="V58" s="19"/>
      <c r="W58" s="19"/>
      <c r="X58" s="22"/>
      <c r="Y58" s="22"/>
      <c r="Z58" s="22"/>
      <c r="AA58" s="19"/>
      <c r="AB58" s="19"/>
    </row>
    <row r="59">
      <c r="A59" s="25"/>
      <c r="B59" s="17" t="s">
        <v>1284</v>
      </c>
      <c r="C59" s="17">
        <v>9.006234655E9</v>
      </c>
      <c r="D59" s="26">
        <v>57.0</v>
      </c>
      <c r="E59" s="20" t="s">
        <v>367</v>
      </c>
      <c r="F59" s="26" t="s">
        <v>374</v>
      </c>
      <c r="G59" s="26" t="s">
        <v>375</v>
      </c>
      <c r="H59" s="17" t="s">
        <v>1233</v>
      </c>
      <c r="I59" s="17" t="s">
        <v>1285</v>
      </c>
      <c r="J59" s="26" t="s">
        <v>1272</v>
      </c>
      <c r="K59" s="18" t="s">
        <v>1260</v>
      </c>
      <c r="L59" s="17" t="s">
        <v>1261</v>
      </c>
      <c r="M59" s="17" t="s">
        <v>1286</v>
      </c>
      <c r="N59" s="21" t="s">
        <v>9</v>
      </c>
      <c r="O59" s="20" t="s">
        <v>4</v>
      </c>
      <c r="P59" s="20" t="s">
        <v>4</v>
      </c>
      <c r="Q59" s="26" t="s">
        <v>444</v>
      </c>
      <c r="R59" s="19"/>
      <c r="S59" s="20" t="s">
        <v>4</v>
      </c>
      <c r="T59" s="26" t="s">
        <v>756</v>
      </c>
      <c r="U59" s="20" t="s">
        <v>4</v>
      </c>
      <c r="V59" s="26" t="s">
        <v>642</v>
      </c>
      <c r="W59" s="26" t="s">
        <v>616</v>
      </c>
      <c r="X59" s="20" t="s">
        <v>4</v>
      </c>
      <c r="Y59" s="20" t="s">
        <v>4</v>
      </c>
      <c r="Z59" s="20" t="s">
        <v>4</v>
      </c>
      <c r="AA59" s="26" t="s">
        <v>391</v>
      </c>
      <c r="AB59" s="19"/>
    </row>
    <row r="60">
      <c r="A60" s="25"/>
      <c r="B60" s="17" t="s">
        <v>1287</v>
      </c>
      <c r="C60" s="17">
        <v>9.304402581E9</v>
      </c>
      <c r="D60" s="19"/>
      <c r="E60" s="22"/>
      <c r="F60" s="19"/>
      <c r="G60" s="19"/>
      <c r="H60" s="17" t="s">
        <v>1233</v>
      </c>
      <c r="I60" s="17" t="s">
        <v>1288</v>
      </c>
      <c r="J60" s="19"/>
      <c r="K60" s="18" t="s">
        <v>1260</v>
      </c>
      <c r="L60" s="17" t="s">
        <v>1268</v>
      </c>
      <c r="M60" s="17" t="s">
        <v>1289</v>
      </c>
      <c r="N60" s="21" t="s">
        <v>30</v>
      </c>
      <c r="O60" s="22"/>
      <c r="P60" s="22"/>
      <c r="Q60" s="19"/>
      <c r="R60" s="19"/>
      <c r="S60" s="22"/>
      <c r="T60" s="19"/>
      <c r="U60" s="22"/>
      <c r="V60" s="19"/>
      <c r="W60" s="19"/>
      <c r="X60" s="22"/>
      <c r="Y60" s="22"/>
      <c r="Z60" s="22"/>
      <c r="AA60" s="19"/>
      <c r="AB60" s="19"/>
    </row>
    <row r="61">
      <c r="A61" s="25"/>
      <c r="B61" s="17" t="s">
        <v>1290</v>
      </c>
      <c r="C61" s="17">
        <v>7.091923787E9</v>
      </c>
      <c r="D61" s="26">
        <v>45.0</v>
      </c>
      <c r="E61" s="20" t="s">
        <v>367</v>
      </c>
      <c r="F61" s="26" t="s">
        <v>374</v>
      </c>
      <c r="G61" s="26" t="s">
        <v>375</v>
      </c>
      <c r="H61" s="17" t="s">
        <v>1233</v>
      </c>
      <c r="I61" s="17" t="s">
        <v>1280</v>
      </c>
      <c r="J61" s="26" t="s">
        <v>1272</v>
      </c>
      <c r="K61" s="18" t="s">
        <v>1260</v>
      </c>
      <c r="L61" s="17" t="s">
        <v>1268</v>
      </c>
      <c r="M61" s="17" t="s">
        <v>1289</v>
      </c>
      <c r="N61" s="21" t="s">
        <v>9</v>
      </c>
      <c r="O61" s="20" t="s">
        <v>4</v>
      </c>
      <c r="P61" s="20" t="s">
        <v>380</v>
      </c>
      <c r="Q61" s="19"/>
      <c r="R61" s="19"/>
      <c r="S61" s="20" t="s">
        <v>4</v>
      </c>
      <c r="T61" s="26" t="s">
        <v>756</v>
      </c>
      <c r="U61" s="20" t="s">
        <v>4</v>
      </c>
      <c r="V61" s="19"/>
      <c r="W61" s="26" t="s">
        <v>616</v>
      </c>
      <c r="X61" s="20" t="s">
        <v>4</v>
      </c>
      <c r="Y61" s="20" t="s">
        <v>4</v>
      </c>
      <c r="Z61" s="20" t="s">
        <v>4</v>
      </c>
      <c r="AA61" s="26" t="s">
        <v>391</v>
      </c>
      <c r="AB61" s="19"/>
    </row>
    <row r="62">
      <c r="A62" s="25"/>
      <c r="B62" s="17" t="s">
        <v>1284</v>
      </c>
      <c r="C62" s="17">
        <v>8.12471461E9</v>
      </c>
      <c r="D62" s="26">
        <v>32.0</v>
      </c>
      <c r="E62" s="20" t="s">
        <v>367</v>
      </c>
      <c r="F62" s="26" t="s">
        <v>1184</v>
      </c>
      <c r="G62" s="26" t="s">
        <v>375</v>
      </c>
      <c r="H62" s="17" t="s">
        <v>1266</v>
      </c>
      <c r="I62" s="17" t="s">
        <v>1291</v>
      </c>
      <c r="J62" s="26" t="s">
        <v>1272</v>
      </c>
      <c r="K62" s="18" t="s">
        <v>1260</v>
      </c>
      <c r="L62" s="17" t="s">
        <v>1268</v>
      </c>
      <c r="M62" s="17" t="s">
        <v>1289</v>
      </c>
      <c r="N62" s="21" t="s">
        <v>9</v>
      </c>
      <c r="O62" s="20" t="s">
        <v>4</v>
      </c>
      <c r="P62" s="20" t="s">
        <v>4</v>
      </c>
      <c r="Q62" s="26" t="s">
        <v>1292</v>
      </c>
      <c r="R62" s="19"/>
      <c r="S62" s="20" t="s">
        <v>4</v>
      </c>
      <c r="T62" s="26" t="s">
        <v>756</v>
      </c>
      <c r="U62" s="20" t="s">
        <v>4</v>
      </c>
      <c r="V62" s="26" t="s">
        <v>757</v>
      </c>
      <c r="W62" s="26" t="s">
        <v>616</v>
      </c>
      <c r="X62" s="20" t="s">
        <v>4</v>
      </c>
      <c r="Y62" s="20" t="s">
        <v>4</v>
      </c>
      <c r="Z62" s="20" t="s">
        <v>4</v>
      </c>
      <c r="AA62" s="26" t="s">
        <v>391</v>
      </c>
      <c r="AB62" s="19"/>
    </row>
    <row r="63">
      <c r="A63" s="25"/>
      <c r="B63" s="17" t="s">
        <v>1293</v>
      </c>
      <c r="C63" s="17">
        <v>6.299849892E9</v>
      </c>
      <c r="D63" s="19"/>
      <c r="E63" s="22"/>
      <c r="F63" s="19"/>
      <c r="G63" s="19"/>
      <c r="H63" s="17" t="s">
        <v>1266</v>
      </c>
      <c r="I63" s="17" t="s">
        <v>1271</v>
      </c>
      <c r="J63" s="19"/>
      <c r="K63" s="18" t="s">
        <v>1260</v>
      </c>
      <c r="L63" s="17" t="s">
        <v>1268</v>
      </c>
      <c r="M63" s="17" t="s">
        <v>1294</v>
      </c>
      <c r="N63" s="21" t="s">
        <v>27</v>
      </c>
      <c r="O63" s="22"/>
      <c r="P63" s="22"/>
      <c r="Q63" s="19"/>
      <c r="R63" s="19"/>
      <c r="S63" s="22"/>
      <c r="T63" s="19"/>
      <c r="U63" s="22"/>
      <c r="V63" s="19"/>
      <c r="W63" s="19"/>
      <c r="X63" s="22"/>
      <c r="Y63" s="22"/>
      <c r="Z63" s="22"/>
      <c r="AA63" s="19"/>
      <c r="AB63" s="19"/>
    </row>
    <row r="64">
      <c r="A64" s="25"/>
      <c r="B64" s="17" t="s">
        <v>1295</v>
      </c>
      <c r="C64" s="17">
        <v>7.00452548E9</v>
      </c>
      <c r="D64" s="26">
        <v>25.0</v>
      </c>
      <c r="E64" s="20" t="s">
        <v>367</v>
      </c>
      <c r="F64" s="26" t="s">
        <v>1184</v>
      </c>
      <c r="G64" s="26" t="s">
        <v>375</v>
      </c>
      <c r="H64" s="17" t="s">
        <v>1266</v>
      </c>
      <c r="I64" s="17" t="s">
        <v>1267</v>
      </c>
      <c r="J64" s="26" t="s">
        <v>1272</v>
      </c>
      <c r="K64" s="18" t="s">
        <v>1260</v>
      </c>
      <c r="L64" s="17" t="s">
        <v>1268</v>
      </c>
      <c r="M64" s="17" t="s">
        <v>1294</v>
      </c>
      <c r="N64" s="21" t="s">
        <v>9</v>
      </c>
      <c r="O64" s="20" t="s">
        <v>4</v>
      </c>
      <c r="P64" s="20" t="s">
        <v>380</v>
      </c>
      <c r="Q64" s="19"/>
      <c r="R64" s="19"/>
      <c r="S64" s="20" t="s">
        <v>4</v>
      </c>
      <c r="T64" s="26" t="s">
        <v>1296</v>
      </c>
      <c r="U64" s="20" t="s">
        <v>4</v>
      </c>
      <c r="V64" s="26" t="s">
        <v>757</v>
      </c>
      <c r="W64" s="26" t="s">
        <v>616</v>
      </c>
      <c r="X64" s="20" t="s">
        <v>4</v>
      </c>
      <c r="Y64" s="20" t="s">
        <v>380</v>
      </c>
      <c r="Z64" s="20" t="s">
        <v>4</v>
      </c>
      <c r="AA64" s="26" t="s">
        <v>391</v>
      </c>
      <c r="AB64" s="19"/>
    </row>
    <row r="65">
      <c r="A65" s="25"/>
      <c r="B65" s="17" t="s">
        <v>1297</v>
      </c>
      <c r="C65" s="17">
        <v>9.835497527E9</v>
      </c>
      <c r="D65" s="26">
        <v>45.0</v>
      </c>
      <c r="E65" s="20" t="s">
        <v>367</v>
      </c>
      <c r="F65" s="26" t="s">
        <v>374</v>
      </c>
      <c r="G65" s="26" t="s">
        <v>375</v>
      </c>
      <c r="H65" s="17" t="s">
        <v>1233</v>
      </c>
      <c r="I65" s="17" t="s">
        <v>1280</v>
      </c>
      <c r="J65" s="26" t="s">
        <v>1272</v>
      </c>
      <c r="K65" s="18" t="s">
        <v>1260</v>
      </c>
      <c r="L65" s="17" t="s">
        <v>1268</v>
      </c>
      <c r="M65" s="17" t="s">
        <v>1294</v>
      </c>
      <c r="N65" s="21" t="s">
        <v>9</v>
      </c>
      <c r="O65" s="20" t="s">
        <v>4</v>
      </c>
      <c r="P65" s="20" t="s">
        <v>4</v>
      </c>
      <c r="Q65" s="19"/>
      <c r="R65" s="19"/>
      <c r="S65" s="20" t="s">
        <v>4</v>
      </c>
      <c r="T65" s="26" t="s">
        <v>1298</v>
      </c>
      <c r="U65" s="20" t="s">
        <v>4</v>
      </c>
      <c r="V65" s="26" t="s">
        <v>462</v>
      </c>
      <c r="W65" s="26" t="s">
        <v>616</v>
      </c>
      <c r="X65" s="20" t="s">
        <v>4</v>
      </c>
      <c r="Y65" s="20" t="s">
        <v>4</v>
      </c>
      <c r="Z65" s="20" t="s">
        <v>4</v>
      </c>
      <c r="AA65" s="26" t="s">
        <v>391</v>
      </c>
      <c r="AB65" s="19"/>
    </row>
    <row r="66">
      <c r="A66" s="25"/>
      <c r="B66" s="17" t="s">
        <v>1299</v>
      </c>
      <c r="C66" s="17">
        <v>8.271750772E9</v>
      </c>
      <c r="D66" s="26">
        <v>32.0</v>
      </c>
      <c r="E66" s="20" t="s">
        <v>367</v>
      </c>
      <c r="F66" s="26" t="s">
        <v>1300</v>
      </c>
      <c r="G66" s="26" t="s">
        <v>518</v>
      </c>
      <c r="H66" s="17" t="s">
        <v>376</v>
      </c>
      <c r="I66" s="17" t="s">
        <v>1301</v>
      </c>
      <c r="J66" s="26" t="s">
        <v>1272</v>
      </c>
      <c r="K66" s="18" t="s">
        <v>1260</v>
      </c>
      <c r="L66" s="17" t="s">
        <v>1261</v>
      </c>
      <c r="M66" s="17" t="s">
        <v>1262</v>
      </c>
      <c r="N66" s="21" t="s">
        <v>9</v>
      </c>
      <c r="O66" s="20" t="s">
        <v>4</v>
      </c>
      <c r="P66" s="20" t="s">
        <v>4</v>
      </c>
      <c r="Q66" s="26" t="s">
        <v>444</v>
      </c>
      <c r="R66" s="26" t="s">
        <v>1302</v>
      </c>
      <c r="S66" s="20" t="s">
        <v>4</v>
      </c>
      <c r="T66" s="26" t="s">
        <v>756</v>
      </c>
      <c r="U66" s="20" t="s">
        <v>4</v>
      </c>
      <c r="V66" s="26" t="s">
        <v>807</v>
      </c>
      <c r="W66" s="26" t="s">
        <v>616</v>
      </c>
      <c r="X66" s="20" t="s">
        <v>4</v>
      </c>
      <c r="Y66" s="20" t="s">
        <v>4</v>
      </c>
      <c r="Z66" s="20" t="s">
        <v>4</v>
      </c>
      <c r="AA66" s="26" t="s">
        <v>391</v>
      </c>
      <c r="AB66" s="19"/>
    </row>
    <row r="67">
      <c r="A67" s="25"/>
      <c r="B67" s="17" t="s">
        <v>1303</v>
      </c>
      <c r="C67" s="17">
        <v>8.409777247E9</v>
      </c>
      <c r="D67" s="26">
        <v>28.0</v>
      </c>
      <c r="E67" s="20" t="s">
        <v>367</v>
      </c>
      <c r="F67" s="26" t="s">
        <v>441</v>
      </c>
      <c r="G67" s="26" t="s">
        <v>518</v>
      </c>
      <c r="H67" s="17" t="s">
        <v>1304</v>
      </c>
      <c r="I67" s="17" t="s">
        <v>1305</v>
      </c>
      <c r="J67" s="26" t="s">
        <v>1272</v>
      </c>
      <c r="K67" s="18" t="s">
        <v>1260</v>
      </c>
      <c r="L67" s="17" t="s">
        <v>1261</v>
      </c>
      <c r="M67" s="17" t="s">
        <v>1262</v>
      </c>
      <c r="N67" s="21" t="s">
        <v>9</v>
      </c>
      <c r="O67" s="20" t="s">
        <v>4</v>
      </c>
      <c r="P67" s="20" t="s">
        <v>4</v>
      </c>
      <c r="Q67" s="26" t="s">
        <v>1200</v>
      </c>
      <c r="R67" s="19"/>
      <c r="S67" s="22"/>
      <c r="T67" s="26" t="s">
        <v>756</v>
      </c>
      <c r="U67" s="20" t="s">
        <v>4</v>
      </c>
      <c r="V67" s="19"/>
      <c r="W67" s="26" t="s">
        <v>616</v>
      </c>
      <c r="X67" s="20" t="s">
        <v>4</v>
      </c>
      <c r="Y67" s="20" t="s">
        <v>380</v>
      </c>
      <c r="Z67" s="20" t="s">
        <v>4</v>
      </c>
      <c r="AA67" s="26" t="s">
        <v>391</v>
      </c>
      <c r="AB67" s="19"/>
    </row>
    <row r="68">
      <c r="A68" s="25"/>
      <c r="B68" s="17" t="s">
        <v>465</v>
      </c>
      <c r="C68" s="17">
        <v>9.199348446E9</v>
      </c>
      <c r="D68" s="26">
        <v>37.0</v>
      </c>
      <c r="E68" s="20" t="s">
        <v>367</v>
      </c>
      <c r="F68" s="26" t="s">
        <v>374</v>
      </c>
      <c r="G68" s="26" t="s">
        <v>375</v>
      </c>
      <c r="H68" s="17" t="s">
        <v>1233</v>
      </c>
      <c r="I68" s="17" t="s">
        <v>1258</v>
      </c>
      <c r="J68" s="26" t="s">
        <v>1272</v>
      </c>
      <c r="K68" s="18" t="s">
        <v>1260</v>
      </c>
      <c r="L68" s="17" t="s">
        <v>1261</v>
      </c>
      <c r="M68" s="17" t="s">
        <v>1262</v>
      </c>
      <c r="N68" s="21" t="s">
        <v>9</v>
      </c>
      <c r="O68" s="20" t="s">
        <v>4</v>
      </c>
      <c r="P68" s="20" t="s">
        <v>380</v>
      </c>
      <c r="Q68" s="19"/>
      <c r="R68" s="19"/>
      <c r="S68" s="20" t="s">
        <v>380</v>
      </c>
      <c r="T68" s="19"/>
      <c r="U68" s="20" t="s">
        <v>4</v>
      </c>
      <c r="V68" s="26" t="s">
        <v>757</v>
      </c>
      <c r="W68" s="26" t="s">
        <v>616</v>
      </c>
      <c r="X68" s="20" t="s">
        <v>4</v>
      </c>
      <c r="Y68" s="20" t="s">
        <v>4</v>
      </c>
      <c r="Z68" s="20" t="s">
        <v>4</v>
      </c>
      <c r="AA68" s="26" t="s">
        <v>391</v>
      </c>
      <c r="AB68" s="19"/>
    </row>
    <row r="69">
      <c r="A69" s="25"/>
      <c r="B69" s="17" t="s">
        <v>1306</v>
      </c>
      <c r="C69" s="17">
        <v>7.549393163E9</v>
      </c>
      <c r="D69" s="26">
        <v>52.0</v>
      </c>
      <c r="E69" s="20" t="s">
        <v>367</v>
      </c>
      <c r="F69" s="26" t="s">
        <v>1184</v>
      </c>
      <c r="G69" s="26" t="s">
        <v>375</v>
      </c>
      <c r="H69" s="17" t="s">
        <v>1233</v>
      </c>
      <c r="I69" s="17" t="s">
        <v>1258</v>
      </c>
      <c r="J69" s="26" t="s">
        <v>1272</v>
      </c>
      <c r="K69" s="18" t="s">
        <v>1260</v>
      </c>
      <c r="L69" s="17" t="s">
        <v>1261</v>
      </c>
      <c r="M69" s="17" t="s">
        <v>1307</v>
      </c>
      <c r="N69" s="21" t="s">
        <v>9</v>
      </c>
      <c r="O69" s="20" t="s">
        <v>4</v>
      </c>
      <c r="P69" s="20" t="s">
        <v>380</v>
      </c>
      <c r="Q69" s="19"/>
      <c r="R69" s="19"/>
      <c r="S69" s="20" t="s">
        <v>4</v>
      </c>
      <c r="T69" s="26" t="s">
        <v>1308</v>
      </c>
      <c r="U69" s="20" t="s">
        <v>4</v>
      </c>
      <c r="V69" s="26" t="s">
        <v>1309</v>
      </c>
      <c r="W69" s="26" t="s">
        <v>616</v>
      </c>
      <c r="X69" s="20" t="s">
        <v>4</v>
      </c>
      <c r="Y69" s="20" t="s">
        <v>4</v>
      </c>
      <c r="Z69" s="20" t="s">
        <v>4</v>
      </c>
      <c r="AA69" s="26" t="s">
        <v>391</v>
      </c>
      <c r="AB69" s="19"/>
    </row>
    <row r="70">
      <c r="A70" s="25"/>
      <c r="B70" s="17" t="s">
        <v>1282</v>
      </c>
      <c r="C70" s="17">
        <v>8.862814222E9</v>
      </c>
      <c r="D70" s="26">
        <v>22.0</v>
      </c>
      <c r="E70" s="20" t="s">
        <v>367</v>
      </c>
      <c r="F70" s="26" t="s">
        <v>382</v>
      </c>
      <c r="G70" s="26" t="s">
        <v>375</v>
      </c>
      <c r="H70" s="17" t="s">
        <v>1310</v>
      </c>
      <c r="I70" s="17" t="s">
        <v>1311</v>
      </c>
      <c r="J70" s="26" t="s">
        <v>1272</v>
      </c>
      <c r="K70" s="18" t="s">
        <v>1260</v>
      </c>
      <c r="L70" s="17" t="s">
        <v>1261</v>
      </c>
      <c r="M70" s="17" t="s">
        <v>1307</v>
      </c>
      <c r="N70" s="21" t="s">
        <v>9</v>
      </c>
      <c r="O70" s="20" t="s">
        <v>4</v>
      </c>
      <c r="P70" s="20" t="s">
        <v>380</v>
      </c>
      <c r="Q70" s="19"/>
      <c r="R70" s="19"/>
      <c r="S70" s="20" t="s">
        <v>4</v>
      </c>
      <c r="T70" s="26" t="s">
        <v>1312</v>
      </c>
      <c r="U70" s="20" t="s">
        <v>380</v>
      </c>
      <c r="V70" s="19"/>
      <c r="W70" s="26" t="s">
        <v>612</v>
      </c>
      <c r="X70" s="20" t="s">
        <v>4</v>
      </c>
      <c r="Y70" s="20" t="s">
        <v>4</v>
      </c>
      <c r="Z70" s="20" t="s">
        <v>4</v>
      </c>
      <c r="AA70" s="26" t="s">
        <v>391</v>
      </c>
      <c r="AB70" s="19"/>
    </row>
    <row r="71">
      <c r="A71" s="25"/>
      <c r="B71" s="17" t="s">
        <v>1313</v>
      </c>
      <c r="C71" s="17">
        <v>7.90339847E9</v>
      </c>
      <c r="D71" s="26">
        <v>25.0</v>
      </c>
      <c r="E71" s="20" t="s">
        <v>367</v>
      </c>
      <c r="F71" s="26" t="s">
        <v>1184</v>
      </c>
      <c r="G71" s="26" t="s">
        <v>375</v>
      </c>
      <c r="H71" s="17" t="s">
        <v>1310</v>
      </c>
      <c r="I71" s="17" t="s">
        <v>1311</v>
      </c>
      <c r="J71" s="26" t="s">
        <v>1272</v>
      </c>
      <c r="K71" s="18" t="s">
        <v>1260</v>
      </c>
      <c r="L71" s="17" t="s">
        <v>1261</v>
      </c>
      <c r="M71" s="17" t="s">
        <v>1307</v>
      </c>
      <c r="N71" s="21" t="s">
        <v>9</v>
      </c>
      <c r="O71" s="20" t="s">
        <v>4</v>
      </c>
      <c r="P71" s="20" t="s">
        <v>380</v>
      </c>
      <c r="Q71" s="19"/>
      <c r="R71" s="19"/>
      <c r="S71" s="20" t="s">
        <v>4</v>
      </c>
      <c r="T71" s="26" t="s">
        <v>756</v>
      </c>
      <c r="U71" s="20" t="s">
        <v>4</v>
      </c>
      <c r="V71" s="26" t="s">
        <v>1314</v>
      </c>
      <c r="W71" s="26" t="s">
        <v>616</v>
      </c>
      <c r="X71" s="20" t="s">
        <v>4</v>
      </c>
      <c r="Y71" s="20" t="s">
        <v>4</v>
      </c>
      <c r="Z71" s="20" t="s">
        <v>4</v>
      </c>
      <c r="AA71" s="26" t="s">
        <v>391</v>
      </c>
      <c r="AB71" s="19"/>
    </row>
    <row r="72">
      <c r="A72" s="25"/>
      <c r="B72" s="17" t="s">
        <v>412</v>
      </c>
      <c r="C72" s="17">
        <v>8.34073961E9</v>
      </c>
      <c r="D72" s="26">
        <v>32.0</v>
      </c>
      <c r="E72" s="20" t="s">
        <v>367</v>
      </c>
      <c r="F72" s="26" t="s">
        <v>1315</v>
      </c>
      <c r="G72" s="26" t="s">
        <v>375</v>
      </c>
      <c r="H72" s="17" t="s">
        <v>1233</v>
      </c>
      <c r="I72" s="17" t="s">
        <v>1280</v>
      </c>
      <c r="J72" s="26" t="s">
        <v>1272</v>
      </c>
      <c r="K72" s="18" t="s">
        <v>1260</v>
      </c>
      <c r="L72" s="17" t="s">
        <v>1316</v>
      </c>
      <c r="M72" s="17" t="s">
        <v>1317</v>
      </c>
      <c r="N72" s="21" t="s">
        <v>9</v>
      </c>
      <c r="O72" s="20" t="s">
        <v>4</v>
      </c>
      <c r="P72" s="20" t="s">
        <v>380</v>
      </c>
      <c r="Q72" s="19"/>
      <c r="R72" s="19"/>
      <c r="S72" s="20" t="s">
        <v>4</v>
      </c>
      <c r="T72" s="26" t="s">
        <v>756</v>
      </c>
      <c r="U72" s="20" t="s">
        <v>4</v>
      </c>
      <c r="V72" s="19"/>
      <c r="W72" s="26" t="s">
        <v>616</v>
      </c>
      <c r="X72" s="20" t="s">
        <v>4</v>
      </c>
      <c r="Y72" s="20" t="s">
        <v>380</v>
      </c>
      <c r="Z72" s="20" t="s">
        <v>4</v>
      </c>
      <c r="AA72" s="26" t="s">
        <v>391</v>
      </c>
      <c r="AB72" s="19"/>
    </row>
    <row r="73">
      <c r="A73" s="25"/>
      <c r="B73" s="17" t="s">
        <v>653</v>
      </c>
      <c r="C73" s="17">
        <v>7.992242754E9</v>
      </c>
      <c r="D73" s="26">
        <v>30.0</v>
      </c>
      <c r="E73" s="20" t="s">
        <v>367</v>
      </c>
      <c r="F73" s="26" t="s">
        <v>1184</v>
      </c>
      <c r="G73" s="26" t="s">
        <v>375</v>
      </c>
      <c r="H73" s="17" t="s">
        <v>1266</v>
      </c>
      <c r="I73" s="17" t="s">
        <v>1267</v>
      </c>
      <c r="J73" s="26" t="s">
        <v>1272</v>
      </c>
      <c r="K73" s="18" t="s">
        <v>1260</v>
      </c>
      <c r="L73" s="17" t="s">
        <v>1276</v>
      </c>
      <c r="M73" s="17" t="s">
        <v>1277</v>
      </c>
      <c r="N73" s="21" t="s">
        <v>9</v>
      </c>
      <c r="O73" s="20" t="s">
        <v>4</v>
      </c>
      <c r="P73" s="20" t="s">
        <v>380</v>
      </c>
      <c r="Q73" s="19"/>
      <c r="R73" s="19"/>
      <c r="S73" s="20" t="s">
        <v>4</v>
      </c>
      <c r="T73" s="26" t="s">
        <v>756</v>
      </c>
      <c r="U73" s="20" t="s">
        <v>4</v>
      </c>
      <c r="V73" s="26" t="s">
        <v>1308</v>
      </c>
      <c r="W73" s="26" t="s">
        <v>616</v>
      </c>
      <c r="X73" s="20" t="s">
        <v>4</v>
      </c>
      <c r="Y73" s="20" t="s">
        <v>4</v>
      </c>
      <c r="Z73" s="20" t="s">
        <v>4</v>
      </c>
      <c r="AA73" s="26" t="s">
        <v>391</v>
      </c>
      <c r="AB73" s="19"/>
    </row>
    <row r="74">
      <c r="A74" s="25"/>
      <c r="B74" s="17" t="s">
        <v>1318</v>
      </c>
      <c r="C74" s="17">
        <v>9.76633185E9</v>
      </c>
      <c r="D74" s="26">
        <v>38.0</v>
      </c>
      <c r="E74" s="20" t="s">
        <v>367</v>
      </c>
      <c r="F74" s="26" t="s">
        <v>1319</v>
      </c>
      <c r="G74" s="26" t="s">
        <v>375</v>
      </c>
      <c r="H74" s="17" t="s">
        <v>1266</v>
      </c>
      <c r="I74" s="17" t="s">
        <v>1320</v>
      </c>
      <c r="J74" s="26" t="s">
        <v>1272</v>
      </c>
      <c r="K74" s="18" t="s">
        <v>1260</v>
      </c>
      <c r="L74" s="17" t="s">
        <v>1276</v>
      </c>
      <c r="M74" s="17" t="s">
        <v>1277</v>
      </c>
      <c r="N74" s="21" t="s">
        <v>9</v>
      </c>
      <c r="O74" s="20" t="s">
        <v>4</v>
      </c>
      <c r="P74" s="20" t="s">
        <v>380</v>
      </c>
      <c r="Q74" s="19"/>
      <c r="R74" s="19"/>
      <c r="S74" s="20" t="s">
        <v>380</v>
      </c>
      <c r="T74" s="19"/>
      <c r="U74" s="20" t="s">
        <v>4</v>
      </c>
      <c r="V74" s="26" t="s">
        <v>757</v>
      </c>
      <c r="W74" s="26" t="s">
        <v>612</v>
      </c>
      <c r="X74" s="20" t="s">
        <v>4</v>
      </c>
      <c r="Y74" s="20" t="s">
        <v>380</v>
      </c>
      <c r="Z74" s="20" t="s">
        <v>4</v>
      </c>
      <c r="AA74" s="26" t="s">
        <v>391</v>
      </c>
      <c r="AB74" s="19"/>
    </row>
    <row r="75">
      <c r="A75" s="25"/>
      <c r="B75" s="17" t="s">
        <v>1321</v>
      </c>
      <c r="C75" s="17">
        <v>8.294986386E9</v>
      </c>
      <c r="D75" s="19"/>
      <c r="E75" s="22"/>
      <c r="F75" s="19"/>
      <c r="G75" s="19"/>
      <c r="H75" s="17" t="s">
        <v>1310</v>
      </c>
      <c r="I75" s="17" t="s">
        <v>1322</v>
      </c>
      <c r="J75" s="19"/>
      <c r="K75" s="18" t="s">
        <v>1260</v>
      </c>
      <c r="L75" s="17" t="s">
        <v>1316</v>
      </c>
      <c r="M75" s="17" t="s">
        <v>1323</v>
      </c>
      <c r="N75" s="21" t="s">
        <v>30</v>
      </c>
      <c r="O75" s="22"/>
      <c r="P75" s="22"/>
      <c r="Q75" s="19"/>
      <c r="R75" s="19"/>
      <c r="S75" s="22"/>
      <c r="T75" s="19"/>
      <c r="U75" s="22"/>
      <c r="V75" s="19"/>
      <c r="W75" s="19"/>
      <c r="X75" s="22"/>
      <c r="Y75" s="22"/>
      <c r="Z75" s="22"/>
      <c r="AA75" s="19"/>
      <c r="AB75" s="19"/>
    </row>
    <row r="76">
      <c r="A76" s="25"/>
      <c r="B76" s="17" t="s">
        <v>1324</v>
      </c>
      <c r="C76" s="17">
        <v>9.033161595E9</v>
      </c>
      <c r="D76" s="19"/>
      <c r="E76" s="22"/>
      <c r="F76" s="19"/>
      <c r="G76" s="19"/>
      <c r="H76" s="17" t="s">
        <v>1325</v>
      </c>
      <c r="I76" s="17" t="s">
        <v>1283</v>
      </c>
      <c r="J76" s="19"/>
      <c r="K76" s="18" t="s">
        <v>1260</v>
      </c>
      <c r="L76" s="17" t="s">
        <v>1261</v>
      </c>
      <c r="M76" s="17" t="s">
        <v>1326</v>
      </c>
      <c r="N76" s="21" t="s">
        <v>23</v>
      </c>
      <c r="O76" s="22"/>
      <c r="P76" s="22"/>
      <c r="Q76" s="19"/>
      <c r="R76" s="19"/>
      <c r="S76" s="22"/>
      <c r="T76" s="19"/>
      <c r="U76" s="22"/>
      <c r="V76" s="19"/>
      <c r="W76" s="19"/>
      <c r="X76" s="22"/>
      <c r="Y76" s="22"/>
      <c r="Z76" s="22"/>
      <c r="AA76" s="19"/>
      <c r="AB76" s="19"/>
    </row>
    <row r="77">
      <c r="A77" s="25"/>
      <c r="B77" s="17" t="s">
        <v>1080</v>
      </c>
      <c r="C77" s="17">
        <v>6.205372009E9</v>
      </c>
      <c r="D77" s="26">
        <v>34.0</v>
      </c>
      <c r="E77" s="20" t="s">
        <v>367</v>
      </c>
      <c r="F77" s="26" t="s">
        <v>1327</v>
      </c>
      <c r="G77" s="26" t="s">
        <v>375</v>
      </c>
      <c r="H77" s="17" t="s">
        <v>1266</v>
      </c>
      <c r="I77" s="17" t="s">
        <v>1267</v>
      </c>
      <c r="J77" s="26" t="s">
        <v>1272</v>
      </c>
      <c r="K77" s="18" t="s">
        <v>1260</v>
      </c>
      <c r="L77" s="17" t="s">
        <v>1261</v>
      </c>
      <c r="M77" s="17" t="s">
        <v>1326</v>
      </c>
      <c r="N77" s="21" t="s">
        <v>9</v>
      </c>
      <c r="O77" s="20" t="s">
        <v>4</v>
      </c>
      <c r="P77" s="20" t="s">
        <v>380</v>
      </c>
      <c r="Q77" s="19"/>
      <c r="R77" s="19"/>
      <c r="S77" s="20" t="s">
        <v>4</v>
      </c>
      <c r="T77" s="26" t="s">
        <v>756</v>
      </c>
      <c r="U77" s="20" t="s">
        <v>380</v>
      </c>
      <c r="V77" s="19"/>
      <c r="W77" s="26" t="s">
        <v>616</v>
      </c>
      <c r="X77" s="20" t="s">
        <v>380</v>
      </c>
      <c r="Y77" s="20" t="s">
        <v>4</v>
      </c>
      <c r="Z77" s="20" t="s">
        <v>4</v>
      </c>
      <c r="AA77" s="26" t="s">
        <v>391</v>
      </c>
      <c r="AB77" s="19"/>
    </row>
    <row r="78">
      <c r="A78" s="25"/>
      <c r="B78" s="17" t="s">
        <v>1328</v>
      </c>
      <c r="C78" s="17">
        <v>6.201785701E9</v>
      </c>
      <c r="D78" s="26">
        <v>35.0</v>
      </c>
      <c r="E78" s="20" t="s">
        <v>367</v>
      </c>
      <c r="F78" s="26" t="s">
        <v>1329</v>
      </c>
      <c r="G78" s="26" t="s">
        <v>375</v>
      </c>
      <c r="H78" s="17" t="s">
        <v>1233</v>
      </c>
      <c r="I78" s="17" t="s">
        <v>1330</v>
      </c>
      <c r="J78" s="26" t="s">
        <v>1272</v>
      </c>
      <c r="K78" s="18" t="s">
        <v>1260</v>
      </c>
      <c r="L78" s="17" t="s">
        <v>1261</v>
      </c>
      <c r="M78" s="17" t="s">
        <v>1331</v>
      </c>
      <c r="N78" s="21" t="s">
        <v>9</v>
      </c>
      <c r="O78" s="20" t="s">
        <v>4</v>
      </c>
      <c r="P78" s="20" t="s">
        <v>380</v>
      </c>
      <c r="Q78" s="19"/>
      <c r="R78" s="19"/>
      <c r="S78" s="20" t="s">
        <v>4</v>
      </c>
      <c r="T78" s="26" t="s">
        <v>1332</v>
      </c>
      <c r="U78" s="20" t="s">
        <v>380</v>
      </c>
      <c r="V78" s="19"/>
      <c r="W78" s="26" t="s">
        <v>616</v>
      </c>
      <c r="X78" s="20" t="s">
        <v>380</v>
      </c>
      <c r="Y78" s="20" t="s">
        <v>4</v>
      </c>
      <c r="Z78" s="20" t="s">
        <v>4</v>
      </c>
      <c r="AA78" s="26" t="s">
        <v>391</v>
      </c>
      <c r="AB78" s="19"/>
    </row>
    <row r="79">
      <c r="A79" s="25"/>
      <c r="B79" s="17" t="s">
        <v>629</v>
      </c>
      <c r="C79" s="17">
        <v>9.60886355E9</v>
      </c>
      <c r="D79" s="26">
        <v>45.0</v>
      </c>
      <c r="E79" s="20" t="s">
        <v>367</v>
      </c>
      <c r="F79" s="26" t="s">
        <v>1184</v>
      </c>
      <c r="G79" s="26" t="s">
        <v>375</v>
      </c>
      <c r="H79" s="17" t="s">
        <v>1310</v>
      </c>
      <c r="I79" s="17" t="s">
        <v>1311</v>
      </c>
      <c r="J79" s="26" t="s">
        <v>1272</v>
      </c>
      <c r="K79" s="18" t="s">
        <v>1260</v>
      </c>
      <c r="L79" s="17" t="s">
        <v>1261</v>
      </c>
      <c r="M79" s="17" t="s">
        <v>1333</v>
      </c>
      <c r="N79" s="21" t="s">
        <v>9</v>
      </c>
      <c r="O79" s="20" t="s">
        <v>4</v>
      </c>
      <c r="P79" s="20" t="s">
        <v>380</v>
      </c>
      <c r="Q79" s="19"/>
      <c r="R79" s="19"/>
      <c r="S79" s="20" t="s">
        <v>4</v>
      </c>
      <c r="T79" s="26" t="s">
        <v>756</v>
      </c>
      <c r="U79" s="20" t="s">
        <v>4</v>
      </c>
      <c r="V79" s="26" t="s">
        <v>1334</v>
      </c>
      <c r="W79" s="26" t="s">
        <v>616</v>
      </c>
      <c r="X79" s="20" t="s">
        <v>4</v>
      </c>
      <c r="Y79" s="20" t="s">
        <v>4</v>
      </c>
      <c r="Z79" s="20" t="s">
        <v>4</v>
      </c>
      <c r="AA79" s="26" t="s">
        <v>391</v>
      </c>
      <c r="AB79" s="19"/>
    </row>
    <row r="80">
      <c r="A80" s="25"/>
      <c r="B80" s="17" t="s">
        <v>1335</v>
      </c>
      <c r="C80" s="17">
        <v>9.128468615E9</v>
      </c>
      <c r="D80" s="26">
        <v>42.0</v>
      </c>
      <c r="E80" s="20" t="s">
        <v>367</v>
      </c>
      <c r="F80" s="26" t="s">
        <v>374</v>
      </c>
      <c r="G80" s="26" t="s">
        <v>375</v>
      </c>
      <c r="H80" s="17" t="s">
        <v>1233</v>
      </c>
      <c r="I80" s="17" t="s">
        <v>1280</v>
      </c>
      <c r="J80" s="26" t="s">
        <v>1272</v>
      </c>
      <c r="K80" s="18" t="s">
        <v>1260</v>
      </c>
      <c r="L80" s="17" t="s">
        <v>1261</v>
      </c>
      <c r="M80" s="17" t="s">
        <v>1333</v>
      </c>
      <c r="N80" s="21" t="s">
        <v>9</v>
      </c>
      <c r="O80" s="20" t="s">
        <v>4</v>
      </c>
      <c r="P80" s="20" t="s">
        <v>380</v>
      </c>
      <c r="Q80" s="19"/>
      <c r="R80" s="19"/>
      <c r="S80" s="20" t="s">
        <v>4</v>
      </c>
      <c r="T80" s="26" t="s">
        <v>756</v>
      </c>
      <c r="U80" s="20" t="s">
        <v>4</v>
      </c>
      <c r="V80" s="19"/>
      <c r="W80" s="26" t="s">
        <v>612</v>
      </c>
      <c r="X80" s="20" t="s">
        <v>4</v>
      </c>
      <c r="Y80" s="20" t="s">
        <v>4</v>
      </c>
      <c r="Z80" s="20" t="s">
        <v>4</v>
      </c>
      <c r="AA80" s="26" t="s">
        <v>391</v>
      </c>
      <c r="AB80" s="19"/>
    </row>
    <row r="81">
      <c r="A81" s="25"/>
      <c r="B81" s="17" t="s">
        <v>1336</v>
      </c>
      <c r="C81" s="17">
        <v>7.320820657E9</v>
      </c>
      <c r="D81" s="26">
        <v>32.0</v>
      </c>
      <c r="E81" s="20" t="s">
        <v>367</v>
      </c>
      <c r="F81" s="26" t="s">
        <v>1184</v>
      </c>
      <c r="G81" s="26" t="s">
        <v>375</v>
      </c>
      <c r="H81" s="17" t="s">
        <v>1266</v>
      </c>
      <c r="I81" s="17" t="s">
        <v>1271</v>
      </c>
      <c r="J81" s="26" t="s">
        <v>1272</v>
      </c>
      <c r="K81" s="18" t="s">
        <v>1260</v>
      </c>
      <c r="L81" s="17" t="s">
        <v>1261</v>
      </c>
      <c r="M81" s="17" t="s">
        <v>1333</v>
      </c>
      <c r="N81" s="21" t="s">
        <v>9</v>
      </c>
      <c r="O81" s="20" t="s">
        <v>4</v>
      </c>
      <c r="P81" s="20" t="s">
        <v>4</v>
      </c>
      <c r="Q81" s="26" t="s">
        <v>1337</v>
      </c>
      <c r="R81" s="19"/>
      <c r="S81" s="20" t="s">
        <v>4</v>
      </c>
      <c r="T81" s="26" t="s">
        <v>756</v>
      </c>
      <c r="U81" s="20" t="s">
        <v>4</v>
      </c>
      <c r="V81" s="19"/>
      <c r="W81" s="26" t="s">
        <v>616</v>
      </c>
      <c r="X81" s="20" t="s">
        <v>4</v>
      </c>
      <c r="Y81" s="20" t="s">
        <v>4</v>
      </c>
      <c r="Z81" s="20" t="s">
        <v>4</v>
      </c>
      <c r="AA81" s="26" t="s">
        <v>391</v>
      </c>
      <c r="AB81" s="19"/>
    </row>
    <row r="82">
      <c r="A82" s="25"/>
      <c r="B82" s="17" t="s">
        <v>111</v>
      </c>
      <c r="C82" s="17">
        <v>7.979077358E9</v>
      </c>
      <c r="D82" s="26">
        <v>25.0</v>
      </c>
      <c r="E82" s="20" t="s">
        <v>367</v>
      </c>
      <c r="F82" s="26" t="s">
        <v>437</v>
      </c>
      <c r="G82" s="26" t="s">
        <v>375</v>
      </c>
      <c r="H82" s="17" t="s">
        <v>1233</v>
      </c>
      <c r="I82" s="17" t="s">
        <v>1338</v>
      </c>
      <c r="J82" s="26" t="s">
        <v>1272</v>
      </c>
      <c r="K82" s="18" t="s">
        <v>1260</v>
      </c>
      <c r="L82" s="17" t="s">
        <v>1261</v>
      </c>
      <c r="M82" s="17" t="s">
        <v>1331</v>
      </c>
      <c r="N82" s="21" t="s">
        <v>9</v>
      </c>
      <c r="O82" s="20" t="s">
        <v>4</v>
      </c>
      <c r="P82" s="20" t="s">
        <v>380</v>
      </c>
      <c r="Q82" s="19"/>
      <c r="R82" s="19"/>
      <c r="S82" s="20" t="s">
        <v>4</v>
      </c>
      <c r="T82" s="26" t="s">
        <v>756</v>
      </c>
      <c r="U82" s="20" t="s">
        <v>380</v>
      </c>
      <c r="V82" s="19"/>
      <c r="W82" s="26" t="s">
        <v>616</v>
      </c>
      <c r="X82" s="20" t="s">
        <v>4</v>
      </c>
      <c r="Y82" s="20" t="s">
        <v>4</v>
      </c>
      <c r="Z82" s="20" t="s">
        <v>4</v>
      </c>
      <c r="AA82" s="26" t="s">
        <v>391</v>
      </c>
      <c r="AB82" s="19"/>
    </row>
    <row r="83">
      <c r="A83" s="25"/>
      <c r="B83" s="17" t="s">
        <v>1339</v>
      </c>
      <c r="C83" s="17">
        <v>6.203748494E9</v>
      </c>
      <c r="D83" s="26">
        <v>32.0</v>
      </c>
      <c r="E83" s="20" t="s">
        <v>367</v>
      </c>
      <c r="F83" s="26" t="s">
        <v>374</v>
      </c>
      <c r="G83" s="26" t="s">
        <v>375</v>
      </c>
      <c r="H83" s="17" t="s">
        <v>1233</v>
      </c>
      <c r="I83" s="17" t="s">
        <v>1280</v>
      </c>
      <c r="J83" s="26" t="s">
        <v>1272</v>
      </c>
      <c r="K83" s="18" t="s">
        <v>1260</v>
      </c>
      <c r="L83" s="17" t="s">
        <v>1261</v>
      </c>
      <c r="M83" s="17" t="s">
        <v>1331</v>
      </c>
      <c r="N83" s="21" t="s">
        <v>9</v>
      </c>
      <c r="O83" s="20" t="s">
        <v>4</v>
      </c>
      <c r="P83" s="20" t="s">
        <v>380</v>
      </c>
      <c r="Q83" s="19"/>
      <c r="R83" s="19"/>
      <c r="S83" s="20" t="s">
        <v>4</v>
      </c>
      <c r="T83" s="26" t="s">
        <v>756</v>
      </c>
      <c r="U83" s="20" t="s">
        <v>4</v>
      </c>
      <c r="V83" s="26" t="s">
        <v>757</v>
      </c>
      <c r="W83" s="26" t="s">
        <v>616</v>
      </c>
      <c r="X83" s="20" t="s">
        <v>4</v>
      </c>
      <c r="Y83" s="20" t="s">
        <v>4</v>
      </c>
      <c r="Z83" s="20" t="s">
        <v>4</v>
      </c>
      <c r="AA83" s="26" t="s">
        <v>391</v>
      </c>
      <c r="AB83" s="19"/>
    </row>
    <row r="84">
      <c r="A84" s="25"/>
      <c r="B84" s="17" t="s">
        <v>1340</v>
      </c>
      <c r="C84" s="17">
        <v>6.206650407E9</v>
      </c>
      <c r="D84" s="26">
        <v>42.0</v>
      </c>
      <c r="E84" s="20" t="s">
        <v>367</v>
      </c>
      <c r="F84" s="26" t="s">
        <v>1184</v>
      </c>
      <c r="G84" s="26" t="s">
        <v>375</v>
      </c>
      <c r="H84" s="17" t="s">
        <v>1233</v>
      </c>
      <c r="I84" s="17" t="s">
        <v>1280</v>
      </c>
      <c r="J84" s="26" t="s">
        <v>1272</v>
      </c>
      <c r="K84" s="18" t="s">
        <v>1260</v>
      </c>
      <c r="L84" s="17" t="s">
        <v>1261</v>
      </c>
      <c r="M84" s="17" t="s">
        <v>1331</v>
      </c>
      <c r="N84" s="21" t="s">
        <v>9</v>
      </c>
      <c r="O84" s="20" t="s">
        <v>4</v>
      </c>
      <c r="P84" s="20" t="s">
        <v>4</v>
      </c>
      <c r="Q84" s="26" t="s">
        <v>444</v>
      </c>
      <c r="R84" s="19"/>
      <c r="S84" s="20" t="s">
        <v>4</v>
      </c>
      <c r="T84" s="26" t="s">
        <v>756</v>
      </c>
      <c r="U84" s="20" t="s">
        <v>4</v>
      </c>
      <c r="V84" s="26" t="s">
        <v>757</v>
      </c>
      <c r="W84" s="26" t="s">
        <v>616</v>
      </c>
      <c r="X84" s="20" t="s">
        <v>4</v>
      </c>
      <c r="Y84" s="20" t="s">
        <v>4</v>
      </c>
      <c r="Z84" s="20" t="s">
        <v>4</v>
      </c>
      <c r="AA84" s="26" t="s">
        <v>391</v>
      </c>
      <c r="AB84" s="19"/>
    </row>
    <row r="85">
      <c r="A85" s="25"/>
      <c r="B85" s="17" t="s">
        <v>1341</v>
      </c>
      <c r="C85" s="17">
        <v>7.322942937E9</v>
      </c>
      <c r="D85" s="26">
        <v>30.0</v>
      </c>
      <c r="E85" s="20" t="s">
        <v>367</v>
      </c>
      <c r="F85" s="26" t="s">
        <v>441</v>
      </c>
      <c r="G85" s="26" t="s">
        <v>375</v>
      </c>
      <c r="H85" s="17" t="s">
        <v>1233</v>
      </c>
      <c r="I85" s="17" t="s">
        <v>1338</v>
      </c>
      <c r="J85" s="26" t="s">
        <v>1272</v>
      </c>
      <c r="K85" s="18" t="s">
        <v>1260</v>
      </c>
      <c r="L85" s="17" t="s">
        <v>1261</v>
      </c>
      <c r="M85" s="17" t="s">
        <v>1342</v>
      </c>
      <c r="N85" s="21" t="s">
        <v>9</v>
      </c>
      <c r="O85" s="20" t="s">
        <v>4</v>
      </c>
      <c r="P85" s="20" t="s">
        <v>380</v>
      </c>
      <c r="Q85" s="19"/>
      <c r="R85" s="19"/>
      <c r="S85" s="20" t="s">
        <v>4</v>
      </c>
      <c r="T85" s="26" t="s">
        <v>1343</v>
      </c>
      <c r="U85" s="20" t="s">
        <v>4</v>
      </c>
      <c r="V85" s="26" t="s">
        <v>757</v>
      </c>
      <c r="W85" s="26" t="s">
        <v>616</v>
      </c>
      <c r="X85" s="20" t="s">
        <v>4</v>
      </c>
      <c r="Y85" s="20" t="s">
        <v>380</v>
      </c>
      <c r="Z85" s="20" t="s">
        <v>4</v>
      </c>
      <c r="AA85" s="26" t="s">
        <v>391</v>
      </c>
      <c r="AB85" s="19"/>
    </row>
    <row r="86">
      <c r="A86" s="25"/>
      <c r="B86" s="17" t="s">
        <v>1344</v>
      </c>
      <c r="C86" s="17">
        <v>7.294022932E9</v>
      </c>
      <c r="D86" s="26">
        <v>21.0</v>
      </c>
      <c r="E86" s="20" t="s">
        <v>367</v>
      </c>
      <c r="F86" s="26" t="s">
        <v>437</v>
      </c>
      <c r="G86" s="26" t="s">
        <v>518</v>
      </c>
      <c r="H86" s="17" t="s">
        <v>507</v>
      </c>
      <c r="I86" s="17" t="s">
        <v>1304</v>
      </c>
      <c r="J86" s="26" t="s">
        <v>1272</v>
      </c>
      <c r="K86" s="18" t="s">
        <v>1260</v>
      </c>
      <c r="L86" s="17" t="s">
        <v>1261</v>
      </c>
      <c r="M86" s="17" t="s">
        <v>1345</v>
      </c>
      <c r="N86" s="21" t="s">
        <v>9</v>
      </c>
      <c r="O86" s="20" t="s">
        <v>4</v>
      </c>
      <c r="P86" s="20" t="s">
        <v>380</v>
      </c>
      <c r="Q86" s="19"/>
      <c r="R86" s="19"/>
      <c r="S86" s="20" t="s">
        <v>380</v>
      </c>
      <c r="T86" s="19"/>
      <c r="U86" s="20" t="s">
        <v>4</v>
      </c>
      <c r="V86" s="26" t="s">
        <v>1346</v>
      </c>
      <c r="W86" s="26" t="s">
        <v>616</v>
      </c>
      <c r="X86" s="20" t="s">
        <v>4</v>
      </c>
      <c r="Y86" s="20" t="s">
        <v>380</v>
      </c>
      <c r="Z86" s="20" t="s">
        <v>4</v>
      </c>
      <c r="AA86" s="26" t="s">
        <v>391</v>
      </c>
      <c r="AB86" s="19"/>
    </row>
    <row r="87">
      <c r="A87" s="25"/>
      <c r="B87" s="17" t="s">
        <v>1282</v>
      </c>
      <c r="C87" s="17">
        <v>6.201630344E9</v>
      </c>
      <c r="D87" s="26">
        <v>26.0</v>
      </c>
      <c r="E87" s="20" t="s">
        <v>367</v>
      </c>
      <c r="F87" s="26" t="s">
        <v>441</v>
      </c>
      <c r="G87" s="26" t="s">
        <v>375</v>
      </c>
      <c r="H87" s="17" t="s">
        <v>1233</v>
      </c>
      <c r="I87" s="17" t="s">
        <v>1347</v>
      </c>
      <c r="J87" s="26" t="s">
        <v>1272</v>
      </c>
      <c r="K87" s="18" t="s">
        <v>1260</v>
      </c>
      <c r="L87" s="17" t="s">
        <v>1261</v>
      </c>
      <c r="M87" s="17" t="s">
        <v>1345</v>
      </c>
      <c r="N87" s="21" t="s">
        <v>9</v>
      </c>
      <c r="O87" s="20" t="s">
        <v>4</v>
      </c>
      <c r="P87" s="20" t="s">
        <v>4</v>
      </c>
      <c r="Q87" s="26" t="s">
        <v>432</v>
      </c>
      <c r="R87" s="19"/>
      <c r="S87" s="20" t="s">
        <v>4</v>
      </c>
      <c r="T87" s="19"/>
      <c r="U87" s="20" t="s">
        <v>4</v>
      </c>
      <c r="V87" s="19"/>
      <c r="W87" s="26" t="s">
        <v>612</v>
      </c>
      <c r="X87" s="20" t="s">
        <v>4</v>
      </c>
      <c r="Y87" s="20" t="s">
        <v>4</v>
      </c>
      <c r="Z87" s="20" t="s">
        <v>4</v>
      </c>
      <c r="AA87" s="26" t="s">
        <v>391</v>
      </c>
      <c r="AB87" s="19"/>
    </row>
    <row r="88">
      <c r="A88" s="25"/>
      <c r="B88" s="17" t="s">
        <v>1348</v>
      </c>
      <c r="C88" s="17">
        <v>9.905115387E9</v>
      </c>
      <c r="D88" s="26">
        <v>21.0</v>
      </c>
      <c r="E88" s="20" t="s">
        <v>367</v>
      </c>
      <c r="F88" s="26" t="s">
        <v>382</v>
      </c>
      <c r="G88" s="26" t="s">
        <v>518</v>
      </c>
      <c r="H88" s="17" t="s">
        <v>1349</v>
      </c>
      <c r="I88" s="17" t="s">
        <v>1350</v>
      </c>
      <c r="J88" s="26" t="s">
        <v>1272</v>
      </c>
      <c r="K88" s="18" t="s">
        <v>1260</v>
      </c>
      <c r="L88" s="17" t="s">
        <v>1261</v>
      </c>
      <c r="M88" s="17" t="s">
        <v>1345</v>
      </c>
      <c r="N88" s="21" t="s">
        <v>9</v>
      </c>
      <c r="O88" s="20" t="s">
        <v>4</v>
      </c>
      <c r="P88" s="20" t="s">
        <v>380</v>
      </c>
      <c r="Q88" s="19"/>
      <c r="R88" s="19"/>
      <c r="S88" s="20" t="s">
        <v>380</v>
      </c>
      <c r="T88" s="19"/>
      <c r="U88" s="20" t="s">
        <v>4</v>
      </c>
      <c r="V88" s="19"/>
      <c r="W88" s="19"/>
      <c r="X88" s="22"/>
      <c r="Y88" s="22"/>
      <c r="Z88" s="22"/>
      <c r="AA88" s="26" t="s">
        <v>410</v>
      </c>
      <c r="AB88" s="26" t="s">
        <v>1351</v>
      </c>
    </row>
    <row r="89">
      <c r="A89" s="25"/>
      <c r="B89" s="17" t="s">
        <v>1324</v>
      </c>
      <c r="C89" s="17">
        <v>9.122256623E9</v>
      </c>
      <c r="D89" s="26">
        <v>32.0</v>
      </c>
      <c r="E89" s="20" t="s">
        <v>367</v>
      </c>
      <c r="F89" s="26" t="s">
        <v>441</v>
      </c>
      <c r="G89" s="26" t="s">
        <v>375</v>
      </c>
      <c r="H89" s="17" t="s">
        <v>1233</v>
      </c>
      <c r="I89" s="17" t="s">
        <v>1258</v>
      </c>
      <c r="J89" s="26" t="s">
        <v>1272</v>
      </c>
      <c r="K89" s="18" t="s">
        <v>1260</v>
      </c>
      <c r="L89" s="17" t="s">
        <v>1261</v>
      </c>
      <c r="M89" s="17" t="s">
        <v>1345</v>
      </c>
      <c r="N89" s="21" t="s">
        <v>9</v>
      </c>
      <c r="O89" s="20" t="s">
        <v>380</v>
      </c>
      <c r="P89" s="20" t="s">
        <v>380</v>
      </c>
      <c r="Q89" s="19"/>
      <c r="R89" s="19"/>
      <c r="S89" s="20" t="s">
        <v>380</v>
      </c>
      <c r="T89" s="19"/>
      <c r="U89" s="20" t="s">
        <v>4</v>
      </c>
      <c r="V89" s="26" t="s">
        <v>757</v>
      </c>
      <c r="W89" s="26" t="s">
        <v>616</v>
      </c>
      <c r="X89" s="20" t="s">
        <v>4</v>
      </c>
      <c r="Y89" s="20" t="s">
        <v>4</v>
      </c>
      <c r="Z89" s="20" t="s">
        <v>4</v>
      </c>
      <c r="AA89" s="26" t="s">
        <v>391</v>
      </c>
      <c r="AB89" s="19"/>
    </row>
    <row r="90">
      <c r="A90" s="25"/>
      <c r="B90" s="17" t="s">
        <v>1352</v>
      </c>
      <c r="C90" s="17">
        <v>9.572808661E9</v>
      </c>
      <c r="D90" s="26">
        <v>40.0</v>
      </c>
      <c r="E90" s="20" t="s">
        <v>405</v>
      </c>
      <c r="F90" s="26" t="s">
        <v>1184</v>
      </c>
      <c r="G90" s="26" t="s">
        <v>375</v>
      </c>
      <c r="H90" s="17" t="s">
        <v>1233</v>
      </c>
      <c r="I90" s="17" t="s">
        <v>1353</v>
      </c>
      <c r="J90" s="26" t="s">
        <v>1272</v>
      </c>
      <c r="K90" s="18" t="s">
        <v>1260</v>
      </c>
      <c r="L90" s="17" t="s">
        <v>1261</v>
      </c>
      <c r="M90" s="17" t="s">
        <v>1345</v>
      </c>
      <c r="N90" s="21" t="s">
        <v>9</v>
      </c>
      <c r="O90" s="20" t="s">
        <v>4</v>
      </c>
      <c r="P90" s="20" t="s">
        <v>380</v>
      </c>
      <c r="Q90" s="19"/>
      <c r="R90" s="19"/>
      <c r="S90" s="20" t="s">
        <v>380</v>
      </c>
      <c r="T90" s="19"/>
      <c r="U90" s="20" t="s">
        <v>380</v>
      </c>
      <c r="V90" s="19"/>
      <c r="W90" s="26" t="s">
        <v>616</v>
      </c>
      <c r="X90" s="20" t="s">
        <v>4</v>
      </c>
      <c r="Y90" s="20" t="s">
        <v>4</v>
      </c>
      <c r="Z90" s="20" t="s">
        <v>4</v>
      </c>
      <c r="AA90" s="26" t="s">
        <v>391</v>
      </c>
      <c r="AB90" s="19"/>
    </row>
    <row r="91">
      <c r="A91" s="25"/>
      <c r="B91" s="17" t="s">
        <v>1354</v>
      </c>
      <c r="C91" s="17">
        <v>8.603739297E9</v>
      </c>
      <c r="D91" s="26">
        <v>20.0</v>
      </c>
      <c r="E91" s="20" t="s">
        <v>367</v>
      </c>
      <c r="F91" s="26" t="s">
        <v>1355</v>
      </c>
      <c r="G91" s="26" t="s">
        <v>371</v>
      </c>
      <c r="H91" s="17" t="s">
        <v>1349</v>
      </c>
      <c r="I91" s="17" t="s">
        <v>1350</v>
      </c>
      <c r="J91" s="26" t="s">
        <v>1356</v>
      </c>
      <c r="K91" s="18" t="s">
        <v>1260</v>
      </c>
      <c r="L91" s="17" t="s">
        <v>1261</v>
      </c>
      <c r="M91" s="17" t="s">
        <v>1345</v>
      </c>
      <c r="N91" s="21" t="s">
        <v>9</v>
      </c>
      <c r="O91" s="20" t="s">
        <v>4</v>
      </c>
      <c r="P91" s="20" t="s">
        <v>380</v>
      </c>
      <c r="Q91" s="19"/>
      <c r="R91" s="19"/>
      <c r="S91" s="20" t="s">
        <v>380</v>
      </c>
      <c r="T91" s="19"/>
      <c r="U91" s="20" t="s">
        <v>380</v>
      </c>
      <c r="V91" s="19"/>
      <c r="W91" s="26" t="s">
        <v>616</v>
      </c>
      <c r="X91" s="20" t="s">
        <v>4</v>
      </c>
      <c r="Y91" s="20" t="s">
        <v>4</v>
      </c>
      <c r="Z91" s="20" t="s">
        <v>4</v>
      </c>
      <c r="AA91" s="26" t="s">
        <v>391</v>
      </c>
      <c r="AB91" s="19"/>
    </row>
    <row r="92">
      <c r="A92" s="25"/>
      <c r="B92" s="17" t="s">
        <v>1357</v>
      </c>
      <c r="C92" s="17">
        <v>8.862826474E9</v>
      </c>
      <c r="D92" s="19"/>
      <c r="E92" s="22"/>
      <c r="F92" s="19"/>
      <c r="G92" s="19"/>
      <c r="H92" s="17" t="s">
        <v>1310</v>
      </c>
      <c r="I92" s="17" t="s">
        <v>1311</v>
      </c>
      <c r="J92" s="19"/>
      <c r="K92" s="18" t="s">
        <v>1260</v>
      </c>
      <c r="L92" s="17" t="s">
        <v>1268</v>
      </c>
      <c r="M92" s="17" t="s">
        <v>1358</v>
      </c>
      <c r="N92" s="21" t="s">
        <v>9</v>
      </c>
      <c r="O92" s="22"/>
      <c r="P92" s="22"/>
      <c r="Q92" s="19"/>
      <c r="R92" s="19"/>
      <c r="S92" s="22"/>
      <c r="T92" s="19"/>
      <c r="U92" s="22"/>
      <c r="V92" s="19"/>
      <c r="W92" s="19"/>
      <c r="X92" s="22"/>
      <c r="Y92" s="22"/>
      <c r="Z92" s="22"/>
      <c r="AA92" s="26" t="s">
        <v>410</v>
      </c>
      <c r="AB92" s="26" t="s">
        <v>1359</v>
      </c>
    </row>
    <row r="93">
      <c r="A93" s="31"/>
      <c r="B93" s="17" t="s">
        <v>1360</v>
      </c>
      <c r="C93" s="17">
        <v>7.667723682E9</v>
      </c>
      <c r="D93" s="26">
        <v>22.0</v>
      </c>
      <c r="E93" s="20" t="s">
        <v>367</v>
      </c>
      <c r="F93" s="26" t="s">
        <v>1355</v>
      </c>
      <c r="G93" s="26" t="s">
        <v>371</v>
      </c>
      <c r="H93" s="17" t="s">
        <v>1310</v>
      </c>
      <c r="I93" s="17" t="s">
        <v>1311</v>
      </c>
      <c r="J93" s="26" t="s">
        <v>1272</v>
      </c>
      <c r="K93" s="18" t="s">
        <v>1260</v>
      </c>
      <c r="L93" s="17" t="s">
        <v>1268</v>
      </c>
      <c r="M93" s="17" t="s">
        <v>1358</v>
      </c>
      <c r="N93" s="21" t="s">
        <v>9</v>
      </c>
      <c r="O93" s="20" t="s">
        <v>4</v>
      </c>
      <c r="P93" s="20" t="s">
        <v>380</v>
      </c>
      <c r="Q93" s="19"/>
      <c r="R93" s="19"/>
      <c r="S93" s="20" t="s">
        <v>380</v>
      </c>
      <c r="T93" s="19"/>
      <c r="U93" s="20" t="s">
        <v>380</v>
      </c>
      <c r="V93" s="19"/>
      <c r="W93" s="26" t="s">
        <v>616</v>
      </c>
      <c r="X93" s="20" t="s">
        <v>4</v>
      </c>
      <c r="Y93" s="20" t="s">
        <v>4</v>
      </c>
      <c r="Z93" s="20" t="s">
        <v>4</v>
      </c>
      <c r="AA93" s="26" t="s">
        <v>410</v>
      </c>
      <c r="AB93" s="26" t="s">
        <v>1361</v>
      </c>
    </row>
    <row r="94">
      <c r="A94" s="164"/>
    </row>
    <row r="96">
      <c r="B96" s="151" t="s">
        <v>1822</v>
      </c>
      <c r="C96" s="151" t="s">
        <v>1823</v>
      </c>
      <c r="D96" s="151" t="s">
        <v>1824</v>
      </c>
      <c r="E96" s="151" t="s">
        <v>1825</v>
      </c>
      <c r="F96" s="151" t="s">
        <v>391</v>
      </c>
      <c r="G96" s="151" t="s">
        <v>1826</v>
      </c>
      <c r="H96" s="151" t="s">
        <v>23</v>
      </c>
      <c r="I96" s="151" t="s">
        <v>13</v>
      </c>
      <c r="J96" s="151" t="s">
        <v>1827</v>
      </c>
      <c r="K96" s="151" t="s">
        <v>1828</v>
      </c>
      <c r="L96" s="151" t="s">
        <v>54</v>
      </c>
      <c r="M96" s="151" t="s">
        <v>3</v>
      </c>
    </row>
    <row r="97">
      <c r="B97" s="53" t="s">
        <v>1260</v>
      </c>
      <c r="C97" s="53" t="s">
        <v>1842</v>
      </c>
      <c r="D97" s="28">
        <f>COUNTIFS('SLP Field Data'!K:K,B97,'SLP Field Data'!K:K,"&lt;&gt;")</f>
        <v>42</v>
      </c>
      <c r="E97" s="17">
        <f>COUNTIFS('SLP Field Data'!K:K,B97,'SLP Field Data'!N:N,"Connected")</f>
        <v>35</v>
      </c>
      <c r="F97" s="17">
        <f>COUNTIFS('SLP Field Data'!K:K,B97,'SLP Field Data'!AA:AA,"Verified")</f>
        <v>32</v>
      </c>
      <c r="G97" s="17">
        <f>COUNTIFS('SLP Field Data'!K:K,B97,'SLP Field Data'!AA:AA,"Not Verified")</f>
        <v>3</v>
      </c>
      <c r="H97" s="17">
        <f>COUNTIFS('SLP Field Data'!K:K,B97,'SLP Field Data'!N:N,"Not Received")</f>
        <v>3</v>
      </c>
      <c r="I97" s="28">
        <f>COUNTIFS('SLP Field Data'!K:K,B97,'SLP Field Data'!N:N,"Busy")</f>
        <v>0</v>
      </c>
      <c r="J97" s="17">
        <f>COUNTIFS('SLP Field Data'!K:K,B97,'SLP Field Data'!N:N,"Switch off")</f>
        <v>2</v>
      </c>
      <c r="K97" s="17">
        <f>COUNTIFS('SLP Field Data'!K:K,B97,'SLP Field Data'!N:N,"Wrong No.")</f>
        <v>2</v>
      </c>
      <c r="L97" s="28">
        <f>COUNTIFS('SLP Field Data'!K:K,B97,'SLP Field Data'!N:N,"Call Back Later")</f>
        <v>0</v>
      </c>
      <c r="M97" s="95"/>
      <c r="N97" s="113">
        <v>45864.0</v>
      </c>
    </row>
  </sheetData>
  <mergeCells count="2">
    <mergeCell ref="A1:C5"/>
    <mergeCell ref="A52:A93"/>
  </mergeCells>
  <dataValidations>
    <dataValidation type="list" allowBlank="1" showErrorMessage="1" sqref="O52:P93 S52:S93 U52:U93 X52:Z93">
      <formula1>"Yes,NO"</formula1>
    </dataValidation>
    <dataValidation type="list" allowBlank="1" showErrorMessage="1" sqref="W52:W93">
      <formula1>"Bahut,Kuch Had Tak,Nahi"</formula1>
    </dataValidation>
    <dataValidation type="list" allowBlank="1" showErrorMessage="1" sqref="E52:E93">
      <formula1>"Male,Female"</formula1>
    </dataValidation>
    <dataValidation type="list" allowBlank="1" showErrorMessage="1" sqref="D7:D38 G7:G38 N52:N93">
      <formula1>"Connected,Call Back Later,Busy,Switch off,Not Received,Wrong No."</formula1>
    </dataValidation>
    <dataValidation type="list" allowBlank="1" showErrorMessage="1" sqref="E7:E38 H7:H38">
      <formula1>"CONFIRMED,NOT CONFIRMED"</formula1>
    </dataValidation>
    <dataValidation type="list" allowBlank="1" showErrorMessage="1" sqref="AA52:AA93">
      <formula1>"Verified,Not Verified"</formula1>
    </dataValidation>
  </dataValidations>
  <drawing r:id="rId1"/>
</worksheet>
</file>